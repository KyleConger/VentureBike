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wner\Desktop\MAN6724 Simulation\quarters\Q1\"/>
    </mc:Choice>
  </mc:AlternateContent>
  <xr:revisionPtr revIDLastSave="0" documentId="13_ncr:1_{4675A25E-4B94-4A53-8AFE-35ED0BA0C9FF}" xr6:coauthVersionLast="47" xr6:coauthVersionMax="47" xr10:uidLastSave="{00000000-0000-0000-0000-000000000000}"/>
  <bookViews>
    <workbookView xWindow="12710" yWindow="0" windowWidth="12980" windowHeight="15370" activeTab="2" xr2:uid="{00000000-000D-0000-FFFF-FFFF00000000}"/>
  </bookViews>
  <sheets>
    <sheet name="Instructions" sheetId="1" r:id="rId1"/>
    <sheet name="Needs" sheetId="2" r:id="rId2"/>
    <sheet name="Applications" sheetId="3" r:id="rId3"/>
    <sheet name="Price_WTP" sheetId="4" r:id="rId4"/>
    <sheet name="Market_Potential" sheetId="5" r:id="rId5"/>
    <sheet name="Needs_Ranked" sheetId="6" r:id="rId6"/>
    <sheet name="Growth_Room" sheetId="7" r:id="rId7"/>
    <sheet name="Competitor_CI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D12" i="3"/>
  <c r="B12" i="3"/>
  <c r="C45" i="2"/>
  <c r="D45" i="2"/>
  <c r="B45" i="2"/>
  <c r="C44" i="2"/>
  <c r="D44" i="2"/>
  <c r="B44" i="2"/>
  <c r="C43" i="2"/>
  <c r="D43" i="2"/>
  <c r="B43" i="2"/>
  <c r="H40" i="2"/>
  <c r="G40" i="2"/>
  <c r="F40" i="2"/>
  <c r="E40" i="2"/>
  <c r="H39" i="2"/>
  <c r="G39" i="2"/>
  <c r="F39" i="2"/>
  <c r="E39" i="2"/>
  <c r="H38" i="2"/>
  <c r="G38" i="2"/>
  <c r="F38" i="2"/>
  <c r="E38" i="2"/>
  <c r="H37" i="2"/>
  <c r="G37" i="2"/>
  <c r="F37" i="2"/>
  <c r="E37" i="2"/>
  <c r="H36" i="2"/>
  <c r="G36" i="2"/>
  <c r="F36" i="2"/>
  <c r="E36" i="2"/>
  <c r="H35" i="2"/>
  <c r="G35" i="2"/>
  <c r="F35" i="2"/>
  <c r="E35" i="2"/>
  <c r="H34" i="2"/>
  <c r="G34" i="2"/>
  <c r="F34" i="2"/>
  <c r="E34" i="2"/>
  <c r="H33" i="2"/>
  <c r="G33" i="2"/>
  <c r="F33" i="2"/>
  <c r="E33" i="2"/>
  <c r="H32" i="2"/>
  <c r="G32" i="2"/>
  <c r="F32" i="2"/>
  <c r="E32" i="2"/>
  <c r="H31" i="2"/>
  <c r="G31" i="2"/>
  <c r="F31" i="2"/>
  <c r="E31" i="2"/>
  <c r="H30" i="2"/>
  <c r="G30" i="2"/>
  <c r="F30" i="2"/>
  <c r="E30" i="2"/>
  <c r="H29" i="2"/>
  <c r="G29" i="2"/>
  <c r="F29" i="2"/>
  <c r="E29" i="2"/>
  <c r="H28" i="2"/>
  <c r="G28" i="2"/>
  <c r="F28" i="2"/>
  <c r="E28" i="2"/>
  <c r="H27" i="2"/>
  <c r="G27" i="2"/>
  <c r="F27" i="2"/>
  <c r="E27" i="2"/>
  <c r="H26" i="2"/>
  <c r="G26" i="2"/>
  <c r="F26" i="2"/>
  <c r="E26" i="2"/>
  <c r="H25" i="2"/>
  <c r="G25" i="2"/>
  <c r="F25" i="2"/>
  <c r="E25" i="2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J25" i="6"/>
  <c r="I25" i="6"/>
  <c r="F25" i="6"/>
  <c r="E25" i="6"/>
  <c r="B25" i="6"/>
  <c r="A25" i="6"/>
  <c r="J24" i="6"/>
  <c r="I24" i="6"/>
  <c r="F24" i="6"/>
  <c r="E24" i="6"/>
  <c r="B24" i="6"/>
  <c r="A24" i="6"/>
  <c r="J23" i="6"/>
  <c r="I23" i="6"/>
  <c r="F23" i="6"/>
  <c r="E23" i="6"/>
  <c r="B23" i="6"/>
  <c r="A23" i="6"/>
  <c r="J22" i="6"/>
  <c r="I22" i="6"/>
  <c r="F22" i="6"/>
  <c r="E22" i="6"/>
  <c r="B22" i="6"/>
  <c r="A22" i="6"/>
  <c r="J21" i="6"/>
  <c r="I21" i="6"/>
  <c r="F21" i="6"/>
  <c r="E21" i="6"/>
  <c r="B21" i="6"/>
  <c r="A21" i="6"/>
  <c r="J20" i="6"/>
  <c r="I20" i="6"/>
  <c r="F20" i="6"/>
  <c r="E20" i="6"/>
  <c r="B20" i="6"/>
  <c r="A20" i="6"/>
  <c r="J19" i="6"/>
  <c r="I19" i="6"/>
  <c r="F19" i="6"/>
  <c r="E19" i="6"/>
  <c r="B19" i="6"/>
  <c r="A19" i="6"/>
  <c r="J18" i="6"/>
  <c r="I18" i="6"/>
  <c r="F18" i="6"/>
  <c r="E18" i="6"/>
  <c r="B18" i="6"/>
  <c r="A18" i="6"/>
  <c r="J17" i="6"/>
  <c r="I17" i="6"/>
  <c r="F17" i="6"/>
  <c r="E17" i="6"/>
  <c r="B17" i="6"/>
  <c r="A17" i="6"/>
  <c r="J16" i="6"/>
  <c r="I16" i="6"/>
  <c r="F16" i="6"/>
  <c r="E16" i="6"/>
  <c r="B16" i="6"/>
  <c r="A16" i="6"/>
  <c r="J15" i="6"/>
  <c r="I15" i="6"/>
  <c r="F15" i="6"/>
  <c r="E15" i="6"/>
  <c r="B15" i="6"/>
  <c r="A15" i="6"/>
  <c r="J14" i="6"/>
  <c r="I14" i="6"/>
  <c r="F14" i="6"/>
  <c r="E14" i="6"/>
  <c r="B14" i="6"/>
  <c r="A14" i="6"/>
  <c r="J13" i="6"/>
  <c r="I13" i="6"/>
  <c r="F13" i="6"/>
  <c r="E13" i="6"/>
  <c r="B13" i="6"/>
  <c r="A13" i="6"/>
  <c r="J12" i="6"/>
  <c r="I12" i="6"/>
  <c r="F12" i="6"/>
  <c r="E12" i="6"/>
  <c r="B12" i="6"/>
  <c r="A12" i="6"/>
  <c r="J11" i="6"/>
  <c r="I11" i="6"/>
  <c r="F11" i="6"/>
  <c r="E11" i="6"/>
  <c r="B11" i="6"/>
  <c r="A11" i="6"/>
  <c r="J10" i="6"/>
  <c r="I10" i="6"/>
  <c r="F10" i="6"/>
  <c r="E10" i="6"/>
  <c r="B10" i="6"/>
  <c r="A10" i="6"/>
  <c r="J9" i="6"/>
  <c r="I9" i="6"/>
  <c r="F9" i="6"/>
  <c r="E9" i="6"/>
  <c r="B9" i="6"/>
  <c r="A9" i="6"/>
  <c r="J8" i="6"/>
  <c r="I8" i="6"/>
  <c r="F8" i="6"/>
  <c r="E8" i="6"/>
  <c r="B8" i="6"/>
  <c r="A8" i="6"/>
  <c r="J7" i="6"/>
  <c r="I7" i="6"/>
  <c r="F7" i="6"/>
  <c r="E7" i="6"/>
  <c r="B7" i="6"/>
  <c r="A7" i="6"/>
  <c r="J6" i="6"/>
  <c r="I6" i="6"/>
  <c r="F6" i="6"/>
  <c r="E6" i="6"/>
  <c r="B6" i="6"/>
  <c r="A6" i="6"/>
  <c r="D9" i="5"/>
  <c r="C9" i="5"/>
  <c r="B9" i="5"/>
  <c r="E8" i="5"/>
  <c r="F8" i="5" s="1"/>
  <c r="E7" i="5"/>
  <c r="F7" i="5" s="1"/>
  <c r="E6" i="5"/>
  <c r="F6" i="5" s="1"/>
  <c r="E5" i="5"/>
  <c r="D7" i="4"/>
  <c r="C7" i="4"/>
  <c r="D6" i="4"/>
  <c r="C6" i="4"/>
  <c r="D5" i="4"/>
  <c r="C5" i="4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H5" i="3"/>
  <c r="G5" i="3"/>
  <c r="F5" i="3"/>
  <c r="E5" i="3"/>
  <c r="H24" i="2"/>
  <c r="K25" i="6" s="1"/>
  <c r="G24" i="2"/>
  <c r="G25" i="6" s="1"/>
  <c r="F24" i="2"/>
  <c r="C25" i="6" s="1"/>
  <c r="E24" i="2"/>
  <c r="H23" i="2"/>
  <c r="K24" i="6" s="1"/>
  <c r="G23" i="2"/>
  <c r="G24" i="6" s="1"/>
  <c r="F23" i="2"/>
  <c r="C24" i="6" s="1"/>
  <c r="E23" i="2"/>
  <c r="H22" i="2"/>
  <c r="K23" i="6" s="1"/>
  <c r="G22" i="2"/>
  <c r="G23" i="6" s="1"/>
  <c r="F22" i="2"/>
  <c r="C23" i="6" s="1"/>
  <c r="E22" i="2"/>
  <c r="H21" i="2"/>
  <c r="K22" i="6" s="1"/>
  <c r="G21" i="2"/>
  <c r="G22" i="6" s="1"/>
  <c r="F21" i="2"/>
  <c r="C22" i="6" s="1"/>
  <c r="E21" i="2"/>
  <c r="H20" i="2"/>
  <c r="K21" i="6" s="1"/>
  <c r="G20" i="2"/>
  <c r="G21" i="6" s="1"/>
  <c r="F20" i="2"/>
  <c r="C21" i="6" s="1"/>
  <c r="E20" i="2"/>
  <c r="H19" i="2"/>
  <c r="K20" i="6" s="1"/>
  <c r="G19" i="2"/>
  <c r="G20" i="6" s="1"/>
  <c r="F19" i="2"/>
  <c r="C20" i="6" s="1"/>
  <c r="E19" i="2"/>
  <c r="H18" i="2"/>
  <c r="K19" i="6" s="1"/>
  <c r="G18" i="2"/>
  <c r="G19" i="6" s="1"/>
  <c r="F18" i="2"/>
  <c r="C19" i="6" s="1"/>
  <c r="E18" i="2"/>
  <c r="H17" i="2"/>
  <c r="K18" i="6" s="1"/>
  <c r="G17" i="2"/>
  <c r="G18" i="6" s="1"/>
  <c r="F17" i="2"/>
  <c r="C18" i="6" s="1"/>
  <c r="E17" i="2"/>
  <c r="H16" i="2"/>
  <c r="K17" i="6" s="1"/>
  <c r="G16" i="2"/>
  <c r="G17" i="6" s="1"/>
  <c r="F16" i="2"/>
  <c r="C17" i="6" s="1"/>
  <c r="E16" i="2"/>
  <c r="H15" i="2"/>
  <c r="K16" i="6" s="1"/>
  <c r="G15" i="2"/>
  <c r="G16" i="6" s="1"/>
  <c r="F15" i="2"/>
  <c r="C16" i="6" s="1"/>
  <c r="E15" i="2"/>
  <c r="H14" i="2"/>
  <c r="K15" i="6" s="1"/>
  <c r="G14" i="2"/>
  <c r="G15" i="6" s="1"/>
  <c r="F14" i="2"/>
  <c r="C15" i="6" s="1"/>
  <c r="E14" i="2"/>
  <c r="H13" i="2"/>
  <c r="K14" i="6" s="1"/>
  <c r="G13" i="2"/>
  <c r="G14" i="6" s="1"/>
  <c r="F13" i="2"/>
  <c r="C14" i="6" s="1"/>
  <c r="E13" i="2"/>
  <c r="H12" i="2"/>
  <c r="K13" i="6" s="1"/>
  <c r="G12" i="2"/>
  <c r="G13" i="6" s="1"/>
  <c r="F12" i="2"/>
  <c r="C13" i="6" s="1"/>
  <c r="E12" i="2"/>
  <c r="H11" i="2"/>
  <c r="K12" i="6" s="1"/>
  <c r="G11" i="2"/>
  <c r="G12" i="6" s="1"/>
  <c r="F11" i="2"/>
  <c r="C12" i="6" s="1"/>
  <c r="E11" i="2"/>
  <c r="H10" i="2"/>
  <c r="K11" i="6" s="1"/>
  <c r="G10" i="2"/>
  <c r="G11" i="6" s="1"/>
  <c r="F10" i="2"/>
  <c r="C11" i="6" s="1"/>
  <c r="E10" i="2"/>
  <c r="H9" i="2"/>
  <c r="K10" i="6" s="1"/>
  <c r="G9" i="2"/>
  <c r="G10" i="6" s="1"/>
  <c r="F9" i="2"/>
  <c r="C10" i="6" s="1"/>
  <c r="E9" i="2"/>
  <c r="H8" i="2"/>
  <c r="K9" i="6" s="1"/>
  <c r="G8" i="2"/>
  <c r="G9" i="6" s="1"/>
  <c r="F8" i="2"/>
  <c r="C9" i="6" s="1"/>
  <c r="E8" i="2"/>
  <c r="H7" i="2"/>
  <c r="K8" i="6" s="1"/>
  <c r="G7" i="2"/>
  <c r="G8" i="6" s="1"/>
  <c r="F7" i="2"/>
  <c r="C8" i="6" s="1"/>
  <c r="E7" i="2"/>
  <c r="H6" i="2"/>
  <c r="K7" i="6" s="1"/>
  <c r="G6" i="2"/>
  <c r="G7" i="6" s="1"/>
  <c r="F6" i="2"/>
  <c r="C7" i="6" s="1"/>
  <c r="E6" i="2"/>
  <c r="H5" i="2"/>
  <c r="K6" i="6" s="1"/>
  <c r="G5" i="2"/>
  <c r="G6" i="6" s="1"/>
  <c r="F5" i="2"/>
  <c r="C6" i="6" s="1"/>
  <c r="E5" i="2"/>
  <c r="F5" i="5" l="1"/>
  <c r="F9" i="5" s="1"/>
  <c r="E9" i="5"/>
  <c r="B11" i="5" l="1"/>
  <c r="C11" i="5"/>
  <c r="D11" i="5"/>
</calcChain>
</file>

<file path=xl/sharedStrings.xml><?xml version="1.0" encoding="utf-8"?>
<sst xmlns="http://schemas.openxmlformats.org/spreadsheetml/2006/main" count="213" uniqueCount="156">
  <si>
    <t>MarketingResearch — Q1 Core Data Workbook</t>
  </si>
  <si>
    <t>Paste Workspace survey numbers into the yellow input cells. Thresholds: ≥110 important | &lt;100 may hurt appeal.</t>
  </si>
  <si>
    <t>Sheet</t>
  </si>
  <si>
    <t>What to enter</t>
  </si>
  <si>
    <t>Analysis use</t>
  </si>
  <si>
    <t>Needs</t>
  </si>
  <si>
    <t>Importance scores by need × segment</t>
  </si>
  <si>
    <t>Sort ≥110; feature translation; peer miss risk</t>
  </si>
  <si>
    <t>Applications</t>
  </si>
  <si>
    <t>Use-pattern importance by segment</t>
  </si>
  <si>
    <t>Component/service fit; peer miss risk</t>
  </si>
  <si>
    <t>Price_WTP</t>
  </si>
  <si>
    <t>Max price willing to pay (ideal brand)</t>
  </si>
  <si>
    <t>Ceiling for Q2 pricing; margin vs elasticity</t>
  </si>
  <si>
    <t>Market_Potential</t>
  </si>
  <si>
    <t>12-month unit potential by city × segment</t>
  </si>
  <si>
    <t>City attractiveness; crowding vs growth room</t>
  </si>
  <si>
    <t>Needs_Ranked</t>
  </si>
  <si>
    <t>Live links from Needs sheet</t>
  </si>
  <si>
    <t>Filter/sort IMPORTANT flags per segment</t>
  </si>
  <si>
    <t>Growth_Room</t>
  </si>
  <si>
    <t>Attractiveness / crowding / serveability (1–5)</t>
  </si>
  <si>
    <t>Competitor-focused opportunity pockets</t>
  </si>
  <si>
    <t>Competitor_CI</t>
  </si>
  <si>
    <t>Classmate tracker + research purchase log</t>
  </si>
  <si>
    <t>Room for growth vs peers (mainly Q2+)</t>
  </si>
  <si>
    <t>Primary research focus: maximize competitor (classmate) insight to find room for growth.</t>
  </si>
  <si>
    <t>Do not assume 25% of annual potential per quarter early — actual early demand is usually much lower.</t>
  </si>
  <si>
    <t>Hard Q1 finance check (elsewhere): Cash + CD ≥ $300,000 after setup decisions.</t>
  </si>
  <si>
    <t>Market potential formula: Potential = P(purchase) × units × # potential customers</t>
  </si>
  <si>
    <t>Need/application row labels are common Marketplace starters — rename to match your Workspace exactly.</t>
  </si>
  <si>
    <t>Customer Needs — Importance by Segment</t>
  </si>
  <si>
    <t>Rename labels to match Workspace. Yellow = inputs. Conditional formatting: green ≥110, red &lt;100.</t>
  </si>
  <si>
    <t>Need / Benefit</t>
  </si>
  <si>
    <t>Recreation</t>
  </si>
  <si>
    <t>Mountain</t>
  </si>
  <si>
    <t>Speed</t>
  </si>
  <si>
    <t>Max</t>
  </si>
  <si>
    <t>Rec flag</t>
  </si>
  <si>
    <t>Mtn flag</t>
  </si>
  <si>
    <t>Spd flag</t>
  </si>
  <si>
    <t>Competitor miss risk (H/M/L)</t>
  </si>
  <si>
    <t>Notes</t>
  </si>
  <si>
    <t>Comfortable</t>
  </si>
  <si>
    <t>Durable</t>
  </si>
  <si>
    <t>Can handle rough terrain</t>
  </si>
  <si>
    <t>Can stop quickly</t>
  </si>
  <si>
    <t>Light weight</t>
  </si>
  <si>
    <t>Aerodynamic</t>
  </si>
  <si>
    <t>Feel young at heart</t>
  </si>
  <si>
    <t>Navigation assistance</t>
  </si>
  <si>
    <t>Applications / Use Patterns — Importance by Segment</t>
  </si>
  <si>
    <t>≥110 = must design for | &lt;100 = may hurt appeal if over-emphasized</t>
  </si>
  <si>
    <t>Application / Use</t>
  </si>
  <si>
    <t>Component implications</t>
  </si>
  <si>
    <t>Peer miss risk</t>
  </si>
  <si>
    <t>Price Willing to Pay (Ideal Brand Ceiling)</t>
  </si>
  <si>
    <t>Treat as maximum for ideal brand. Above = fewer entrants. Elasticity unknown until test market.</t>
  </si>
  <si>
    <t>Segment</t>
  </si>
  <si>
    <t>WTP (max)</t>
  </si>
  <si>
    <t>vs Rec</t>
  </si>
  <si>
    <t>vs Mountain</t>
  </si>
  <si>
    <t>Price sensitivity note</t>
  </si>
  <si>
    <t>Peer price-war risk (H/M/L)</t>
  </si>
  <si>
    <t>Margin opportunity note</t>
  </si>
  <si>
    <t>Optional: paste graph / Workspace notes below</t>
  </si>
  <si>
    <t>12-Month Market Potential (Units)</t>
  </si>
  <si>
    <t>Potential = P(purchase) × units × # customers. Early quarterly demand usually &lt;&lt; annual/4.</t>
  </si>
  <si>
    <t>City</t>
  </si>
  <si>
    <t>City Total</t>
  </si>
  <si>
    <t>Naive Qtr (Total/4)</t>
  </si>
  <si>
    <t>Likely peer crowding (H/M/L)</t>
  </si>
  <si>
    <t>Growth-room note</t>
  </si>
  <si>
    <t>New York</t>
  </si>
  <si>
    <t>Amsterdam</t>
  </si>
  <si>
    <t>Rio de Janeiro</t>
  </si>
  <si>
    <t>Bangalore</t>
  </si>
  <si>
    <t>Segment Total</t>
  </si>
  <si>
    <t>Segment share of total potential</t>
  </si>
  <si>
    <t>City rank by total potential (after fill):</t>
  </si>
  <si>
    <t>1.</t>
  </si>
  <si>
    <t>2.</t>
  </si>
  <si>
    <t>3.</t>
  </si>
  <si>
    <t>4.</t>
  </si>
  <si>
    <t>Needs Snapshot — linked to Needs sheet</t>
  </si>
  <si>
    <t>After entering scores on Needs, filter each block where Flag = IMPORTANT, or sort Score descending (copy-paste values if needed).</t>
  </si>
  <si>
    <t>Recreation priorities</t>
  </si>
  <si>
    <t>Mountain priorities</t>
  </si>
  <si>
    <t>Speed priorities</t>
  </si>
  <si>
    <t>Need</t>
  </si>
  <si>
    <t>Score</t>
  </si>
  <si>
    <t>Flag</t>
  </si>
  <si>
    <t>Growth Room vs Classmates (1–5 scores)</t>
  </si>
  <si>
    <t>Gap index = Attractiveness + Serveability − Crowding (higher = more room for growth). Yellow = inputs.</t>
  </si>
  <si>
    <t>City / Channel</t>
  </si>
  <si>
    <t>Attractiveness (1–5)</t>
  </si>
  <si>
    <t>Expected crowding (1–5)</t>
  </si>
  <si>
    <t>Our serveability (1–5)</t>
  </si>
  <si>
    <t>Gap index</t>
  </si>
  <si>
    <t>Why peers may leave it</t>
  </si>
  <si>
    <t>Priority (H/M/L)</t>
  </si>
  <si>
    <t>Web</t>
  </si>
  <si>
    <t>Competitor (Classmate) Tracker</t>
  </si>
  <si>
    <t>Q1: enter firm names when known. Metrics mainly from Q2+ results / purchased research.</t>
  </si>
  <si>
    <t>Firm</t>
  </si>
  <si>
    <t>Quarter</t>
  </si>
  <si>
    <t>Segments</t>
  </si>
  <si>
    <t>Cities / Web</t>
  </si>
  <si>
    <t>Brand Judgment notes</t>
  </si>
  <si>
    <t>Ad Judgment notes</t>
  </si>
  <si>
    <t>Price posture</t>
  </si>
  <si>
    <t>Share / demand served</t>
  </si>
  <si>
    <t>Weakness / gap for us</t>
  </si>
  <si>
    <t>Our response</t>
  </si>
  <si>
    <t>Research purchase log (competitor-first)</t>
  </si>
  <si>
    <t>Report bought</t>
  </si>
  <si>
    <t>Cost</t>
  </si>
  <si>
    <t>Key competitor insight</t>
  </si>
  <si>
    <t>Action</t>
  </si>
  <si>
    <t>Colorful</t>
  </si>
  <si>
    <t>Fits rider's personality</t>
  </si>
  <si>
    <t>Simple to use</t>
  </si>
  <si>
    <t>Safety</t>
  </si>
  <si>
    <t>Low price point</t>
  </si>
  <si>
    <t>Sleek</t>
  </si>
  <si>
    <t>Stylish</t>
  </si>
  <si>
    <t>Easy to ride</t>
  </si>
  <si>
    <t>Soft ride</t>
  </si>
  <si>
    <t>Repair, parts, support nearby</t>
  </si>
  <si>
    <t>Precise speed control-turns, hills</t>
  </si>
  <si>
    <t>On-road and off-road capabilities</t>
  </si>
  <si>
    <t>Can carry things</t>
  </si>
  <si>
    <t>Can turn sharply</t>
  </si>
  <si>
    <t>High visibility</t>
  </si>
  <si>
    <t>Easily handles change in incline</t>
  </si>
  <si>
    <t>Shifts smoothly</t>
  </si>
  <si>
    <t>Provides competitive advantage</t>
  </si>
  <si>
    <t>Rider expertise required</t>
  </si>
  <si>
    <t>Status symbol/exclusivity</t>
  </si>
  <si>
    <t>Soften the impact of rough terrain</t>
  </si>
  <si>
    <t>Easy to navigate on web site</t>
  </si>
  <si>
    <t>Security of my credit card/identity</t>
  </si>
  <si>
    <t>Likes to buy on the web</t>
  </si>
  <si>
    <t>Wants human sales reps/support</t>
  </si>
  <si>
    <t>Able to track my purchase</t>
  </si>
  <si>
    <t>Easy to make purchase on web</t>
  </si>
  <si>
    <t>Web focus</t>
  </si>
  <si>
    <t>Segment averages</t>
  </si>
  <si>
    <t>Segment averages, excluding web</t>
  </si>
  <si>
    <t>Segment averages, only web</t>
  </si>
  <si>
    <t>Exercise</t>
  </si>
  <si>
    <t>Relaxation</t>
  </si>
  <si>
    <t>Fun</t>
  </si>
  <si>
    <t>Adventure</t>
  </si>
  <si>
    <t>Sport</t>
  </si>
  <si>
    <t>New York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</si>
</sst>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color rgb="FFC00000"/>
      <name val="Calibri"/>
      <family val="2"/>
    </font>
    <font>
      <b/>
      <sz val="14"/>
      <color rgb="FF1F4E79"/>
      <name val="Calibri"/>
      <family val="2"/>
    </font>
    <font>
      <b/>
      <sz val="11"/>
      <name val="Calibri"/>
      <family val="2"/>
    </font>
    <font>
      <b/>
      <sz val="11"/>
      <color rgb="FF1F4E79"/>
      <name val="Calibri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FFFFFF"/>
        <bgColor indexed="64"/>
      </patternFill>
    </fill>
    <fill>
      <patternFill patternType="solid">
        <fgColor rgb="FFD7E9F8"/>
        <bgColor indexed="64"/>
      </patternFill>
    </fill>
    <fill>
      <patternFill patternType="solid">
        <fgColor rgb="FFF1F8FD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medium">
        <color rgb="FFD1D1D1"/>
      </right>
      <top style="medium">
        <color rgb="FFE7E7E7"/>
      </top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4" borderId="1" xfId="0" applyFont="1" applyFill="1" applyBorder="1"/>
    <xf numFmtId="0" fontId="0" fillId="4" borderId="1" xfId="0" applyFill="1" applyBorder="1"/>
    <xf numFmtId="164" fontId="0" fillId="0" borderId="0" xfId="0" applyNumberFormat="1"/>
    <xf numFmtId="0" fontId="0" fillId="3" borderId="1" xfId="0" applyFill="1" applyBorder="1"/>
    <xf numFmtId="0" fontId="7" fillId="0" borderId="0" xfId="0" applyFont="1"/>
    <xf numFmtId="0" fontId="0" fillId="0" borderId="1" xfId="0" applyBorder="1"/>
    <xf numFmtId="0" fontId="6" fillId="0" borderId="0" xfId="0" applyFont="1"/>
    <xf numFmtId="0" fontId="0" fillId="3" borderId="1" xfId="0" applyFill="1" applyBorder="1" applyAlignment="1">
      <alignment vertical="top" wrapText="1"/>
    </xf>
    <xf numFmtId="0" fontId="0" fillId="0" borderId="0" xfId="0"/>
    <xf numFmtId="0" fontId="8" fillId="6" borderId="2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righ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righ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righ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right" vertical="center" wrapText="1"/>
    </xf>
    <xf numFmtId="3" fontId="8" fillId="7" borderId="3" xfId="0" applyNumberFormat="1" applyFont="1" applyFill="1" applyBorder="1" applyAlignment="1">
      <alignment horizontal="right" vertical="center" wrapText="1"/>
    </xf>
    <xf numFmtId="3" fontId="8" fillId="5" borderId="3" xfId="0" applyNumberFormat="1" applyFont="1" applyFill="1" applyBorder="1" applyAlignment="1">
      <alignment horizontal="right" vertical="center" wrapText="1"/>
    </xf>
    <xf numFmtId="3" fontId="8" fillId="6" borderId="3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8"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C21" sqref="C21"/>
    </sheetView>
  </sheetViews>
  <sheetFormatPr defaultRowHeight="14.5" x14ac:dyDescent="0.35"/>
  <cols>
    <col min="1" max="1" width="22" customWidth="1"/>
    <col min="2" max="3" width="55" customWidth="1"/>
  </cols>
  <sheetData>
    <row r="1" spans="1:3" ht="21" x14ac:dyDescent="0.5">
      <c r="A1" s="1" t="s">
        <v>0</v>
      </c>
    </row>
    <row r="2" spans="1:3" x14ac:dyDescent="0.35">
      <c r="A2" s="2" t="s">
        <v>1</v>
      </c>
    </row>
    <row r="4" spans="1:3" x14ac:dyDescent="0.35">
      <c r="A4" s="3" t="s">
        <v>2</v>
      </c>
      <c r="B4" s="3" t="s">
        <v>3</v>
      </c>
      <c r="C4" s="3" t="s">
        <v>4</v>
      </c>
    </row>
    <row r="5" spans="1:3" x14ac:dyDescent="0.35">
      <c r="A5" s="4" t="s">
        <v>5</v>
      </c>
      <c r="B5" s="4" t="s">
        <v>6</v>
      </c>
      <c r="C5" s="4" t="s">
        <v>7</v>
      </c>
    </row>
    <row r="6" spans="1:3" x14ac:dyDescent="0.35">
      <c r="A6" s="4" t="s">
        <v>8</v>
      </c>
      <c r="B6" s="4" t="s">
        <v>9</v>
      </c>
      <c r="C6" s="4" t="s">
        <v>10</v>
      </c>
    </row>
    <row r="7" spans="1:3" x14ac:dyDescent="0.35">
      <c r="A7" s="4" t="s">
        <v>11</v>
      </c>
      <c r="B7" s="4" t="s">
        <v>12</v>
      </c>
      <c r="C7" s="4" t="s">
        <v>13</v>
      </c>
    </row>
    <row r="8" spans="1:3" x14ac:dyDescent="0.35">
      <c r="A8" s="4" t="s">
        <v>14</v>
      </c>
      <c r="B8" s="4" t="s">
        <v>15</v>
      </c>
      <c r="C8" s="4" t="s">
        <v>16</v>
      </c>
    </row>
    <row r="9" spans="1:3" x14ac:dyDescent="0.35">
      <c r="A9" s="4" t="s">
        <v>17</v>
      </c>
      <c r="B9" s="4" t="s">
        <v>18</v>
      </c>
      <c r="C9" s="4" t="s">
        <v>19</v>
      </c>
    </row>
    <row r="10" spans="1:3" x14ac:dyDescent="0.35">
      <c r="A10" s="4" t="s">
        <v>20</v>
      </c>
      <c r="B10" s="4" t="s">
        <v>21</v>
      </c>
      <c r="C10" s="4" t="s">
        <v>22</v>
      </c>
    </row>
    <row r="11" spans="1:3" x14ac:dyDescent="0.35">
      <c r="A11" s="4" t="s">
        <v>23</v>
      </c>
      <c r="B11" s="4" t="s">
        <v>24</v>
      </c>
      <c r="C11" s="4" t="s">
        <v>25</v>
      </c>
    </row>
    <row r="13" spans="1:3" x14ac:dyDescent="0.35">
      <c r="A13" s="5" t="s">
        <v>26</v>
      </c>
    </row>
    <row r="14" spans="1:3" x14ac:dyDescent="0.35">
      <c r="A14" t="s">
        <v>27</v>
      </c>
    </row>
    <row r="15" spans="1:3" x14ac:dyDescent="0.35">
      <c r="A15" t="s">
        <v>28</v>
      </c>
    </row>
    <row r="17" spans="1:1" x14ac:dyDescent="0.35">
      <c r="A17" t="s">
        <v>29</v>
      </c>
    </row>
    <row r="19" spans="1:1" x14ac:dyDescent="0.35">
      <c r="A19" s="2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5"/>
  <sheetViews>
    <sheetView topLeftCell="A14" zoomScale="85" zoomScaleNormal="85" workbookViewId="0">
      <selection activeCell="D48" sqref="D48"/>
    </sheetView>
  </sheetViews>
  <sheetFormatPr defaultRowHeight="14.5" x14ac:dyDescent="0.35"/>
  <cols>
    <col min="1" max="1" width="36" customWidth="1"/>
    <col min="2" max="4" width="12" customWidth="1"/>
    <col min="5" max="5" width="8" customWidth="1"/>
    <col min="6" max="8" width="12" customWidth="1"/>
    <col min="9" max="9" width="18" customWidth="1"/>
    <col min="10" max="10" width="40" customWidth="1"/>
  </cols>
  <sheetData>
    <row r="1" spans="1:10" ht="18.5" x14ac:dyDescent="0.45">
      <c r="A1" s="6" t="s">
        <v>31</v>
      </c>
    </row>
    <row r="2" spans="1:10" x14ac:dyDescent="0.35">
      <c r="A2" s="2" t="s">
        <v>32</v>
      </c>
    </row>
    <row r="4" spans="1:10" ht="29.5" thickBot="1" x14ac:dyDescent="0.4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</row>
    <row r="5" spans="1:10" ht="15" thickBot="1" x14ac:dyDescent="0.4">
      <c r="A5" s="19" t="s">
        <v>119</v>
      </c>
      <c r="B5" s="20">
        <v>116</v>
      </c>
      <c r="C5" s="20">
        <v>120</v>
      </c>
      <c r="D5" s="20">
        <v>109</v>
      </c>
      <c r="E5" s="9">
        <f t="shared" ref="E5:E24" si="0">IF(COUNT(B5:D5)=0,"",MAX(B5:D5))</f>
        <v>120</v>
      </c>
      <c r="F5" s="9" t="str">
        <f t="shared" ref="F5:F24" si="1">IF(B5="","",IF(B5&gt;=110,"IMPORTANT",IF(B5&lt;100,"CAUTION","")))</f>
        <v>IMPORTANT</v>
      </c>
      <c r="G5" s="9" t="str">
        <f t="shared" ref="G5:G24" si="2">IF(C5="","",IF(C5&gt;=110,"IMPORTANT",IF(C5&lt;100,"CAUTION","")))</f>
        <v>IMPORTANT</v>
      </c>
      <c r="H5" s="9" t="str">
        <f t="shared" ref="H5:H24" si="3">IF(D5="","",IF(D5&gt;=110,"IMPORTANT",IF(D5&lt;100,"CAUTION","")))</f>
        <v/>
      </c>
      <c r="I5" s="8"/>
      <c r="J5" s="8"/>
    </row>
    <row r="6" spans="1:10" ht="15" thickBot="1" x14ac:dyDescent="0.4">
      <c r="A6" s="21" t="s">
        <v>120</v>
      </c>
      <c r="B6" s="22">
        <v>116</v>
      </c>
      <c r="C6" s="22">
        <v>113</v>
      </c>
      <c r="D6" s="22">
        <v>116</v>
      </c>
      <c r="E6" s="9">
        <f t="shared" si="0"/>
        <v>116</v>
      </c>
      <c r="F6" s="9" t="str">
        <f t="shared" si="1"/>
        <v>IMPORTANT</v>
      </c>
      <c r="G6" s="9" t="str">
        <f t="shared" si="2"/>
        <v>IMPORTANT</v>
      </c>
      <c r="H6" s="9" t="str">
        <f t="shared" si="3"/>
        <v>IMPORTANT</v>
      </c>
      <c r="I6" s="8"/>
      <c r="J6" s="8"/>
    </row>
    <row r="7" spans="1:10" ht="15" thickBot="1" x14ac:dyDescent="0.4">
      <c r="A7" s="23" t="s">
        <v>121</v>
      </c>
      <c r="B7" s="24">
        <v>121</v>
      </c>
      <c r="C7" s="24">
        <v>102</v>
      </c>
      <c r="D7" s="24">
        <v>69</v>
      </c>
      <c r="E7" s="9">
        <f t="shared" si="0"/>
        <v>121</v>
      </c>
      <c r="F7" s="9" t="str">
        <f t="shared" si="1"/>
        <v>IMPORTANT</v>
      </c>
      <c r="G7" s="9" t="str">
        <f t="shared" si="2"/>
        <v/>
      </c>
      <c r="H7" s="9" t="str">
        <f t="shared" si="3"/>
        <v>CAUTION</v>
      </c>
      <c r="I7" s="8"/>
      <c r="J7" s="8"/>
    </row>
    <row r="8" spans="1:10" ht="15" thickBot="1" x14ac:dyDescent="0.4">
      <c r="A8" s="21" t="s">
        <v>122</v>
      </c>
      <c r="B8" s="22">
        <v>121</v>
      </c>
      <c r="C8" s="22">
        <v>112</v>
      </c>
      <c r="D8" s="22">
        <v>113</v>
      </c>
      <c r="E8" s="9">
        <f t="shared" si="0"/>
        <v>121</v>
      </c>
      <c r="F8" s="9" t="str">
        <f t="shared" si="1"/>
        <v>IMPORTANT</v>
      </c>
      <c r="G8" s="9" t="str">
        <f t="shared" si="2"/>
        <v>IMPORTANT</v>
      </c>
      <c r="H8" s="9" t="str">
        <f t="shared" si="3"/>
        <v>IMPORTANT</v>
      </c>
      <c r="I8" s="8"/>
      <c r="J8" s="8"/>
    </row>
    <row r="9" spans="1:10" ht="15" thickBot="1" x14ac:dyDescent="0.4">
      <c r="A9" s="23" t="s">
        <v>123</v>
      </c>
      <c r="B9" s="24">
        <v>117</v>
      </c>
      <c r="C9" s="24">
        <v>98</v>
      </c>
      <c r="D9" s="24">
        <v>70</v>
      </c>
      <c r="E9" s="9">
        <f t="shared" si="0"/>
        <v>117</v>
      </c>
      <c r="F9" s="9" t="str">
        <f t="shared" si="1"/>
        <v>IMPORTANT</v>
      </c>
      <c r="G9" s="9" t="str">
        <f t="shared" si="2"/>
        <v>CAUTION</v>
      </c>
      <c r="H9" s="9" t="str">
        <f t="shared" si="3"/>
        <v>CAUTION</v>
      </c>
      <c r="I9" s="8"/>
      <c r="J9" s="8"/>
    </row>
    <row r="10" spans="1:10" ht="15" thickBot="1" x14ac:dyDescent="0.4">
      <c r="A10" s="21" t="s">
        <v>124</v>
      </c>
      <c r="B10" s="22">
        <v>104</v>
      </c>
      <c r="C10" s="22">
        <v>83</v>
      </c>
      <c r="D10" s="22">
        <v>119</v>
      </c>
      <c r="E10" s="9">
        <f t="shared" si="0"/>
        <v>119</v>
      </c>
      <c r="F10" s="9" t="str">
        <f t="shared" si="1"/>
        <v/>
      </c>
      <c r="G10" s="9" t="str">
        <f t="shared" si="2"/>
        <v>CAUTION</v>
      </c>
      <c r="H10" s="9" t="str">
        <f t="shared" si="3"/>
        <v>IMPORTANT</v>
      </c>
      <c r="I10" s="8"/>
      <c r="J10" s="8"/>
    </row>
    <row r="11" spans="1:10" ht="15" thickBot="1" x14ac:dyDescent="0.4">
      <c r="A11" s="23" t="s">
        <v>125</v>
      </c>
      <c r="B11" s="24">
        <v>111</v>
      </c>
      <c r="C11" s="24">
        <v>118</v>
      </c>
      <c r="D11" s="24">
        <v>116</v>
      </c>
      <c r="E11" s="9">
        <f t="shared" si="0"/>
        <v>118</v>
      </c>
      <c r="F11" s="9" t="str">
        <f t="shared" si="1"/>
        <v>IMPORTANT</v>
      </c>
      <c r="G11" s="9" t="str">
        <f t="shared" si="2"/>
        <v>IMPORTANT</v>
      </c>
      <c r="H11" s="9" t="str">
        <f t="shared" si="3"/>
        <v>IMPORTANT</v>
      </c>
      <c r="I11" s="8"/>
      <c r="J11" s="8"/>
    </row>
    <row r="12" spans="1:10" ht="15" thickBot="1" x14ac:dyDescent="0.4">
      <c r="A12" s="21" t="s">
        <v>126</v>
      </c>
      <c r="B12" s="22">
        <v>124</v>
      </c>
      <c r="C12" s="22">
        <v>100</v>
      </c>
      <c r="D12" s="22">
        <v>102</v>
      </c>
      <c r="E12" s="9">
        <f t="shared" si="0"/>
        <v>124</v>
      </c>
      <c r="F12" s="9" t="str">
        <f t="shared" si="1"/>
        <v>IMPORTANT</v>
      </c>
      <c r="G12" s="9" t="str">
        <f t="shared" si="2"/>
        <v/>
      </c>
      <c r="H12" s="9" t="str">
        <f t="shared" si="3"/>
        <v/>
      </c>
      <c r="I12" s="8"/>
      <c r="J12" s="8"/>
    </row>
    <row r="13" spans="1:10" ht="15" thickBot="1" x14ac:dyDescent="0.4">
      <c r="A13" s="23" t="s">
        <v>43</v>
      </c>
      <c r="B13" s="24">
        <v>124</v>
      </c>
      <c r="C13" s="24">
        <v>95</v>
      </c>
      <c r="D13" s="24">
        <v>101</v>
      </c>
      <c r="E13" s="9">
        <f t="shared" si="0"/>
        <v>124</v>
      </c>
      <c r="F13" s="9" t="str">
        <f t="shared" si="1"/>
        <v>IMPORTANT</v>
      </c>
      <c r="G13" s="9" t="str">
        <f t="shared" si="2"/>
        <v>CAUTION</v>
      </c>
      <c r="H13" s="9" t="str">
        <f t="shared" si="3"/>
        <v/>
      </c>
      <c r="I13" s="8"/>
      <c r="J13" s="8"/>
    </row>
    <row r="14" spans="1:10" ht="15" thickBot="1" x14ac:dyDescent="0.4">
      <c r="A14" s="21" t="s">
        <v>127</v>
      </c>
      <c r="B14" s="22">
        <v>115</v>
      </c>
      <c r="C14" s="22">
        <v>89</v>
      </c>
      <c r="D14" s="22">
        <v>87</v>
      </c>
      <c r="E14" s="9">
        <f t="shared" si="0"/>
        <v>115</v>
      </c>
      <c r="F14" s="9" t="str">
        <f t="shared" si="1"/>
        <v>IMPORTANT</v>
      </c>
      <c r="G14" s="9" t="str">
        <f t="shared" si="2"/>
        <v>CAUTION</v>
      </c>
      <c r="H14" s="9" t="str">
        <f t="shared" si="3"/>
        <v>CAUTION</v>
      </c>
      <c r="I14" s="8"/>
      <c r="J14" s="8"/>
    </row>
    <row r="15" spans="1:10" ht="15" thickBot="1" x14ac:dyDescent="0.4">
      <c r="A15" s="23" t="s">
        <v>128</v>
      </c>
      <c r="B15" s="24">
        <v>119</v>
      </c>
      <c r="C15" s="24">
        <v>121</v>
      </c>
      <c r="D15" s="24">
        <v>120</v>
      </c>
      <c r="E15" s="9">
        <f t="shared" si="0"/>
        <v>121</v>
      </c>
      <c r="F15" s="9" t="str">
        <f t="shared" si="1"/>
        <v>IMPORTANT</v>
      </c>
      <c r="G15" s="9" t="str">
        <f t="shared" si="2"/>
        <v>IMPORTANT</v>
      </c>
      <c r="H15" s="9" t="str">
        <f t="shared" si="3"/>
        <v>IMPORTANT</v>
      </c>
      <c r="I15" s="8"/>
      <c r="J15" s="8"/>
    </row>
    <row r="16" spans="1:10" ht="15" thickBot="1" x14ac:dyDescent="0.4">
      <c r="A16" s="21" t="s">
        <v>45</v>
      </c>
      <c r="B16" s="22">
        <v>111</v>
      </c>
      <c r="C16" s="22">
        <v>128</v>
      </c>
      <c r="D16" s="22">
        <v>82</v>
      </c>
      <c r="E16" s="9">
        <f t="shared" si="0"/>
        <v>128</v>
      </c>
      <c r="F16" s="9" t="str">
        <f t="shared" si="1"/>
        <v>IMPORTANT</v>
      </c>
      <c r="G16" s="9" t="str">
        <f t="shared" si="2"/>
        <v>IMPORTANT</v>
      </c>
      <c r="H16" s="9" t="str">
        <f t="shared" si="3"/>
        <v>CAUTION</v>
      </c>
      <c r="I16" s="8"/>
      <c r="J16" s="8"/>
    </row>
    <row r="17" spans="1:10" ht="15" thickBot="1" x14ac:dyDescent="0.4">
      <c r="A17" s="23" t="s">
        <v>46</v>
      </c>
      <c r="B17" s="24">
        <v>114</v>
      </c>
      <c r="C17" s="24">
        <v>123</v>
      </c>
      <c r="D17" s="24">
        <v>110</v>
      </c>
      <c r="E17" s="9">
        <f t="shared" si="0"/>
        <v>123</v>
      </c>
      <c r="F17" s="9" t="str">
        <f t="shared" si="1"/>
        <v>IMPORTANT</v>
      </c>
      <c r="G17" s="9" t="str">
        <f t="shared" si="2"/>
        <v>IMPORTANT</v>
      </c>
      <c r="H17" s="9" t="str">
        <f t="shared" si="3"/>
        <v>IMPORTANT</v>
      </c>
      <c r="I17" s="8"/>
      <c r="J17" s="8"/>
    </row>
    <row r="18" spans="1:10" ht="15" thickBot="1" x14ac:dyDescent="0.4">
      <c r="A18" s="21" t="s">
        <v>129</v>
      </c>
      <c r="B18" s="22">
        <v>103</v>
      </c>
      <c r="C18" s="22">
        <v>106</v>
      </c>
      <c r="D18" s="22">
        <v>117</v>
      </c>
      <c r="E18" s="9">
        <f t="shared" si="0"/>
        <v>117</v>
      </c>
      <c r="F18" s="9" t="str">
        <f t="shared" si="1"/>
        <v/>
      </c>
      <c r="G18" s="9" t="str">
        <f t="shared" si="2"/>
        <v/>
      </c>
      <c r="H18" s="9" t="str">
        <f t="shared" si="3"/>
        <v>IMPORTANT</v>
      </c>
      <c r="I18" s="8"/>
      <c r="J18" s="8"/>
    </row>
    <row r="19" spans="1:10" ht="15" thickBot="1" x14ac:dyDescent="0.4">
      <c r="A19" s="23" t="s">
        <v>130</v>
      </c>
      <c r="B19" s="24">
        <v>114</v>
      </c>
      <c r="C19" s="24">
        <v>95</v>
      </c>
      <c r="D19" s="24">
        <v>69</v>
      </c>
      <c r="E19" s="9">
        <f t="shared" si="0"/>
        <v>114</v>
      </c>
      <c r="F19" s="9" t="str">
        <f t="shared" si="1"/>
        <v>IMPORTANT</v>
      </c>
      <c r="G19" s="9" t="str">
        <f t="shared" si="2"/>
        <v>CAUTION</v>
      </c>
      <c r="H19" s="9" t="str">
        <f t="shared" si="3"/>
        <v>CAUTION</v>
      </c>
      <c r="I19" s="8"/>
      <c r="J19" s="8"/>
    </row>
    <row r="20" spans="1:10" ht="15" thickBot="1" x14ac:dyDescent="0.4">
      <c r="A20" s="21" t="s">
        <v>131</v>
      </c>
      <c r="B20" s="22">
        <v>117</v>
      </c>
      <c r="C20" s="22">
        <v>104</v>
      </c>
      <c r="D20" s="22">
        <v>69</v>
      </c>
      <c r="E20" s="9">
        <f t="shared" si="0"/>
        <v>117</v>
      </c>
      <c r="F20" s="9" t="str">
        <f t="shared" si="1"/>
        <v>IMPORTANT</v>
      </c>
      <c r="G20" s="9" t="str">
        <f t="shared" si="2"/>
        <v/>
      </c>
      <c r="H20" s="9" t="str">
        <f t="shared" si="3"/>
        <v>CAUTION</v>
      </c>
      <c r="I20" s="8"/>
      <c r="J20" s="8"/>
    </row>
    <row r="21" spans="1:10" ht="15" thickBot="1" x14ac:dyDescent="0.4">
      <c r="A21" s="23" t="s">
        <v>44</v>
      </c>
      <c r="B21" s="24">
        <v>108</v>
      </c>
      <c r="C21" s="24">
        <v>127</v>
      </c>
      <c r="D21" s="24">
        <v>117</v>
      </c>
      <c r="E21" s="9">
        <f t="shared" si="0"/>
        <v>127</v>
      </c>
      <c r="F21" s="9" t="str">
        <f t="shared" si="1"/>
        <v/>
      </c>
      <c r="G21" s="9" t="str">
        <f t="shared" si="2"/>
        <v>IMPORTANT</v>
      </c>
      <c r="H21" s="9" t="str">
        <f t="shared" si="3"/>
        <v>IMPORTANT</v>
      </c>
      <c r="I21" s="8"/>
      <c r="J21" s="8"/>
    </row>
    <row r="22" spans="1:10" ht="15" thickBot="1" x14ac:dyDescent="0.4">
      <c r="A22" s="21" t="s">
        <v>49</v>
      </c>
      <c r="B22" s="22">
        <v>120</v>
      </c>
      <c r="C22" s="22">
        <v>115</v>
      </c>
      <c r="D22" s="22">
        <v>117</v>
      </c>
      <c r="E22" s="9">
        <f t="shared" si="0"/>
        <v>120</v>
      </c>
      <c r="F22" s="9" t="str">
        <f t="shared" si="1"/>
        <v>IMPORTANT</v>
      </c>
      <c r="G22" s="9" t="str">
        <f t="shared" si="2"/>
        <v>IMPORTANT</v>
      </c>
      <c r="H22" s="9" t="str">
        <f t="shared" si="3"/>
        <v>IMPORTANT</v>
      </c>
      <c r="I22" s="8"/>
      <c r="J22" s="8"/>
    </row>
    <row r="23" spans="1:10" ht="15" thickBot="1" x14ac:dyDescent="0.4">
      <c r="A23" s="23" t="s">
        <v>132</v>
      </c>
      <c r="B23" s="24">
        <v>113</v>
      </c>
      <c r="C23" s="24">
        <v>124</v>
      </c>
      <c r="D23" s="24">
        <v>115</v>
      </c>
      <c r="E23" s="9">
        <f t="shared" si="0"/>
        <v>124</v>
      </c>
      <c r="F23" s="9" t="str">
        <f t="shared" si="1"/>
        <v>IMPORTANT</v>
      </c>
      <c r="G23" s="9" t="str">
        <f t="shared" si="2"/>
        <v>IMPORTANT</v>
      </c>
      <c r="H23" s="9" t="str">
        <f t="shared" si="3"/>
        <v>IMPORTANT</v>
      </c>
      <c r="I23" s="8"/>
      <c r="J23" s="8"/>
    </row>
    <row r="24" spans="1:10" ht="15" thickBot="1" x14ac:dyDescent="0.4">
      <c r="A24" s="21" t="s">
        <v>47</v>
      </c>
      <c r="B24" s="22">
        <v>115</v>
      </c>
      <c r="C24" s="22">
        <v>121</v>
      </c>
      <c r="D24" s="22">
        <v>133</v>
      </c>
      <c r="E24" s="9">
        <f t="shared" si="0"/>
        <v>133</v>
      </c>
      <c r="F24" s="9" t="str">
        <f t="shared" si="1"/>
        <v>IMPORTANT</v>
      </c>
      <c r="G24" s="9" t="str">
        <f t="shared" si="2"/>
        <v>IMPORTANT</v>
      </c>
      <c r="H24" s="9" t="str">
        <f t="shared" si="3"/>
        <v>IMPORTANT</v>
      </c>
      <c r="I24" s="8"/>
      <c r="J24" s="8"/>
    </row>
    <row r="25" spans="1:10" ht="15" thickBot="1" x14ac:dyDescent="0.4">
      <c r="A25" s="23" t="s">
        <v>133</v>
      </c>
      <c r="B25" s="24">
        <v>117</v>
      </c>
      <c r="C25" s="24">
        <v>103</v>
      </c>
      <c r="D25" s="24">
        <v>119</v>
      </c>
      <c r="E25" s="9">
        <f t="shared" ref="E25:E34" si="4">IF(COUNT(B25:D25)=0,"",MAX(B25:D25))</f>
        <v>119</v>
      </c>
      <c r="F25" s="9" t="str">
        <f t="shared" ref="F25:F34" si="5">IF(B25="","",IF(B25&gt;=110,"IMPORTANT",IF(B25&lt;100,"CAUTION","")))</f>
        <v>IMPORTANT</v>
      </c>
      <c r="G25" s="9" t="str">
        <f t="shared" ref="G25:G34" si="6">IF(C25="","",IF(C25&gt;=110,"IMPORTANT",IF(C25&lt;100,"CAUTION","")))</f>
        <v/>
      </c>
      <c r="H25" s="9" t="str">
        <f t="shared" ref="H25:H34" si="7">IF(D25="","",IF(D25&gt;=110,"IMPORTANT",IF(D25&lt;100,"CAUTION","")))</f>
        <v>IMPORTANT</v>
      </c>
      <c r="I25" s="8"/>
      <c r="J25" s="8"/>
    </row>
    <row r="26" spans="1:10" ht="15" thickBot="1" x14ac:dyDescent="0.4">
      <c r="A26" s="21" t="s">
        <v>134</v>
      </c>
      <c r="B26" s="22">
        <v>107</v>
      </c>
      <c r="C26" s="22">
        <v>131</v>
      </c>
      <c r="D26" s="22">
        <v>113</v>
      </c>
      <c r="E26" s="9">
        <f t="shared" si="4"/>
        <v>131</v>
      </c>
      <c r="F26" s="9" t="str">
        <f t="shared" si="5"/>
        <v/>
      </c>
      <c r="G26" s="9" t="str">
        <f t="shared" si="6"/>
        <v>IMPORTANT</v>
      </c>
      <c r="H26" s="9" t="str">
        <f t="shared" si="7"/>
        <v>IMPORTANT</v>
      </c>
      <c r="I26" s="8"/>
      <c r="J26" s="8"/>
    </row>
    <row r="27" spans="1:10" ht="15" thickBot="1" x14ac:dyDescent="0.4">
      <c r="A27" s="23" t="s">
        <v>36</v>
      </c>
      <c r="B27" s="24">
        <v>110</v>
      </c>
      <c r="C27" s="24">
        <v>109</v>
      </c>
      <c r="D27" s="24">
        <v>134</v>
      </c>
      <c r="E27" s="9">
        <f t="shared" si="4"/>
        <v>134</v>
      </c>
      <c r="F27" s="9" t="str">
        <f t="shared" si="5"/>
        <v>IMPORTANT</v>
      </c>
      <c r="G27" s="9" t="str">
        <f t="shared" si="6"/>
        <v/>
      </c>
      <c r="H27" s="9" t="str">
        <f t="shared" si="7"/>
        <v>IMPORTANT</v>
      </c>
      <c r="I27" s="8"/>
      <c r="J27" s="8"/>
    </row>
    <row r="28" spans="1:10" ht="15" thickBot="1" x14ac:dyDescent="0.4">
      <c r="A28" s="21" t="s">
        <v>135</v>
      </c>
      <c r="B28" s="22">
        <v>118</v>
      </c>
      <c r="C28" s="22">
        <v>118</v>
      </c>
      <c r="D28" s="22">
        <v>118</v>
      </c>
      <c r="E28" s="9">
        <f t="shared" si="4"/>
        <v>118</v>
      </c>
      <c r="F28" s="9" t="str">
        <f t="shared" si="5"/>
        <v>IMPORTANT</v>
      </c>
      <c r="G28" s="9" t="str">
        <f t="shared" si="6"/>
        <v>IMPORTANT</v>
      </c>
      <c r="H28" s="9" t="str">
        <f t="shared" si="7"/>
        <v>IMPORTANT</v>
      </c>
      <c r="I28" s="8"/>
      <c r="J28" s="8"/>
    </row>
    <row r="29" spans="1:10" ht="15" thickBot="1" x14ac:dyDescent="0.4">
      <c r="A29" s="23" t="s">
        <v>136</v>
      </c>
      <c r="B29" s="24">
        <v>98</v>
      </c>
      <c r="C29" s="24">
        <v>117</v>
      </c>
      <c r="D29" s="24">
        <v>124</v>
      </c>
      <c r="E29" s="9">
        <f t="shared" si="4"/>
        <v>124</v>
      </c>
      <c r="F29" s="9" t="str">
        <f t="shared" si="5"/>
        <v>CAUTION</v>
      </c>
      <c r="G29" s="9" t="str">
        <f t="shared" si="6"/>
        <v>IMPORTANT</v>
      </c>
      <c r="H29" s="9" t="str">
        <f t="shared" si="7"/>
        <v>IMPORTANT</v>
      </c>
      <c r="I29" s="8"/>
      <c r="J29" s="8"/>
    </row>
    <row r="30" spans="1:10" ht="15" thickBot="1" x14ac:dyDescent="0.4">
      <c r="A30" s="21" t="s">
        <v>48</v>
      </c>
      <c r="B30" s="22">
        <v>80</v>
      </c>
      <c r="C30" s="22">
        <v>88</v>
      </c>
      <c r="D30" s="22">
        <v>122</v>
      </c>
      <c r="E30" s="9">
        <f t="shared" si="4"/>
        <v>122</v>
      </c>
      <c r="F30" s="9" t="str">
        <f t="shared" si="5"/>
        <v>CAUTION</v>
      </c>
      <c r="G30" s="9" t="str">
        <f t="shared" si="6"/>
        <v>CAUTION</v>
      </c>
      <c r="H30" s="9" t="str">
        <f t="shared" si="7"/>
        <v>IMPORTANT</v>
      </c>
      <c r="I30" s="8"/>
      <c r="J30" s="8"/>
    </row>
    <row r="31" spans="1:10" ht="15" thickBot="1" x14ac:dyDescent="0.4">
      <c r="A31" s="23" t="s">
        <v>137</v>
      </c>
      <c r="B31" s="24">
        <v>103</v>
      </c>
      <c r="C31" s="24">
        <v>123</v>
      </c>
      <c r="D31" s="24">
        <v>126</v>
      </c>
      <c r="E31" s="9">
        <f t="shared" si="4"/>
        <v>126</v>
      </c>
      <c r="F31" s="9" t="str">
        <f t="shared" si="5"/>
        <v/>
      </c>
      <c r="G31" s="9" t="str">
        <f t="shared" si="6"/>
        <v>IMPORTANT</v>
      </c>
      <c r="H31" s="9" t="str">
        <f t="shared" si="7"/>
        <v>IMPORTANT</v>
      </c>
      <c r="I31" s="8"/>
      <c r="J31" s="8"/>
    </row>
    <row r="32" spans="1:10" ht="15" thickBot="1" x14ac:dyDescent="0.4">
      <c r="A32" s="21" t="s">
        <v>138</v>
      </c>
      <c r="B32" s="22">
        <v>111</v>
      </c>
      <c r="C32" s="22">
        <v>121</v>
      </c>
      <c r="D32" s="22">
        <v>116</v>
      </c>
      <c r="E32" s="9">
        <f t="shared" si="4"/>
        <v>121</v>
      </c>
      <c r="F32" s="9" t="str">
        <f t="shared" si="5"/>
        <v>IMPORTANT</v>
      </c>
      <c r="G32" s="9" t="str">
        <f t="shared" si="6"/>
        <v>IMPORTANT</v>
      </c>
      <c r="H32" s="9" t="str">
        <f t="shared" si="7"/>
        <v>IMPORTANT</v>
      </c>
      <c r="I32" s="8"/>
      <c r="J32" s="8"/>
    </row>
    <row r="33" spans="1:10" ht="15" thickBot="1" x14ac:dyDescent="0.4">
      <c r="A33" s="23" t="s">
        <v>50</v>
      </c>
      <c r="B33" s="24">
        <v>115</v>
      </c>
      <c r="C33" s="24">
        <v>117</v>
      </c>
      <c r="D33" s="24">
        <v>118</v>
      </c>
      <c r="E33" s="9">
        <f t="shared" si="4"/>
        <v>118</v>
      </c>
      <c r="F33" s="9" t="str">
        <f t="shared" si="5"/>
        <v>IMPORTANT</v>
      </c>
      <c r="G33" s="9" t="str">
        <f t="shared" si="6"/>
        <v>IMPORTANT</v>
      </c>
      <c r="H33" s="9" t="str">
        <f t="shared" si="7"/>
        <v>IMPORTANT</v>
      </c>
      <c r="I33" s="8"/>
      <c r="J33" s="8"/>
    </row>
    <row r="34" spans="1:10" ht="15" thickBot="1" x14ac:dyDescent="0.4">
      <c r="A34" s="21" t="s">
        <v>139</v>
      </c>
      <c r="B34" s="22">
        <v>116</v>
      </c>
      <c r="C34" s="22">
        <v>124</v>
      </c>
      <c r="D34" s="22">
        <v>90</v>
      </c>
      <c r="E34" s="9">
        <f t="shared" si="4"/>
        <v>124</v>
      </c>
      <c r="F34" s="9" t="str">
        <f t="shared" si="5"/>
        <v>IMPORTANT</v>
      </c>
      <c r="G34" s="9" t="str">
        <f t="shared" si="6"/>
        <v>IMPORTANT</v>
      </c>
      <c r="H34" s="9" t="str">
        <f t="shared" si="7"/>
        <v>CAUTION</v>
      </c>
      <c r="I34" s="8"/>
      <c r="J34" s="8"/>
    </row>
    <row r="35" spans="1:10" ht="15" thickBot="1" x14ac:dyDescent="0.4">
      <c r="A35" s="25" t="s">
        <v>140</v>
      </c>
      <c r="B35" s="26">
        <v>128</v>
      </c>
      <c r="C35" s="26">
        <v>118</v>
      </c>
      <c r="D35" s="26">
        <v>123</v>
      </c>
      <c r="E35" s="9">
        <f t="shared" ref="E35:E40" si="8">IF(COUNT(B35:D35)=0,"",MAX(B35:D35))</f>
        <v>128</v>
      </c>
      <c r="F35" s="9" t="str">
        <f t="shared" ref="F35:F40" si="9">IF(B35="","",IF(B35&gt;=110,"IMPORTANT",IF(B35&lt;100,"CAUTION","")))</f>
        <v>IMPORTANT</v>
      </c>
      <c r="G35" s="9" t="str">
        <f t="shared" ref="G35:G40" si="10">IF(C35="","",IF(C35&gt;=110,"IMPORTANT",IF(C35&lt;100,"CAUTION","")))</f>
        <v>IMPORTANT</v>
      </c>
      <c r="H35" s="9" t="str">
        <f t="shared" ref="H35:H40" si="11">IF(D35="","",IF(D35&gt;=110,"IMPORTANT",IF(D35&lt;100,"CAUTION","")))</f>
        <v>IMPORTANT</v>
      </c>
      <c r="I35" s="8"/>
      <c r="J35" s="8" t="s">
        <v>146</v>
      </c>
    </row>
    <row r="36" spans="1:10" ht="15" thickBot="1" x14ac:dyDescent="0.4">
      <c r="A36" s="21" t="s">
        <v>141</v>
      </c>
      <c r="B36" s="22">
        <v>135</v>
      </c>
      <c r="C36" s="22">
        <v>123</v>
      </c>
      <c r="D36" s="22">
        <v>124</v>
      </c>
      <c r="E36" s="9">
        <f t="shared" si="8"/>
        <v>135</v>
      </c>
      <c r="F36" s="9" t="str">
        <f t="shared" si="9"/>
        <v>IMPORTANT</v>
      </c>
      <c r="G36" s="9" t="str">
        <f t="shared" si="10"/>
        <v>IMPORTANT</v>
      </c>
      <c r="H36" s="9" t="str">
        <f t="shared" si="11"/>
        <v>IMPORTANT</v>
      </c>
      <c r="I36" s="8"/>
      <c r="J36" s="8" t="s">
        <v>146</v>
      </c>
    </row>
    <row r="37" spans="1:10" ht="15" thickBot="1" x14ac:dyDescent="0.4">
      <c r="A37" s="25" t="s">
        <v>142</v>
      </c>
      <c r="B37" s="26">
        <v>121</v>
      </c>
      <c r="C37" s="26">
        <v>122</v>
      </c>
      <c r="D37" s="26">
        <v>114</v>
      </c>
      <c r="E37" s="9">
        <f t="shared" si="8"/>
        <v>122</v>
      </c>
      <c r="F37" s="9" t="str">
        <f t="shared" si="9"/>
        <v>IMPORTANT</v>
      </c>
      <c r="G37" s="9" t="str">
        <f t="shared" si="10"/>
        <v>IMPORTANT</v>
      </c>
      <c r="H37" s="9" t="str">
        <f t="shared" si="11"/>
        <v>IMPORTANT</v>
      </c>
      <c r="I37" s="8"/>
      <c r="J37" s="8" t="s">
        <v>146</v>
      </c>
    </row>
    <row r="38" spans="1:10" ht="15" thickBot="1" x14ac:dyDescent="0.4">
      <c r="A38" s="21" t="s">
        <v>143</v>
      </c>
      <c r="B38" s="22">
        <v>133</v>
      </c>
      <c r="C38" s="22">
        <v>122</v>
      </c>
      <c r="D38" s="22">
        <v>118</v>
      </c>
      <c r="E38" s="9">
        <f t="shared" si="8"/>
        <v>133</v>
      </c>
      <c r="F38" s="9" t="str">
        <f t="shared" si="9"/>
        <v>IMPORTANT</v>
      </c>
      <c r="G38" s="9" t="str">
        <f t="shared" si="10"/>
        <v>IMPORTANT</v>
      </c>
      <c r="H38" s="9" t="str">
        <f t="shared" si="11"/>
        <v>IMPORTANT</v>
      </c>
      <c r="I38" s="8"/>
      <c r="J38" s="8" t="s">
        <v>146</v>
      </c>
    </row>
    <row r="39" spans="1:10" ht="15" thickBot="1" x14ac:dyDescent="0.4">
      <c r="A39" s="25" t="s">
        <v>144</v>
      </c>
      <c r="B39" s="26">
        <v>119</v>
      </c>
      <c r="C39" s="26">
        <v>124</v>
      </c>
      <c r="D39" s="26">
        <v>115</v>
      </c>
      <c r="E39" s="9">
        <f t="shared" si="8"/>
        <v>124</v>
      </c>
      <c r="F39" s="9" t="str">
        <f t="shared" si="9"/>
        <v>IMPORTANT</v>
      </c>
      <c r="G39" s="9" t="str">
        <f t="shared" si="10"/>
        <v>IMPORTANT</v>
      </c>
      <c r="H39" s="9" t="str">
        <f t="shared" si="11"/>
        <v>IMPORTANT</v>
      </c>
      <c r="I39" s="8"/>
      <c r="J39" s="8" t="s">
        <v>146</v>
      </c>
    </row>
    <row r="40" spans="1:10" ht="15" thickBot="1" x14ac:dyDescent="0.4">
      <c r="A40" s="21" t="s">
        <v>145</v>
      </c>
      <c r="B40" s="22">
        <v>127</v>
      </c>
      <c r="C40" s="22">
        <v>113</v>
      </c>
      <c r="D40" s="22">
        <v>119</v>
      </c>
      <c r="E40" s="9">
        <f t="shared" si="8"/>
        <v>127</v>
      </c>
      <c r="F40" s="9" t="str">
        <f t="shared" si="9"/>
        <v>IMPORTANT</v>
      </c>
      <c r="G40" s="9" t="str">
        <f t="shared" si="10"/>
        <v>IMPORTANT</v>
      </c>
      <c r="H40" s="9" t="str">
        <f t="shared" si="11"/>
        <v>IMPORTANT</v>
      </c>
      <c r="I40" s="8"/>
      <c r="J40" s="8" t="s">
        <v>146</v>
      </c>
    </row>
    <row r="43" spans="1:10" x14ac:dyDescent="0.35">
      <c r="A43" t="s">
        <v>147</v>
      </c>
      <c r="B43">
        <f>_xlfn.FLOOR.MATH((IFERROR(AVERAGE(B5:B41),"")*1))</f>
        <v>115</v>
      </c>
      <c r="C43">
        <f t="shared" ref="C43:D43" si="12">_xlfn.FLOOR.MATH((IFERROR(AVERAGE(C5:C41),"")*1))</f>
        <v>112</v>
      </c>
      <c r="D43">
        <f t="shared" si="12"/>
        <v>109</v>
      </c>
    </row>
    <row r="44" spans="1:10" x14ac:dyDescent="0.35">
      <c r="A44" t="s">
        <v>148</v>
      </c>
      <c r="B44">
        <f>_xlfn.FLOOR.MATH(IFERROR(AVERAGE(B5:B34),""),1)</f>
        <v>112</v>
      </c>
      <c r="C44">
        <f t="shared" ref="C44:D44" si="13">_xlfn.FLOOR.MATH(IFERROR(AVERAGE(C5:C34),""),1)</f>
        <v>111</v>
      </c>
      <c r="D44">
        <f t="shared" si="13"/>
        <v>107</v>
      </c>
    </row>
    <row r="45" spans="1:10" x14ac:dyDescent="0.35">
      <c r="A45" t="s">
        <v>149</v>
      </c>
      <c r="B45">
        <f>_xlfn.FLOOR.MATH(IFERROR(AVERAGE(B35:B40),""),1)</f>
        <v>127</v>
      </c>
      <c r="C45">
        <f t="shared" ref="C45:D45" si="14">_xlfn.FLOOR.MATH(IFERROR(AVERAGE(C35:C40),""),1)</f>
        <v>120</v>
      </c>
      <c r="D45">
        <f t="shared" si="14"/>
        <v>118</v>
      </c>
    </row>
  </sheetData>
  <conditionalFormatting sqref="B5:B40">
    <cfRule type="top10" dxfId="2" priority="3" rank="10"/>
  </conditionalFormatting>
  <conditionalFormatting sqref="C5:C40">
    <cfRule type="top10" dxfId="1" priority="1" rank="10"/>
  </conditionalFormatting>
  <conditionalFormatting sqref="D5:D40">
    <cfRule type="top10" dxfId="0" priority="2" rank="10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tabSelected="1" workbookViewId="0">
      <selection activeCell="D18" sqref="D18"/>
    </sheetView>
  </sheetViews>
  <sheetFormatPr defaultRowHeight="14.5" x14ac:dyDescent="0.35"/>
  <cols>
    <col min="1" max="1" width="34" customWidth="1"/>
    <col min="2" max="4" width="12" customWidth="1"/>
    <col min="5" max="5" width="8" customWidth="1"/>
    <col min="6" max="8" width="12" customWidth="1"/>
    <col min="9" max="9" width="36" customWidth="1"/>
    <col min="10" max="10" width="14" customWidth="1"/>
  </cols>
  <sheetData>
    <row r="1" spans="1:10" ht="18.5" x14ac:dyDescent="0.45">
      <c r="A1" s="6" t="s">
        <v>51</v>
      </c>
    </row>
    <row r="2" spans="1:10" x14ac:dyDescent="0.35">
      <c r="A2" s="2" t="s">
        <v>52</v>
      </c>
    </row>
    <row r="4" spans="1:10" ht="15" thickBot="1" x14ac:dyDescent="0.4">
      <c r="A4" s="3" t="s">
        <v>53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54</v>
      </c>
      <c r="J4" s="3" t="s">
        <v>55</v>
      </c>
    </row>
    <row r="5" spans="1:10" ht="15" thickBot="1" x14ac:dyDescent="0.4">
      <c r="A5" s="19" t="s">
        <v>34</v>
      </c>
      <c r="B5" s="20">
        <v>129</v>
      </c>
      <c r="C5" s="20">
        <v>115</v>
      </c>
      <c r="D5" s="20">
        <v>106</v>
      </c>
      <c r="E5" s="9">
        <f t="shared" ref="E5:E10" si="0">IF(COUNT(B5:D5)=0,"",MAX(B5:D5))</f>
        <v>129</v>
      </c>
      <c r="F5" s="9" t="str">
        <f t="shared" ref="F5:F10" si="1">IF(B5="","",IF(B5&gt;=110,"IMPORTANT",IF(B5&lt;100,"CAUTION","")))</f>
        <v>IMPORTANT</v>
      </c>
      <c r="G5" s="9" t="str">
        <f t="shared" ref="G5:G10" si="2">IF(C5="","",IF(C5&gt;=110,"IMPORTANT",IF(C5&lt;100,"CAUTION","")))</f>
        <v>IMPORTANT</v>
      </c>
      <c r="H5" s="9" t="str">
        <f t="shared" ref="H5:H10" si="3">IF(D5="","",IF(D5&gt;=110,"IMPORTANT",IF(D5&lt;100,"CAUTION","")))</f>
        <v/>
      </c>
      <c r="I5" s="8"/>
      <c r="J5" s="8"/>
    </row>
    <row r="6" spans="1:10" ht="15" thickBot="1" x14ac:dyDescent="0.4">
      <c r="A6" s="21" t="s">
        <v>150</v>
      </c>
      <c r="B6" s="22">
        <v>115</v>
      </c>
      <c r="C6" s="22">
        <v>118</v>
      </c>
      <c r="D6" s="22">
        <v>121</v>
      </c>
      <c r="E6" s="9">
        <f t="shared" si="0"/>
        <v>121</v>
      </c>
      <c r="F6" s="9" t="str">
        <f t="shared" si="1"/>
        <v>IMPORTANT</v>
      </c>
      <c r="G6" s="9" t="str">
        <f t="shared" si="2"/>
        <v>IMPORTANT</v>
      </c>
      <c r="H6" s="9" t="str">
        <f t="shared" si="3"/>
        <v>IMPORTANT</v>
      </c>
      <c r="I6" s="8"/>
      <c r="J6" s="8"/>
    </row>
    <row r="7" spans="1:10" ht="15" thickBot="1" x14ac:dyDescent="0.4">
      <c r="A7" s="23" t="s">
        <v>151</v>
      </c>
      <c r="B7" s="24">
        <v>122</v>
      </c>
      <c r="C7" s="24">
        <v>108</v>
      </c>
      <c r="D7" s="24">
        <v>102</v>
      </c>
      <c r="E7" s="9">
        <f t="shared" si="0"/>
        <v>122</v>
      </c>
      <c r="F7" s="9" t="str">
        <f t="shared" si="1"/>
        <v>IMPORTANT</v>
      </c>
      <c r="G7" s="9" t="str">
        <f t="shared" si="2"/>
        <v/>
      </c>
      <c r="H7" s="9" t="str">
        <f t="shared" si="3"/>
        <v/>
      </c>
      <c r="I7" s="8"/>
      <c r="J7" s="8"/>
    </row>
    <row r="8" spans="1:10" ht="15" thickBot="1" x14ac:dyDescent="0.4">
      <c r="A8" s="21" t="s">
        <v>152</v>
      </c>
      <c r="B8" s="22">
        <v>123</v>
      </c>
      <c r="C8" s="22">
        <v>115</v>
      </c>
      <c r="D8" s="22">
        <v>102</v>
      </c>
      <c r="E8" s="9">
        <f t="shared" si="0"/>
        <v>123</v>
      </c>
      <c r="F8" s="9" t="str">
        <f t="shared" si="1"/>
        <v>IMPORTANT</v>
      </c>
      <c r="G8" s="9" t="str">
        <f t="shared" si="2"/>
        <v>IMPORTANT</v>
      </c>
      <c r="H8" s="9" t="str">
        <f t="shared" si="3"/>
        <v/>
      </c>
      <c r="I8" s="8"/>
      <c r="J8" s="8"/>
    </row>
    <row r="9" spans="1:10" ht="15" thickBot="1" x14ac:dyDescent="0.4">
      <c r="A9" s="23" t="s">
        <v>153</v>
      </c>
      <c r="B9" s="24">
        <v>112</v>
      </c>
      <c r="C9" s="24">
        <v>129</v>
      </c>
      <c r="D9" s="24">
        <v>117</v>
      </c>
      <c r="E9" s="9">
        <f t="shared" si="0"/>
        <v>129</v>
      </c>
      <c r="F9" s="9" t="str">
        <f t="shared" si="1"/>
        <v>IMPORTANT</v>
      </c>
      <c r="G9" s="9" t="str">
        <f t="shared" si="2"/>
        <v>IMPORTANT</v>
      </c>
      <c r="H9" s="9" t="str">
        <f t="shared" si="3"/>
        <v>IMPORTANT</v>
      </c>
      <c r="I9" s="8"/>
      <c r="J9" s="8"/>
    </row>
    <row r="10" spans="1:10" ht="15" thickBot="1" x14ac:dyDescent="0.4">
      <c r="A10" s="21" t="s">
        <v>154</v>
      </c>
      <c r="B10" s="22">
        <v>81</v>
      </c>
      <c r="C10" s="22">
        <v>115</v>
      </c>
      <c r="D10" s="22">
        <v>129</v>
      </c>
      <c r="E10" s="9">
        <f t="shared" si="0"/>
        <v>129</v>
      </c>
      <c r="F10" s="9" t="str">
        <f t="shared" si="1"/>
        <v>CAUTION</v>
      </c>
      <c r="G10" s="9" t="str">
        <f t="shared" si="2"/>
        <v>IMPORTANT</v>
      </c>
      <c r="H10" s="9" t="str">
        <f t="shared" si="3"/>
        <v>IMPORTANT</v>
      </c>
      <c r="I10" s="8"/>
      <c r="J10" s="8"/>
    </row>
    <row r="12" spans="1:10" x14ac:dyDescent="0.35">
      <c r="A12" t="s">
        <v>147</v>
      </c>
      <c r="B12">
        <f>_xlfn.FLOOR.MATH((IFERROR(AVERAGE(B5:B10),"")*1))</f>
        <v>113</v>
      </c>
      <c r="C12">
        <f t="shared" ref="C12:D12" si="4">_xlfn.FLOOR.MATH((IFERROR(AVERAGE(C5:C10),"")*1))</f>
        <v>116</v>
      </c>
      <c r="D12">
        <f t="shared" si="4"/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>
      <selection activeCell="E13" sqref="E13"/>
    </sheetView>
  </sheetViews>
  <sheetFormatPr defaultRowHeight="14.5" x14ac:dyDescent="0.35"/>
  <cols>
    <col min="1" max="1" width="14" customWidth="1"/>
    <col min="2" max="2" width="12" customWidth="1"/>
    <col min="3" max="3" width="10" customWidth="1"/>
    <col min="4" max="4" width="12" customWidth="1"/>
    <col min="5" max="5" width="36" customWidth="1"/>
    <col min="6" max="6" width="18" customWidth="1"/>
    <col min="7" max="7" width="36" customWidth="1"/>
  </cols>
  <sheetData>
    <row r="1" spans="1:7" ht="18.5" x14ac:dyDescent="0.45">
      <c r="A1" s="6" t="s">
        <v>56</v>
      </c>
    </row>
    <row r="2" spans="1:7" x14ac:dyDescent="0.35">
      <c r="A2" s="2" t="s">
        <v>57</v>
      </c>
    </row>
    <row r="4" spans="1:7" ht="29" x14ac:dyDescent="0.35">
      <c r="A4" s="3" t="s">
        <v>58</v>
      </c>
      <c r="B4" s="3" t="s">
        <v>59</v>
      </c>
      <c r="C4" s="3" t="s">
        <v>60</v>
      </c>
      <c r="D4" s="3" t="s">
        <v>61</v>
      </c>
      <c r="E4" s="3" t="s">
        <v>62</v>
      </c>
      <c r="F4" s="3" t="s">
        <v>63</v>
      </c>
      <c r="G4" s="3" t="s">
        <v>64</v>
      </c>
    </row>
    <row r="5" spans="1:7" x14ac:dyDescent="0.35">
      <c r="A5" s="4" t="s">
        <v>34</v>
      </c>
      <c r="B5" s="8">
        <v>1100</v>
      </c>
      <c r="C5" s="9">
        <f>IF(OR($B$5="",B5=""),"",B5-$B$5)</f>
        <v>0</v>
      </c>
      <c r="D5" s="9">
        <f>IF(OR($B$6="",B5=""),"",B5-$B$6)</f>
        <v>-265</v>
      </c>
      <c r="E5" s="8"/>
      <c r="F5" s="8"/>
      <c r="G5" s="8"/>
    </row>
    <row r="6" spans="1:7" x14ac:dyDescent="0.35">
      <c r="A6" s="4" t="s">
        <v>35</v>
      </c>
      <c r="B6" s="8">
        <v>1365</v>
      </c>
      <c r="C6" s="9">
        <f>IF(OR($B$5="",B6=""),"",B6-$B$5)</f>
        <v>265</v>
      </c>
      <c r="D6" s="9">
        <f>IF(OR($B$6="",B6=""),"",B6-$B$6)</f>
        <v>0</v>
      </c>
      <c r="E6" s="8"/>
      <c r="F6" s="8"/>
      <c r="G6" s="8"/>
    </row>
    <row r="7" spans="1:7" x14ac:dyDescent="0.35">
      <c r="A7" s="4" t="s">
        <v>36</v>
      </c>
      <c r="B7" s="8">
        <v>1580</v>
      </c>
      <c r="C7" s="9">
        <f>IF(OR($B$5="",B7=""),"",B7-$B$5)</f>
        <v>480</v>
      </c>
      <c r="D7" s="9">
        <f>IF(OR($B$6="",B7=""),"",B7-$B$6)</f>
        <v>215</v>
      </c>
      <c r="E7" s="8"/>
      <c r="F7" s="8"/>
      <c r="G7" s="8"/>
    </row>
    <row r="9" spans="1:7" x14ac:dyDescent="0.35">
      <c r="A9" t="s">
        <v>65</v>
      </c>
    </row>
    <row r="10" spans="1:7" x14ac:dyDescent="0.35">
      <c r="A10" s="17"/>
      <c r="B10" s="18"/>
      <c r="C10" s="18"/>
      <c r="D10" s="18"/>
      <c r="E10" s="18"/>
      <c r="F10" s="18"/>
      <c r="G10" s="18"/>
    </row>
    <row r="11" spans="1:7" x14ac:dyDescent="0.35">
      <c r="A11" s="18"/>
      <c r="B11" s="18"/>
      <c r="C11" s="18"/>
      <c r="D11" s="18"/>
      <c r="E11" s="18"/>
      <c r="F11" s="18"/>
      <c r="G11" s="18"/>
    </row>
    <row r="12" spans="1:7" x14ac:dyDescent="0.35">
      <c r="A12" s="18"/>
      <c r="B12" s="18"/>
      <c r="C12" s="18"/>
      <c r="D12" s="18"/>
      <c r="E12" s="18"/>
      <c r="F12" s="18"/>
      <c r="G12" s="18"/>
    </row>
  </sheetData>
  <mergeCells count="1">
    <mergeCell ref="A10:G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>
      <selection activeCell="D14" sqref="D14"/>
    </sheetView>
  </sheetViews>
  <sheetFormatPr defaultRowHeight="14.5" x14ac:dyDescent="0.35"/>
  <cols>
    <col min="1" max="1" width="18" customWidth="1"/>
    <col min="2" max="5" width="12" customWidth="1"/>
    <col min="6" max="6" width="16" customWidth="1"/>
    <col min="7" max="7" width="18" customWidth="1"/>
    <col min="8" max="8" width="40" customWidth="1"/>
  </cols>
  <sheetData>
    <row r="1" spans="1:8" ht="18.5" x14ac:dyDescent="0.45">
      <c r="A1" s="6" t="s">
        <v>66</v>
      </c>
    </row>
    <row r="2" spans="1:8" x14ac:dyDescent="0.35">
      <c r="A2" s="2" t="s">
        <v>67</v>
      </c>
    </row>
    <row r="4" spans="1:8" ht="29.5" thickBot="1" x14ac:dyDescent="0.4">
      <c r="A4" s="3" t="s">
        <v>68</v>
      </c>
      <c r="B4" s="3" t="s">
        <v>34</v>
      </c>
      <c r="C4" s="3" t="s">
        <v>35</v>
      </c>
      <c r="D4" s="3" t="s">
        <v>36</v>
      </c>
      <c r="E4" s="3" t="s">
        <v>69</v>
      </c>
      <c r="F4" s="3" t="s">
        <v>70</v>
      </c>
      <c r="G4" s="3" t="s">
        <v>71</v>
      </c>
      <c r="H4" s="3" t="s">
        <v>72</v>
      </c>
    </row>
    <row r="5" spans="1:8" ht="15" thickBot="1" x14ac:dyDescent="0.4">
      <c r="A5" s="23" t="s">
        <v>155</v>
      </c>
      <c r="B5" s="27">
        <v>5114</v>
      </c>
      <c r="C5" s="27">
        <v>4757</v>
      </c>
      <c r="D5" s="27">
        <v>3826</v>
      </c>
      <c r="E5" s="9">
        <f>IF(COUNT(B5:D5)=0,"",SUM(B5:D5))</f>
        <v>13697</v>
      </c>
      <c r="F5" s="9">
        <f>IF(E5="","",E5/4)</f>
        <v>3424.25</v>
      </c>
      <c r="G5" s="8"/>
      <c r="H5" s="8"/>
    </row>
    <row r="6" spans="1:8" ht="15" thickBot="1" x14ac:dyDescent="0.4">
      <c r="A6" s="21" t="s">
        <v>75</v>
      </c>
      <c r="B6" s="28">
        <v>4194</v>
      </c>
      <c r="C6" s="28">
        <v>3177</v>
      </c>
      <c r="D6" s="28">
        <v>1942</v>
      </c>
      <c r="E6" s="9">
        <f>IF(COUNT(B6:D6)=0,"",SUM(B6:D6))</f>
        <v>9313</v>
      </c>
      <c r="F6" s="9">
        <f>IF(E6="","",E6/4)</f>
        <v>2328.25</v>
      </c>
      <c r="G6" s="8"/>
      <c r="H6" s="8"/>
    </row>
    <row r="7" spans="1:8" ht="15" thickBot="1" x14ac:dyDescent="0.4">
      <c r="A7" s="23" t="s">
        <v>74</v>
      </c>
      <c r="B7" s="27">
        <v>5468</v>
      </c>
      <c r="C7" s="27">
        <v>3447</v>
      </c>
      <c r="D7" s="27">
        <v>3659</v>
      </c>
      <c r="E7" s="9">
        <f>IF(COUNT(B7:D7)=0,"",SUM(B7:D7))</f>
        <v>12574</v>
      </c>
      <c r="F7" s="9">
        <f>IF(E7="","",E7/4)</f>
        <v>3143.5</v>
      </c>
      <c r="G7" s="8"/>
      <c r="H7" s="8"/>
    </row>
    <row r="8" spans="1:8" ht="15" thickBot="1" x14ac:dyDescent="0.4">
      <c r="A8" s="19" t="s">
        <v>76</v>
      </c>
      <c r="B8" s="29">
        <v>3491</v>
      </c>
      <c r="C8" s="29">
        <v>2439</v>
      </c>
      <c r="D8" s="29">
        <v>2447</v>
      </c>
      <c r="E8" s="9">
        <f>IF(COUNT(B8:D8)=0,"",SUM(B8:D8))</f>
        <v>8377</v>
      </c>
      <c r="F8" s="9">
        <f>IF(E8="","",E8/4)</f>
        <v>2094.25</v>
      </c>
      <c r="G8" s="8"/>
      <c r="H8" s="8"/>
    </row>
    <row r="9" spans="1:8" x14ac:dyDescent="0.35">
      <c r="A9" s="10" t="s">
        <v>77</v>
      </c>
      <c r="B9" s="11">
        <f>IF(COUNT(B5:B8)=0,"",SUM(B5:B8))</f>
        <v>18267</v>
      </c>
      <c r="C9" s="11">
        <f>IF(COUNT(C5:C8)=0,"",SUM(C5:C8))</f>
        <v>13820</v>
      </c>
      <c r="D9" s="11">
        <f>IF(COUNT(D5:D8)=0,"",SUM(D5:D8))</f>
        <v>11874</v>
      </c>
      <c r="E9" s="11">
        <f>IF(COUNT(E5:E8)=0,"",SUM(E5:E8))</f>
        <v>43961</v>
      </c>
      <c r="F9" s="11">
        <f>IF(COUNT(F5:F8)=0,"",SUM(F5:F8))</f>
        <v>10990.25</v>
      </c>
      <c r="G9" s="11"/>
      <c r="H9" s="11"/>
    </row>
    <row r="11" spans="1:8" x14ac:dyDescent="0.35">
      <c r="A11" t="s">
        <v>78</v>
      </c>
      <c r="B11" s="12">
        <f>IF(OR(B9="",E9="",E9=0),"",B9/E9)</f>
        <v>0.41552739928573051</v>
      </c>
      <c r="C11" s="12">
        <f>IF(OR(C9="",E9="",E9=0),"",C9/E9)</f>
        <v>0.31436955483269263</v>
      </c>
      <c r="D11" s="12">
        <f>IF(OR(D9="",E9="",E9=0),"",D9/E9)</f>
        <v>0.27010304588157685</v>
      </c>
    </row>
    <row r="13" spans="1:8" x14ac:dyDescent="0.35">
      <c r="A13" t="s">
        <v>79</v>
      </c>
    </row>
    <row r="14" spans="1:8" x14ac:dyDescent="0.35">
      <c r="A14" t="s">
        <v>80</v>
      </c>
      <c r="B14" s="13"/>
    </row>
    <row r="15" spans="1:8" x14ac:dyDescent="0.35">
      <c r="A15" t="s">
        <v>81</v>
      </c>
      <c r="B15" s="13"/>
    </row>
    <row r="16" spans="1:8" x14ac:dyDescent="0.35">
      <c r="A16" t="s">
        <v>82</v>
      </c>
      <c r="B16" s="13"/>
    </row>
    <row r="17" spans="1:2" x14ac:dyDescent="0.35">
      <c r="A17" t="s">
        <v>83</v>
      </c>
      <c r="B17" s="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5"/>
  <sheetViews>
    <sheetView workbookViewId="0"/>
  </sheetViews>
  <sheetFormatPr defaultRowHeight="14.5" x14ac:dyDescent="0.35"/>
  <cols>
    <col min="1" max="1" width="28" customWidth="1"/>
    <col min="2" max="2" width="10" customWidth="1"/>
    <col min="3" max="3" width="12" customWidth="1"/>
    <col min="4" max="4" width="3" customWidth="1"/>
    <col min="5" max="5" width="28" customWidth="1"/>
    <col min="6" max="6" width="10" customWidth="1"/>
    <col min="7" max="7" width="12" customWidth="1"/>
    <col min="8" max="8" width="3" customWidth="1"/>
    <col min="9" max="9" width="28" customWidth="1"/>
    <col min="10" max="10" width="10" customWidth="1"/>
    <col min="11" max="11" width="12" customWidth="1"/>
  </cols>
  <sheetData>
    <row r="1" spans="1:11" ht="18.5" x14ac:dyDescent="0.45">
      <c r="A1" s="6" t="s">
        <v>84</v>
      </c>
    </row>
    <row r="2" spans="1:11" x14ac:dyDescent="0.35">
      <c r="A2" s="2" t="s">
        <v>85</v>
      </c>
    </row>
    <row r="4" spans="1:11" x14ac:dyDescent="0.35">
      <c r="A4" s="14" t="s">
        <v>86</v>
      </c>
      <c r="E4" s="14" t="s">
        <v>87</v>
      </c>
      <c r="I4" s="14" t="s">
        <v>88</v>
      </c>
    </row>
    <row r="5" spans="1:11" x14ac:dyDescent="0.35">
      <c r="A5" s="3" t="s">
        <v>89</v>
      </c>
      <c r="B5" s="3" t="s">
        <v>90</v>
      </c>
      <c r="C5" s="3" t="s">
        <v>91</v>
      </c>
      <c r="E5" s="3" t="s">
        <v>89</v>
      </c>
      <c r="F5" s="3" t="s">
        <v>90</v>
      </c>
      <c r="G5" s="3" t="s">
        <v>91</v>
      </c>
      <c r="I5" s="3" t="s">
        <v>89</v>
      </c>
      <c r="J5" s="3" t="s">
        <v>90</v>
      </c>
      <c r="K5" s="3" t="s">
        <v>91</v>
      </c>
    </row>
    <row r="6" spans="1:11" x14ac:dyDescent="0.35">
      <c r="A6" s="15" t="str">
        <f>Needs!A5</f>
        <v>Colorful</v>
      </c>
      <c r="B6" s="15">
        <f>Needs!B5</f>
        <v>116</v>
      </c>
      <c r="C6" s="15" t="str">
        <f>Needs!F5</f>
        <v>IMPORTANT</v>
      </c>
      <c r="E6" s="15" t="str">
        <f>Needs!A5</f>
        <v>Colorful</v>
      </c>
      <c r="F6" s="15">
        <f>Needs!C5</f>
        <v>120</v>
      </c>
      <c r="G6" s="15" t="str">
        <f>Needs!G5</f>
        <v>IMPORTANT</v>
      </c>
      <c r="I6" s="15" t="str">
        <f>Needs!A5</f>
        <v>Colorful</v>
      </c>
      <c r="J6" s="15">
        <f>Needs!D5</f>
        <v>109</v>
      </c>
      <c r="K6" s="15" t="str">
        <f>Needs!H5</f>
        <v/>
      </c>
    </row>
    <row r="7" spans="1:11" x14ac:dyDescent="0.35">
      <c r="A7" s="15" t="str">
        <f>Needs!A6</f>
        <v>Fits rider's personality</v>
      </c>
      <c r="B7" s="15">
        <f>Needs!B6</f>
        <v>116</v>
      </c>
      <c r="C7" s="15" t="str">
        <f>Needs!F6</f>
        <v>IMPORTANT</v>
      </c>
      <c r="E7" s="15" t="str">
        <f>Needs!A6</f>
        <v>Fits rider's personality</v>
      </c>
      <c r="F7" s="15">
        <f>Needs!C6</f>
        <v>113</v>
      </c>
      <c r="G7" s="15" t="str">
        <f>Needs!G6</f>
        <v>IMPORTANT</v>
      </c>
      <c r="I7" s="15" t="str">
        <f>Needs!A6</f>
        <v>Fits rider's personality</v>
      </c>
      <c r="J7" s="15">
        <f>Needs!D6</f>
        <v>116</v>
      </c>
      <c r="K7" s="15" t="str">
        <f>Needs!H6</f>
        <v>IMPORTANT</v>
      </c>
    </row>
    <row r="8" spans="1:11" x14ac:dyDescent="0.35">
      <c r="A8" s="15" t="str">
        <f>Needs!A7</f>
        <v>Simple to use</v>
      </c>
      <c r="B8" s="15">
        <f>Needs!B7</f>
        <v>121</v>
      </c>
      <c r="C8" s="15" t="str">
        <f>Needs!F7</f>
        <v>IMPORTANT</v>
      </c>
      <c r="E8" s="15" t="str">
        <f>Needs!A7</f>
        <v>Simple to use</v>
      </c>
      <c r="F8" s="15">
        <f>Needs!C7</f>
        <v>102</v>
      </c>
      <c r="G8" s="15" t="str">
        <f>Needs!G7</f>
        <v/>
      </c>
      <c r="I8" s="15" t="str">
        <f>Needs!A7</f>
        <v>Simple to use</v>
      </c>
      <c r="J8" s="15">
        <f>Needs!D7</f>
        <v>69</v>
      </c>
      <c r="K8" s="15" t="str">
        <f>Needs!H7</f>
        <v>CAUTION</v>
      </c>
    </row>
    <row r="9" spans="1:11" x14ac:dyDescent="0.35">
      <c r="A9" s="15" t="str">
        <f>Needs!A8</f>
        <v>Safety</v>
      </c>
      <c r="B9" s="15">
        <f>Needs!B8</f>
        <v>121</v>
      </c>
      <c r="C9" s="15" t="str">
        <f>Needs!F8</f>
        <v>IMPORTANT</v>
      </c>
      <c r="E9" s="15" t="str">
        <f>Needs!A8</f>
        <v>Safety</v>
      </c>
      <c r="F9" s="15">
        <f>Needs!C8</f>
        <v>112</v>
      </c>
      <c r="G9" s="15" t="str">
        <f>Needs!G8</f>
        <v>IMPORTANT</v>
      </c>
      <c r="I9" s="15" t="str">
        <f>Needs!A8</f>
        <v>Safety</v>
      </c>
      <c r="J9" s="15">
        <f>Needs!D8</f>
        <v>113</v>
      </c>
      <c r="K9" s="15" t="str">
        <f>Needs!H8</f>
        <v>IMPORTANT</v>
      </c>
    </row>
    <row r="10" spans="1:11" x14ac:dyDescent="0.35">
      <c r="A10" s="15" t="str">
        <f>Needs!A9</f>
        <v>Low price point</v>
      </c>
      <c r="B10" s="15">
        <f>Needs!B9</f>
        <v>117</v>
      </c>
      <c r="C10" s="15" t="str">
        <f>Needs!F9</f>
        <v>IMPORTANT</v>
      </c>
      <c r="E10" s="15" t="str">
        <f>Needs!A9</f>
        <v>Low price point</v>
      </c>
      <c r="F10" s="15">
        <f>Needs!C9</f>
        <v>98</v>
      </c>
      <c r="G10" s="15" t="str">
        <f>Needs!G9</f>
        <v>CAUTION</v>
      </c>
      <c r="I10" s="15" t="str">
        <f>Needs!A9</f>
        <v>Low price point</v>
      </c>
      <c r="J10" s="15">
        <f>Needs!D9</f>
        <v>70</v>
      </c>
      <c r="K10" s="15" t="str">
        <f>Needs!H9</f>
        <v>CAUTION</v>
      </c>
    </row>
    <row r="11" spans="1:11" x14ac:dyDescent="0.35">
      <c r="A11" s="15" t="str">
        <f>Needs!A10</f>
        <v>Sleek</v>
      </c>
      <c r="B11" s="15">
        <f>Needs!B10</f>
        <v>104</v>
      </c>
      <c r="C11" s="15" t="str">
        <f>Needs!F10</f>
        <v/>
      </c>
      <c r="E11" s="15" t="str">
        <f>Needs!A10</f>
        <v>Sleek</v>
      </c>
      <c r="F11" s="15">
        <f>Needs!C10</f>
        <v>83</v>
      </c>
      <c r="G11" s="15" t="str">
        <f>Needs!G10</f>
        <v>CAUTION</v>
      </c>
      <c r="I11" s="15" t="str">
        <f>Needs!A10</f>
        <v>Sleek</v>
      </c>
      <c r="J11" s="15">
        <f>Needs!D10</f>
        <v>119</v>
      </c>
      <c r="K11" s="15" t="str">
        <f>Needs!H10</f>
        <v>IMPORTANT</v>
      </c>
    </row>
    <row r="12" spans="1:11" x14ac:dyDescent="0.35">
      <c r="A12" s="15" t="str">
        <f>Needs!A11</f>
        <v>Stylish</v>
      </c>
      <c r="B12" s="15">
        <f>Needs!B11</f>
        <v>111</v>
      </c>
      <c r="C12" s="15" t="str">
        <f>Needs!F11</f>
        <v>IMPORTANT</v>
      </c>
      <c r="E12" s="15" t="str">
        <f>Needs!A11</f>
        <v>Stylish</v>
      </c>
      <c r="F12" s="15">
        <f>Needs!C11</f>
        <v>118</v>
      </c>
      <c r="G12" s="15" t="str">
        <f>Needs!G11</f>
        <v>IMPORTANT</v>
      </c>
      <c r="I12" s="15" t="str">
        <f>Needs!A11</f>
        <v>Stylish</v>
      </c>
      <c r="J12" s="15">
        <f>Needs!D11</f>
        <v>116</v>
      </c>
      <c r="K12" s="15" t="str">
        <f>Needs!H11</f>
        <v>IMPORTANT</v>
      </c>
    </row>
    <row r="13" spans="1:11" x14ac:dyDescent="0.35">
      <c r="A13" s="15" t="str">
        <f>Needs!A12</f>
        <v>Easy to ride</v>
      </c>
      <c r="B13" s="15">
        <f>Needs!B12</f>
        <v>124</v>
      </c>
      <c r="C13" s="15" t="str">
        <f>Needs!F12</f>
        <v>IMPORTANT</v>
      </c>
      <c r="E13" s="15" t="str">
        <f>Needs!A12</f>
        <v>Easy to ride</v>
      </c>
      <c r="F13" s="15">
        <f>Needs!C12</f>
        <v>100</v>
      </c>
      <c r="G13" s="15" t="str">
        <f>Needs!G12</f>
        <v/>
      </c>
      <c r="I13" s="15" t="str">
        <f>Needs!A12</f>
        <v>Easy to ride</v>
      </c>
      <c r="J13" s="15">
        <f>Needs!D12</f>
        <v>102</v>
      </c>
      <c r="K13" s="15" t="str">
        <f>Needs!H12</f>
        <v/>
      </c>
    </row>
    <row r="14" spans="1:11" x14ac:dyDescent="0.35">
      <c r="A14" s="15" t="str">
        <f>Needs!A13</f>
        <v>Comfortable</v>
      </c>
      <c r="B14" s="15">
        <f>Needs!B13</f>
        <v>124</v>
      </c>
      <c r="C14" s="15" t="str">
        <f>Needs!F13</f>
        <v>IMPORTANT</v>
      </c>
      <c r="E14" s="15" t="str">
        <f>Needs!A13</f>
        <v>Comfortable</v>
      </c>
      <c r="F14" s="15">
        <f>Needs!C13</f>
        <v>95</v>
      </c>
      <c r="G14" s="15" t="str">
        <f>Needs!G13</f>
        <v>CAUTION</v>
      </c>
      <c r="I14" s="15" t="str">
        <f>Needs!A13</f>
        <v>Comfortable</v>
      </c>
      <c r="J14" s="15">
        <f>Needs!D13</f>
        <v>101</v>
      </c>
      <c r="K14" s="15" t="str">
        <f>Needs!H13</f>
        <v/>
      </c>
    </row>
    <row r="15" spans="1:11" x14ac:dyDescent="0.35">
      <c r="A15" s="15" t="str">
        <f>Needs!A14</f>
        <v>Soft ride</v>
      </c>
      <c r="B15" s="15">
        <f>Needs!B14</f>
        <v>115</v>
      </c>
      <c r="C15" s="15" t="str">
        <f>Needs!F14</f>
        <v>IMPORTANT</v>
      </c>
      <c r="E15" s="15" t="str">
        <f>Needs!A14</f>
        <v>Soft ride</v>
      </c>
      <c r="F15" s="15">
        <f>Needs!C14</f>
        <v>89</v>
      </c>
      <c r="G15" s="15" t="str">
        <f>Needs!G14</f>
        <v>CAUTION</v>
      </c>
      <c r="I15" s="15" t="str">
        <f>Needs!A14</f>
        <v>Soft ride</v>
      </c>
      <c r="J15" s="15">
        <f>Needs!D14</f>
        <v>87</v>
      </c>
      <c r="K15" s="15" t="str">
        <f>Needs!H14</f>
        <v>CAUTION</v>
      </c>
    </row>
    <row r="16" spans="1:11" x14ac:dyDescent="0.35">
      <c r="A16" s="15" t="str">
        <f>Needs!A15</f>
        <v>Repair, parts, support nearby</v>
      </c>
      <c r="B16" s="15">
        <f>Needs!B15</f>
        <v>119</v>
      </c>
      <c r="C16" s="15" t="str">
        <f>Needs!F15</f>
        <v>IMPORTANT</v>
      </c>
      <c r="E16" s="15" t="str">
        <f>Needs!A15</f>
        <v>Repair, parts, support nearby</v>
      </c>
      <c r="F16" s="15">
        <f>Needs!C15</f>
        <v>121</v>
      </c>
      <c r="G16" s="15" t="str">
        <f>Needs!G15</f>
        <v>IMPORTANT</v>
      </c>
      <c r="I16" s="15" t="str">
        <f>Needs!A15</f>
        <v>Repair, parts, support nearby</v>
      </c>
      <c r="J16" s="15">
        <f>Needs!D15</f>
        <v>120</v>
      </c>
      <c r="K16" s="15" t="str">
        <f>Needs!H15</f>
        <v>IMPORTANT</v>
      </c>
    </row>
    <row r="17" spans="1:11" x14ac:dyDescent="0.35">
      <c r="A17" s="15" t="str">
        <f>Needs!A16</f>
        <v>Can handle rough terrain</v>
      </c>
      <c r="B17" s="15">
        <f>Needs!B16</f>
        <v>111</v>
      </c>
      <c r="C17" s="15" t="str">
        <f>Needs!F16</f>
        <v>IMPORTANT</v>
      </c>
      <c r="E17" s="15" t="str">
        <f>Needs!A16</f>
        <v>Can handle rough terrain</v>
      </c>
      <c r="F17" s="15">
        <f>Needs!C16</f>
        <v>128</v>
      </c>
      <c r="G17" s="15" t="str">
        <f>Needs!G16</f>
        <v>IMPORTANT</v>
      </c>
      <c r="I17" s="15" t="str">
        <f>Needs!A16</f>
        <v>Can handle rough terrain</v>
      </c>
      <c r="J17" s="15">
        <f>Needs!D16</f>
        <v>82</v>
      </c>
      <c r="K17" s="15" t="str">
        <f>Needs!H16</f>
        <v>CAUTION</v>
      </c>
    </row>
    <row r="18" spans="1:11" x14ac:dyDescent="0.35">
      <c r="A18" s="15" t="str">
        <f>Needs!A17</f>
        <v>Can stop quickly</v>
      </c>
      <c r="B18" s="15">
        <f>Needs!B17</f>
        <v>114</v>
      </c>
      <c r="C18" s="15" t="str">
        <f>Needs!F17</f>
        <v>IMPORTANT</v>
      </c>
      <c r="E18" s="15" t="str">
        <f>Needs!A17</f>
        <v>Can stop quickly</v>
      </c>
      <c r="F18" s="15">
        <f>Needs!C17</f>
        <v>123</v>
      </c>
      <c r="G18" s="15" t="str">
        <f>Needs!G17</f>
        <v>IMPORTANT</v>
      </c>
      <c r="I18" s="15" t="str">
        <f>Needs!A17</f>
        <v>Can stop quickly</v>
      </c>
      <c r="J18" s="15">
        <f>Needs!D17</f>
        <v>110</v>
      </c>
      <c r="K18" s="15" t="str">
        <f>Needs!H17</f>
        <v>IMPORTANT</v>
      </c>
    </row>
    <row r="19" spans="1:11" x14ac:dyDescent="0.35">
      <c r="A19" s="15" t="str">
        <f>Needs!A18</f>
        <v>Precise speed control-turns, hills</v>
      </c>
      <c r="B19" s="15">
        <f>Needs!B18</f>
        <v>103</v>
      </c>
      <c r="C19" s="15" t="str">
        <f>Needs!F18</f>
        <v/>
      </c>
      <c r="E19" s="15" t="str">
        <f>Needs!A18</f>
        <v>Precise speed control-turns, hills</v>
      </c>
      <c r="F19" s="15">
        <f>Needs!C18</f>
        <v>106</v>
      </c>
      <c r="G19" s="15" t="str">
        <f>Needs!G18</f>
        <v/>
      </c>
      <c r="I19" s="15" t="str">
        <f>Needs!A18</f>
        <v>Precise speed control-turns, hills</v>
      </c>
      <c r="J19" s="15">
        <f>Needs!D18</f>
        <v>117</v>
      </c>
      <c r="K19" s="15" t="str">
        <f>Needs!H18</f>
        <v>IMPORTANT</v>
      </c>
    </row>
    <row r="20" spans="1:11" x14ac:dyDescent="0.35">
      <c r="A20" s="15" t="str">
        <f>Needs!A19</f>
        <v>On-road and off-road capabilities</v>
      </c>
      <c r="B20" s="15">
        <f>Needs!B19</f>
        <v>114</v>
      </c>
      <c r="C20" s="15" t="str">
        <f>Needs!F19</f>
        <v>IMPORTANT</v>
      </c>
      <c r="E20" s="15" t="str">
        <f>Needs!A19</f>
        <v>On-road and off-road capabilities</v>
      </c>
      <c r="F20" s="15">
        <f>Needs!C19</f>
        <v>95</v>
      </c>
      <c r="G20" s="15" t="str">
        <f>Needs!G19</f>
        <v>CAUTION</v>
      </c>
      <c r="I20" s="15" t="str">
        <f>Needs!A19</f>
        <v>On-road and off-road capabilities</v>
      </c>
      <c r="J20" s="15">
        <f>Needs!D19</f>
        <v>69</v>
      </c>
      <c r="K20" s="15" t="str">
        <f>Needs!H19</f>
        <v>CAUTION</v>
      </c>
    </row>
    <row r="21" spans="1:11" x14ac:dyDescent="0.35">
      <c r="A21" s="15" t="str">
        <f>Needs!A20</f>
        <v>Can carry things</v>
      </c>
      <c r="B21" s="15">
        <f>Needs!B20</f>
        <v>117</v>
      </c>
      <c r="C21" s="15" t="str">
        <f>Needs!F20</f>
        <v>IMPORTANT</v>
      </c>
      <c r="E21" s="15" t="str">
        <f>Needs!A20</f>
        <v>Can carry things</v>
      </c>
      <c r="F21" s="15">
        <f>Needs!C20</f>
        <v>104</v>
      </c>
      <c r="G21" s="15" t="str">
        <f>Needs!G20</f>
        <v/>
      </c>
      <c r="I21" s="15" t="str">
        <f>Needs!A20</f>
        <v>Can carry things</v>
      </c>
      <c r="J21" s="15">
        <f>Needs!D20</f>
        <v>69</v>
      </c>
      <c r="K21" s="15" t="str">
        <f>Needs!H20</f>
        <v>CAUTION</v>
      </c>
    </row>
    <row r="22" spans="1:11" x14ac:dyDescent="0.35">
      <c r="A22" s="15" t="str">
        <f>Needs!A21</f>
        <v>Durable</v>
      </c>
      <c r="B22" s="15">
        <f>Needs!B21</f>
        <v>108</v>
      </c>
      <c r="C22" s="15" t="str">
        <f>Needs!F21</f>
        <v/>
      </c>
      <c r="E22" s="15" t="str">
        <f>Needs!A21</f>
        <v>Durable</v>
      </c>
      <c r="F22" s="15">
        <f>Needs!C21</f>
        <v>127</v>
      </c>
      <c r="G22" s="15" t="str">
        <f>Needs!G21</f>
        <v>IMPORTANT</v>
      </c>
      <c r="I22" s="15" t="str">
        <f>Needs!A21</f>
        <v>Durable</v>
      </c>
      <c r="J22" s="15">
        <f>Needs!D21</f>
        <v>117</v>
      </c>
      <c r="K22" s="15" t="str">
        <f>Needs!H21</f>
        <v>IMPORTANT</v>
      </c>
    </row>
    <row r="23" spans="1:11" x14ac:dyDescent="0.35">
      <c r="A23" s="15" t="str">
        <f>Needs!A22</f>
        <v>Feel young at heart</v>
      </c>
      <c r="B23" s="15">
        <f>Needs!B22</f>
        <v>120</v>
      </c>
      <c r="C23" s="15" t="str">
        <f>Needs!F22</f>
        <v>IMPORTANT</v>
      </c>
      <c r="E23" s="15" t="str">
        <f>Needs!A22</f>
        <v>Feel young at heart</v>
      </c>
      <c r="F23" s="15">
        <f>Needs!C22</f>
        <v>115</v>
      </c>
      <c r="G23" s="15" t="str">
        <f>Needs!G22</f>
        <v>IMPORTANT</v>
      </c>
      <c r="I23" s="15" t="str">
        <f>Needs!A22</f>
        <v>Feel young at heart</v>
      </c>
      <c r="J23" s="15">
        <f>Needs!D22</f>
        <v>117</v>
      </c>
      <c r="K23" s="15" t="str">
        <f>Needs!H22</f>
        <v>IMPORTANT</v>
      </c>
    </row>
    <row r="24" spans="1:11" x14ac:dyDescent="0.35">
      <c r="A24" s="15" t="str">
        <f>Needs!A23</f>
        <v>Can turn sharply</v>
      </c>
      <c r="B24" s="15">
        <f>Needs!B23</f>
        <v>113</v>
      </c>
      <c r="C24" s="15" t="str">
        <f>Needs!F23</f>
        <v>IMPORTANT</v>
      </c>
      <c r="E24" s="15" t="str">
        <f>Needs!A23</f>
        <v>Can turn sharply</v>
      </c>
      <c r="F24" s="15">
        <f>Needs!C23</f>
        <v>124</v>
      </c>
      <c r="G24" s="15" t="str">
        <f>Needs!G23</f>
        <v>IMPORTANT</v>
      </c>
      <c r="I24" s="15" t="str">
        <f>Needs!A23</f>
        <v>Can turn sharply</v>
      </c>
      <c r="J24" s="15">
        <f>Needs!D23</f>
        <v>115</v>
      </c>
      <c r="K24" s="15" t="str">
        <f>Needs!H23</f>
        <v>IMPORTANT</v>
      </c>
    </row>
    <row r="25" spans="1:11" x14ac:dyDescent="0.35">
      <c r="A25" s="15" t="str">
        <f>Needs!A24</f>
        <v>Light weight</v>
      </c>
      <c r="B25" s="15">
        <f>Needs!B24</f>
        <v>115</v>
      </c>
      <c r="C25" s="15" t="str">
        <f>Needs!F24</f>
        <v>IMPORTANT</v>
      </c>
      <c r="E25" s="15" t="str">
        <f>Needs!A24</f>
        <v>Light weight</v>
      </c>
      <c r="F25" s="15">
        <f>Needs!C24</f>
        <v>121</v>
      </c>
      <c r="G25" s="15" t="str">
        <f>Needs!G24</f>
        <v>IMPORTANT</v>
      </c>
      <c r="I25" s="15" t="str">
        <f>Needs!A24</f>
        <v>Light weight</v>
      </c>
      <c r="J25" s="15">
        <f>Needs!D24</f>
        <v>133</v>
      </c>
      <c r="K25" s="15" t="str">
        <f>Needs!H24</f>
        <v>IMPORTANT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workbookViewId="0"/>
  </sheetViews>
  <sheetFormatPr defaultRowHeight="14.5" x14ac:dyDescent="0.35"/>
  <cols>
    <col min="1" max="1" width="14" customWidth="1"/>
    <col min="2" max="5" width="16" customWidth="1"/>
    <col min="6" max="6" width="12" customWidth="1"/>
    <col min="7" max="7" width="40" customWidth="1"/>
    <col min="8" max="8" width="12" customWidth="1"/>
  </cols>
  <sheetData>
    <row r="1" spans="1:8" ht="18.5" x14ac:dyDescent="0.45">
      <c r="A1" s="6" t="s">
        <v>92</v>
      </c>
    </row>
    <row r="2" spans="1:8" x14ac:dyDescent="0.35">
      <c r="A2" s="2" t="s">
        <v>93</v>
      </c>
    </row>
    <row r="4" spans="1:8" ht="29" x14ac:dyDescent="0.35">
      <c r="A4" s="3" t="s">
        <v>58</v>
      </c>
      <c r="B4" s="3" t="s">
        <v>94</v>
      </c>
      <c r="C4" s="3" t="s">
        <v>95</v>
      </c>
      <c r="D4" s="3" t="s">
        <v>96</v>
      </c>
      <c r="E4" s="3" t="s">
        <v>97</v>
      </c>
      <c r="F4" s="3" t="s">
        <v>98</v>
      </c>
      <c r="G4" s="3" t="s">
        <v>99</v>
      </c>
      <c r="H4" s="3" t="s">
        <v>100</v>
      </c>
    </row>
    <row r="5" spans="1:8" x14ac:dyDescent="0.35">
      <c r="A5" s="9" t="s">
        <v>34</v>
      </c>
      <c r="B5" s="9" t="s">
        <v>73</v>
      </c>
      <c r="C5" s="8"/>
      <c r="D5" s="8"/>
      <c r="E5" s="8"/>
      <c r="F5" s="9" t="str">
        <f t="shared" ref="F5:F19" si="0">IF(COUNT(C5:E5)&lt;3,"",C5+E5-D5)</f>
        <v/>
      </c>
      <c r="G5" s="7"/>
      <c r="H5" s="8"/>
    </row>
    <row r="6" spans="1:8" x14ac:dyDescent="0.35">
      <c r="A6" s="9" t="s">
        <v>34</v>
      </c>
      <c r="B6" s="9" t="s">
        <v>74</v>
      </c>
      <c r="C6" s="8"/>
      <c r="D6" s="8"/>
      <c r="E6" s="8"/>
      <c r="F6" s="9" t="str">
        <f t="shared" si="0"/>
        <v/>
      </c>
      <c r="G6" s="7"/>
      <c r="H6" s="8"/>
    </row>
    <row r="7" spans="1:8" x14ac:dyDescent="0.35">
      <c r="A7" s="9" t="s">
        <v>34</v>
      </c>
      <c r="B7" s="9" t="s">
        <v>75</v>
      </c>
      <c r="C7" s="8"/>
      <c r="D7" s="8"/>
      <c r="E7" s="8"/>
      <c r="F7" s="9" t="str">
        <f t="shared" si="0"/>
        <v/>
      </c>
      <c r="G7" s="7"/>
      <c r="H7" s="8"/>
    </row>
    <row r="8" spans="1:8" x14ac:dyDescent="0.35">
      <c r="A8" s="9" t="s">
        <v>34</v>
      </c>
      <c r="B8" s="9" t="s">
        <v>76</v>
      </c>
      <c r="C8" s="8"/>
      <c r="D8" s="8"/>
      <c r="E8" s="8"/>
      <c r="F8" s="9" t="str">
        <f t="shared" si="0"/>
        <v/>
      </c>
      <c r="G8" s="7"/>
      <c r="H8" s="8"/>
    </row>
    <row r="9" spans="1:8" x14ac:dyDescent="0.35">
      <c r="A9" s="9" t="s">
        <v>34</v>
      </c>
      <c r="B9" s="9" t="s">
        <v>101</v>
      </c>
      <c r="C9" s="8"/>
      <c r="D9" s="8"/>
      <c r="E9" s="8"/>
      <c r="F9" s="9" t="str">
        <f t="shared" si="0"/>
        <v/>
      </c>
      <c r="G9" s="7"/>
      <c r="H9" s="8"/>
    </row>
    <row r="10" spans="1:8" x14ac:dyDescent="0.35">
      <c r="A10" s="9" t="s">
        <v>35</v>
      </c>
      <c r="B10" s="9" t="s">
        <v>73</v>
      </c>
      <c r="C10" s="8"/>
      <c r="D10" s="8"/>
      <c r="E10" s="8"/>
      <c r="F10" s="9" t="str">
        <f t="shared" si="0"/>
        <v/>
      </c>
      <c r="G10" s="7"/>
      <c r="H10" s="8"/>
    </row>
    <row r="11" spans="1:8" x14ac:dyDescent="0.35">
      <c r="A11" s="9" t="s">
        <v>35</v>
      </c>
      <c r="B11" s="9" t="s">
        <v>74</v>
      </c>
      <c r="C11" s="8"/>
      <c r="D11" s="8"/>
      <c r="E11" s="8"/>
      <c r="F11" s="9" t="str">
        <f t="shared" si="0"/>
        <v/>
      </c>
      <c r="G11" s="7"/>
      <c r="H11" s="8"/>
    </row>
    <row r="12" spans="1:8" x14ac:dyDescent="0.35">
      <c r="A12" s="9" t="s">
        <v>35</v>
      </c>
      <c r="B12" s="9" t="s">
        <v>75</v>
      </c>
      <c r="C12" s="8"/>
      <c r="D12" s="8"/>
      <c r="E12" s="8"/>
      <c r="F12" s="9" t="str">
        <f t="shared" si="0"/>
        <v/>
      </c>
      <c r="G12" s="7"/>
      <c r="H12" s="8"/>
    </row>
    <row r="13" spans="1:8" x14ac:dyDescent="0.35">
      <c r="A13" s="9" t="s">
        <v>35</v>
      </c>
      <c r="B13" s="9" t="s">
        <v>76</v>
      </c>
      <c r="C13" s="8"/>
      <c r="D13" s="8"/>
      <c r="E13" s="8"/>
      <c r="F13" s="9" t="str">
        <f t="shared" si="0"/>
        <v/>
      </c>
      <c r="G13" s="7"/>
      <c r="H13" s="8"/>
    </row>
    <row r="14" spans="1:8" x14ac:dyDescent="0.35">
      <c r="A14" s="9" t="s">
        <v>35</v>
      </c>
      <c r="B14" s="9" t="s">
        <v>101</v>
      </c>
      <c r="C14" s="8"/>
      <c r="D14" s="8"/>
      <c r="E14" s="8"/>
      <c r="F14" s="9" t="str">
        <f t="shared" si="0"/>
        <v/>
      </c>
      <c r="G14" s="7"/>
      <c r="H14" s="8"/>
    </row>
    <row r="15" spans="1:8" x14ac:dyDescent="0.35">
      <c r="A15" s="9" t="s">
        <v>36</v>
      </c>
      <c r="B15" s="9" t="s">
        <v>73</v>
      </c>
      <c r="C15" s="8"/>
      <c r="D15" s="8"/>
      <c r="E15" s="8"/>
      <c r="F15" s="9" t="str">
        <f t="shared" si="0"/>
        <v/>
      </c>
      <c r="G15" s="7"/>
      <c r="H15" s="8"/>
    </row>
    <row r="16" spans="1:8" x14ac:dyDescent="0.35">
      <c r="A16" s="9" t="s">
        <v>36</v>
      </c>
      <c r="B16" s="9" t="s">
        <v>74</v>
      </c>
      <c r="C16" s="8"/>
      <c r="D16" s="8"/>
      <c r="E16" s="8"/>
      <c r="F16" s="9" t="str">
        <f t="shared" si="0"/>
        <v/>
      </c>
      <c r="G16" s="7"/>
      <c r="H16" s="8"/>
    </row>
    <row r="17" spans="1:8" x14ac:dyDescent="0.35">
      <c r="A17" s="9" t="s">
        <v>36</v>
      </c>
      <c r="B17" s="9" t="s">
        <v>75</v>
      </c>
      <c r="C17" s="8"/>
      <c r="D17" s="8"/>
      <c r="E17" s="8"/>
      <c r="F17" s="9" t="str">
        <f t="shared" si="0"/>
        <v/>
      </c>
      <c r="G17" s="7"/>
      <c r="H17" s="8"/>
    </row>
    <row r="18" spans="1:8" x14ac:dyDescent="0.35">
      <c r="A18" s="9" t="s">
        <v>36</v>
      </c>
      <c r="B18" s="9" t="s">
        <v>76</v>
      </c>
      <c r="C18" s="8"/>
      <c r="D18" s="8"/>
      <c r="E18" s="8"/>
      <c r="F18" s="9" t="str">
        <f t="shared" si="0"/>
        <v/>
      </c>
      <c r="G18" s="7"/>
      <c r="H18" s="8"/>
    </row>
    <row r="19" spans="1:8" x14ac:dyDescent="0.35">
      <c r="A19" s="9" t="s">
        <v>36</v>
      </c>
      <c r="B19" s="9" t="s">
        <v>101</v>
      </c>
      <c r="C19" s="8"/>
      <c r="D19" s="8"/>
      <c r="E19" s="8"/>
      <c r="F19" s="9" t="str">
        <f t="shared" si="0"/>
        <v/>
      </c>
      <c r="G19" s="7"/>
      <c r="H19" s="8"/>
    </row>
  </sheetData>
  <dataValidations count="1">
    <dataValidation type="whole" allowBlank="1" errorTitle="Invalid score" error="Enter 1–5" sqref="C5:E19" xr:uid="{00000000-0002-0000-0600-000000000000}">
      <formula1>1</formula1>
      <formula2>5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5"/>
  <sheetViews>
    <sheetView workbookViewId="0"/>
  </sheetViews>
  <sheetFormatPr defaultRowHeight="14.5" x14ac:dyDescent="0.35"/>
  <cols>
    <col min="1" max="1" width="18" customWidth="1"/>
    <col min="2" max="2" width="10" customWidth="1"/>
    <col min="3" max="3" width="16" customWidth="1"/>
    <col min="4" max="4" width="18" customWidth="1"/>
    <col min="5" max="5" width="22" customWidth="1"/>
    <col min="6" max="6" width="20" customWidth="1"/>
    <col min="7" max="7" width="14" customWidth="1"/>
    <col min="8" max="8" width="18" customWidth="1"/>
    <col min="9" max="10" width="28" customWidth="1"/>
  </cols>
  <sheetData>
    <row r="1" spans="1:10" ht="18.5" x14ac:dyDescent="0.45">
      <c r="A1" s="6" t="s">
        <v>102</v>
      </c>
    </row>
    <row r="2" spans="1:10" x14ac:dyDescent="0.35">
      <c r="A2" s="2" t="s">
        <v>103</v>
      </c>
    </row>
    <row r="4" spans="1:10" ht="29" x14ac:dyDescent="0.35">
      <c r="A4" s="3" t="s">
        <v>104</v>
      </c>
      <c r="B4" s="3" t="s">
        <v>105</v>
      </c>
      <c r="C4" s="3" t="s">
        <v>106</v>
      </c>
      <c r="D4" s="3" t="s">
        <v>107</v>
      </c>
      <c r="E4" s="3" t="s">
        <v>108</v>
      </c>
      <c r="F4" s="3" t="s">
        <v>109</v>
      </c>
      <c r="G4" s="3" t="s">
        <v>110</v>
      </c>
      <c r="H4" s="3" t="s">
        <v>111</v>
      </c>
      <c r="I4" s="3" t="s">
        <v>112</v>
      </c>
      <c r="J4" s="3" t="s">
        <v>113</v>
      </c>
    </row>
    <row r="5" spans="1:10" x14ac:dyDescent="0.35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35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0" x14ac:dyDescent="0.35">
      <c r="A7" s="13"/>
      <c r="B7" s="13"/>
      <c r="C7" s="13"/>
      <c r="D7" s="13"/>
      <c r="E7" s="13"/>
      <c r="F7" s="13"/>
      <c r="G7" s="13"/>
      <c r="H7" s="13"/>
      <c r="I7" s="13"/>
      <c r="J7" s="13"/>
    </row>
    <row r="8" spans="1:10" x14ac:dyDescent="0.35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0" x14ac:dyDescent="0.35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0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0" x14ac:dyDescent="0.35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0" x14ac:dyDescent="0.35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35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spans="1:10" x14ac:dyDescent="0.35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35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35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35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7" spans="1:10" x14ac:dyDescent="0.35">
      <c r="A27" s="16" t="s">
        <v>114</v>
      </c>
    </row>
    <row r="28" spans="1:10" ht="29" x14ac:dyDescent="0.35">
      <c r="A28" s="3" t="s">
        <v>105</v>
      </c>
      <c r="B28" s="3" t="s">
        <v>115</v>
      </c>
      <c r="C28" s="3" t="s">
        <v>116</v>
      </c>
      <c r="D28" s="3" t="s">
        <v>117</v>
      </c>
      <c r="E28" s="3" t="s">
        <v>118</v>
      </c>
    </row>
    <row r="29" spans="1:10" x14ac:dyDescent="0.35">
      <c r="A29" s="13"/>
      <c r="B29" s="13"/>
      <c r="C29" s="13"/>
      <c r="D29" s="13"/>
      <c r="E29" s="13"/>
    </row>
    <row r="30" spans="1:10" x14ac:dyDescent="0.35">
      <c r="A30" s="13"/>
      <c r="B30" s="13"/>
      <c r="C30" s="13"/>
      <c r="D30" s="13"/>
      <c r="E30" s="13"/>
    </row>
    <row r="31" spans="1:10" x14ac:dyDescent="0.35">
      <c r="A31" s="13"/>
      <c r="B31" s="13"/>
      <c r="C31" s="13"/>
      <c r="D31" s="13"/>
      <c r="E31" s="13"/>
    </row>
    <row r="32" spans="1:10" x14ac:dyDescent="0.35">
      <c r="A32" s="13"/>
      <c r="B32" s="13"/>
      <c r="C32" s="13"/>
      <c r="D32" s="13"/>
      <c r="E32" s="13"/>
    </row>
    <row r="33" spans="1:5" x14ac:dyDescent="0.35">
      <c r="A33" s="13"/>
      <c r="B33" s="13"/>
      <c r="C33" s="13"/>
      <c r="D33" s="13"/>
      <c r="E33" s="13"/>
    </row>
    <row r="34" spans="1:5" x14ac:dyDescent="0.35">
      <c r="A34" s="13"/>
      <c r="B34" s="13"/>
      <c r="C34" s="13"/>
      <c r="D34" s="13"/>
      <c r="E34" s="13"/>
    </row>
    <row r="35" spans="1:5" x14ac:dyDescent="0.35">
      <c r="A35" s="13"/>
      <c r="B35" s="13"/>
      <c r="C35" s="13"/>
      <c r="D35" s="13"/>
      <c r="E35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Needs</vt:lpstr>
      <vt:lpstr>Applications</vt:lpstr>
      <vt:lpstr>Price_WTP</vt:lpstr>
      <vt:lpstr>Market_Potential</vt:lpstr>
      <vt:lpstr>Needs_Ranked</vt:lpstr>
      <vt:lpstr>Growth_Room</vt:lpstr>
      <vt:lpstr>Competitor_CI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Conger, Kyle E.</cp:lastModifiedBy>
  <dcterms:created xsi:type="dcterms:W3CDTF">2026-08-20T11:55:30Z</dcterms:created>
  <dcterms:modified xsi:type="dcterms:W3CDTF">2026-08-20T12:09:01Z</dcterms:modified>
</cp:coreProperties>
</file>