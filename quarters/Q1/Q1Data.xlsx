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esktop\MAN6724 Simulation\quarters\Q1\"/>
    </mc:Choice>
  </mc:AlternateContent>
  <xr:revisionPtr revIDLastSave="0" documentId="13_ncr:1_{7426A5A0-BF62-47A0-9D0A-D185CAFCE27F}" xr6:coauthVersionLast="47" xr6:coauthVersionMax="47" xr10:uidLastSave="{00000000-0000-0000-0000-000000000000}"/>
  <bookViews>
    <workbookView xWindow="-110" yWindow="-110" windowWidth="25820" windowHeight="15500" firstSheet="5" activeTab="7" xr2:uid="{00000000-000D-0000-FFFF-FFFF00000000}"/>
  </bookViews>
  <sheets>
    <sheet name="Instructions" sheetId="1" r:id="rId1"/>
    <sheet name="Needs" sheetId="2" r:id="rId2"/>
    <sheet name="Applications" sheetId="3" r:id="rId3"/>
    <sheet name="Price_WTP" sheetId="4" r:id="rId4"/>
    <sheet name="Market_Potential" sheetId="5" r:id="rId5"/>
    <sheet name="Sales_Channel" sheetId="6" r:id="rId6"/>
    <sheet name="Stores_Costs" sheetId="7" r:id="rId7"/>
    <sheet name="Manufacturing" sheetId="8" r:id="rId8"/>
    <sheet name="Needs_Ranked" sheetId="9" r:id="rId9"/>
    <sheet name="Growth_Room" sheetId="10" r:id="rId10"/>
    <sheet name="Competitor_CI" sheetId="11" r:id="rId11"/>
    <sheet name="Comp_Indust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9" l="1"/>
  <c r="I41" i="9"/>
  <c r="F41" i="9"/>
  <c r="E41" i="9"/>
  <c r="B41" i="9"/>
  <c r="A41" i="9"/>
  <c r="J40" i="9"/>
  <c r="I40" i="9"/>
  <c r="F40" i="9"/>
  <c r="E40" i="9"/>
  <c r="B40" i="9"/>
  <c r="A40" i="9"/>
  <c r="J39" i="9"/>
  <c r="I39" i="9"/>
  <c r="F39" i="9"/>
  <c r="E39" i="9"/>
  <c r="B39" i="9"/>
  <c r="A39" i="9"/>
  <c r="J38" i="9"/>
  <c r="I38" i="9"/>
  <c r="F38" i="9"/>
  <c r="E38" i="9"/>
  <c r="B38" i="9"/>
  <c r="A38" i="9"/>
  <c r="J37" i="9"/>
  <c r="I37" i="9"/>
  <c r="F37" i="9"/>
  <c r="E37" i="9"/>
  <c r="B37" i="9"/>
  <c r="A37" i="9"/>
  <c r="J36" i="9"/>
  <c r="I36" i="9"/>
  <c r="F36" i="9"/>
  <c r="E36" i="9"/>
  <c r="B36" i="9"/>
  <c r="A36" i="9"/>
  <c r="J35" i="9"/>
  <c r="I35" i="9"/>
  <c r="F35" i="9"/>
  <c r="E35" i="9"/>
  <c r="B35" i="9"/>
  <c r="A35" i="9"/>
  <c r="J34" i="9"/>
  <c r="I34" i="9"/>
  <c r="F34" i="9"/>
  <c r="E34" i="9"/>
  <c r="B34" i="9"/>
  <c r="A34" i="9"/>
  <c r="J33" i="9"/>
  <c r="I33" i="9"/>
  <c r="F33" i="9"/>
  <c r="E33" i="9"/>
  <c r="B33" i="9"/>
  <c r="A33" i="9"/>
  <c r="J32" i="9"/>
  <c r="I32" i="9"/>
  <c r="F32" i="9"/>
  <c r="E32" i="9"/>
  <c r="B32" i="9"/>
  <c r="A32" i="9"/>
  <c r="J31" i="9"/>
  <c r="I31" i="9"/>
  <c r="F31" i="9"/>
  <c r="E31" i="9"/>
  <c r="B31" i="9"/>
  <c r="A31" i="9"/>
  <c r="J30" i="9"/>
  <c r="I30" i="9"/>
  <c r="F30" i="9"/>
  <c r="E30" i="9"/>
  <c r="B30" i="9"/>
  <c r="A30" i="9"/>
  <c r="J29" i="9"/>
  <c r="I29" i="9"/>
  <c r="F29" i="9"/>
  <c r="E29" i="9"/>
  <c r="B29" i="9"/>
  <c r="A29" i="9"/>
  <c r="J28" i="9"/>
  <c r="I28" i="9"/>
  <c r="F28" i="9"/>
  <c r="E28" i="9"/>
  <c r="B28" i="9"/>
  <c r="A28" i="9"/>
  <c r="J27" i="9"/>
  <c r="I27" i="9"/>
  <c r="F27" i="9"/>
  <c r="E27" i="9"/>
  <c r="B27" i="9"/>
  <c r="A27" i="9"/>
  <c r="J26" i="9"/>
  <c r="I26" i="9"/>
  <c r="F26" i="9"/>
  <c r="E26" i="9"/>
  <c r="B26" i="9"/>
  <c r="A26" i="9"/>
  <c r="J25" i="9"/>
  <c r="I25" i="9"/>
  <c r="F25" i="9"/>
  <c r="E25" i="9"/>
  <c r="B25" i="9"/>
  <c r="A25" i="9"/>
  <c r="J24" i="9"/>
  <c r="I24" i="9"/>
  <c r="F24" i="9"/>
  <c r="E24" i="9"/>
  <c r="B24" i="9"/>
  <c r="A24" i="9"/>
  <c r="J23" i="9"/>
  <c r="I23" i="9"/>
  <c r="F23" i="9"/>
  <c r="E23" i="9"/>
  <c r="B23" i="9"/>
  <c r="A23" i="9"/>
  <c r="J22" i="9"/>
  <c r="I22" i="9"/>
  <c r="F22" i="9"/>
  <c r="E22" i="9"/>
  <c r="B22" i="9"/>
  <c r="A22" i="9"/>
  <c r="J21" i="9"/>
  <c r="I21" i="9"/>
  <c r="F21" i="9"/>
  <c r="E21" i="9"/>
  <c r="B21" i="9"/>
  <c r="A21" i="9"/>
  <c r="J20" i="9"/>
  <c r="I20" i="9"/>
  <c r="F20" i="9"/>
  <c r="E20" i="9"/>
  <c r="B20" i="9"/>
  <c r="A20" i="9"/>
  <c r="J19" i="9"/>
  <c r="I19" i="9"/>
  <c r="F19" i="9"/>
  <c r="E19" i="9"/>
  <c r="B19" i="9"/>
  <c r="A19" i="9"/>
  <c r="J18" i="9"/>
  <c r="I18" i="9"/>
  <c r="F18" i="9"/>
  <c r="E18" i="9"/>
  <c r="B18" i="9"/>
  <c r="A18" i="9"/>
  <c r="J17" i="9"/>
  <c r="I17" i="9"/>
  <c r="F17" i="9"/>
  <c r="E17" i="9"/>
  <c r="B17" i="9"/>
  <c r="A17" i="9"/>
  <c r="J16" i="9"/>
  <c r="I16" i="9"/>
  <c r="F16" i="9"/>
  <c r="E16" i="9"/>
  <c r="B16" i="9"/>
  <c r="A16" i="9"/>
  <c r="J15" i="9"/>
  <c r="I15" i="9"/>
  <c r="F15" i="9"/>
  <c r="E15" i="9"/>
  <c r="B15" i="9"/>
  <c r="A15" i="9"/>
  <c r="J14" i="9"/>
  <c r="I14" i="9"/>
  <c r="F14" i="9"/>
  <c r="E14" i="9"/>
  <c r="B14" i="9"/>
  <c r="A14" i="9"/>
  <c r="J13" i="9"/>
  <c r="I13" i="9"/>
  <c r="F13" i="9"/>
  <c r="E13" i="9"/>
  <c r="B13" i="9"/>
  <c r="A13" i="9"/>
  <c r="J12" i="9"/>
  <c r="I12" i="9"/>
  <c r="F12" i="9"/>
  <c r="E12" i="9"/>
  <c r="B12" i="9"/>
  <c r="A12" i="9"/>
  <c r="J11" i="9"/>
  <c r="I11" i="9"/>
  <c r="F11" i="9"/>
  <c r="E11" i="9"/>
  <c r="B11" i="9"/>
  <c r="A11" i="9"/>
  <c r="J10" i="9"/>
  <c r="I10" i="9"/>
  <c r="F10" i="9"/>
  <c r="E10" i="9"/>
  <c r="B10" i="9"/>
  <c r="A10" i="9"/>
  <c r="J9" i="9"/>
  <c r="I9" i="9"/>
  <c r="F9" i="9"/>
  <c r="E9" i="9"/>
  <c r="B9" i="9"/>
  <c r="A9" i="9"/>
  <c r="J8" i="9"/>
  <c r="I8" i="9"/>
  <c r="F8" i="9"/>
  <c r="E8" i="9"/>
  <c r="B8" i="9"/>
  <c r="A8" i="9"/>
  <c r="J7" i="9"/>
  <c r="I7" i="9"/>
  <c r="F7" i="9"/>
  <c r="E7" i="9"/>
  <c r="B7" i="9"/>
  <c r="A7" i="9"/>
  <c r="J6" i="9"/>
  <c r="I6" i="9"/>
  <c r="F6" i="9"/>
  <c r="E6" i="9"/>
  <c r="B6" i="9"/>
  <c r="A6" i="9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D9" i="5"/>
  <c r="C9" i="5"/>
  <c r="B9" i="5"/>
  <c r="E8" i="5"/>
  <c r="F8" i="5" s="1"/>
  <c r="E7" i="5"/>
  <c r="F7" i="5" s="1"/>
  <c r="E6" i="5"/>
  <c r="F6" i="5" s="1"/>
  <c r="E5" i="5"/>
  <c r="D7" i="4"/>
  <c r="C7" i="4"/>
  <c r="D6" i="4"/>
  <c r="C6" i="4"/>
  <c r="D5" i="4"/>
  <c r="C5" i="4"/>
  <c r="D12" i="3"/>
  <c r="C12" i="3"/>
  <c r="B12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D45" i="2"/>
  <c r="C45" i="2"/>
  <c r="B45" i="2"/>
  <c r="D44" i="2"/>
  <c r="C44" i="2"/>
  <c r="B44" i="2"/>
  <c r="D43" i="2"/>
  <c r="C43" i="2"/>
  <c r="B43" i="2"/>
  <c r="H40" i="2"/>
  <c r="K41" i="9" s="1"/>
  <c r="G40" i="2"/>
  <c r="G41" i="9" s="1"/>
  <c r="F40" i="2"/>
  <c r="C41" i="9" s="1"/>
  <c r="E40" i="2"/>
  <c r="H39" i="2"/>
  <c r="K40" i="9" s="1"/>
  <c r="G39" i="2"/>
  <c r="G40" i="9" s="1"/>
  <c r="F39" i="2"/>
  <c r="C40" i="9" s="1"/>
  <c r="E39" i="2"/>
  <c r="H38" i="2"/>
  <c r="K39" i="9" s="1"/>
  <c r="G38" i="2"/>
  <c r="G39" i="9" s="1"/>
  <c r="F38" i="2"/>
  <c r="C39" i="9" s="1"/>
  <c r="E38" i="2"/>
  <c r="H37" i="2"/>
  <c r="K38" i="9" s="1"/>
  <c r="G37" i="2"/>
  <c r="G38" i="9" s="1"/>
  <c r="F37" i="2"/>
  <c r="C38" i="9" s="1"/>
  <c r="E37" i="2"/>
  <c r="H36" i="2"/>
  <c r="K37" i="9" s="1"/>
  <c r="G36" i="2"/>
  <c r="G37" i="9" s="1"/>
  <c r="F36" i="2"/>
  <c r="C37" i="9" s="1"/>
  <c r="E36" i="2"/>
  <c r="H35" i="2"/>
  <c r="K36" i="9" s="1"/>
  <c r="G35" i="2"/>
  <c r="G36" i="9" s="1"/>
  <c r="F35" i="2"/>
  <c r="C36" i="9" s="1"/>
  <c r="E35" i="2"/>
  <c r="H34" i="2"/>
  <c r="K35" i="9" s="1"/>
  <c r="G34" i="2"/>
  <c r="G35" i="9" s="1"/>
  <c r="F34" i="2"/>
  <c r="C35" i="9" s="1"/>
  <c r="E34" i="2"/>
  <c r="H33" i="2"/>
  <c r="K34" i="9" s="1"/>
  <c r="G33" i="2"/>
  <c r="G34" i="9" s="1"/>
  <c r="F33" i="2"/>
  <c r="C34" i="9" s="1"/>
  <c r="E33" i="2"/>
  <c r="H32" i="2"/>
  <c r="K33" i="9" s="1"/>
  <c r="G32" i="2"/>
  <c r="G33" i="9" s="1"/>
  <c r="F32" i="2"/>
  <c r="C33" i="9" s="1"/>
  <c r="E32" i="2"/>
  <c r="H31" i="2"/>
  <c r="K32" i="9" s="1"/>
  <c r="G31" i="2"/>
  <c r="G32" i="9" s="1"/>
  <c r="F31" i="2"/>
  <c r="C32" i="9" s="1"/>
  <c r="E31" i="2"/>
  <c r="H30" i="2"/>
  <c r="K31" i="9" s="1"/>
  <c r="G30" i="2"/>
  <c r="G31" i="9" s="1"/>
  <c r="F30" i="2"/>
  <c r="C31" i="9" s="1"/>
  <c r="E30" i="2"/>
  <c r="H29" i="2"/>
  <c r="K30" i="9" s="1"/>
  <c r="G29" i="2"/>
  <c r="G30" i="9" s="1"/>
  <c r="F29" i="2"/>
  <c r="C30" i="9" s="1"/>
  <c r="E29" i="2"/>
  <c r="H28" i="2"/>
  <c r="K29" i="9" s="1"/>
  <c r="G28" i="2"/>
  <c r="G29" i="9" s="1"/>
  <c r="F28" i="2"/>
  <c r="C29" i="9" s="1"/>
  <c r="E28" i="2"/>
  <c r="H27" i="2"/>
  <c r="K28" i="9" s="1"/>
  <c r="G27" i="2"/>
  <c r="G28" i="9" s="1"/>
  <c r="F27" i="2"/>
  <c r="C28" i="9" s="1"/>
  <c r="E27" i="2"/>
  <c r="H26" i="2"/>
  <c r="K27" i="9" s="1"/>
  <c r="G26" i="2"/>
  <c r="G27" i="9" s="1"/>
  <c r="F26" i="2"/>
  <c r="C27" i="9" s="1"/>
  <c r="E26" i="2"/>
  <c r="H25" i="2"/>
  <c r="K26" i="9" s="1"/>
  <c r="G25" i="2"/>
  <c r="G26" i="9" s="1"/>
  <c r="F25" i="2"/>
  <c r="C26" i="9" s="1"/>
  <c r="E25" i="2"/>
  <c r="H24" i="2"/>
  <c r="K25" i="9" s="1"/>
  <c r="G24" i="2"/>
  <c r="G25" i="9" s="1"/>
  <c r="F24" i="2"/>
  <c r="C25" i="9" s="1"/>
  <c r="E24" i="2"/>
  <c r="H23" i="2"/>
  <c r="K24" i="9" s="1"/>
  <c r="G23" i="2"/>
  <c r="G24" i="9" s="1"/>
  <c r="F23" i="2"/>
  <c r="C24" i="9" s="1"/>
  <c r="E23" i="2"/>
  <c r="H22" i="2"/>
  <c r="K23" i="9" s="1"/>
  <c r="G22" i="2"/>
  <c r="G23" i="9" s="1"/>
  <c r="F22" i="2"/>
  <c r="C23" i="9" s="1"/>
  <c r="E22" i="2"/>
  <c r="H21" i="2"/>
  <c r="K22" i="9" s="1"/>
  <c r="G21" i="2"/>
  <c r="G22" i="9" s="1"/>
  <c r="F21" i="2"/>
  <c r="C22" i="9" s="1"/>
  <c r="E21" i="2"/>
  <c r="H20" i="2"/>
  <c r="K21" i="9" s="1"/>
  <c r="G20" i="2"/>
  <c r="G21" i="9" s="1"/>
  <c r="F20" i="2"/>
  <c r="C21" i="9" s="1"/>
  <c r="E20" i="2"/>
  <c r="H19" i="2"/>
  <c r="K20" i="9" s="1"/>
  <c r="G19" i="2"/>
  <c r="G20" i="9" s="1"/>
  <c r="F19" i="2"/>
  <c r="C20" i="9" s="1"/>
  <c r="E19" i="2"/>
  <c r="H18" i="2"/>
  <c r="K19" i="9" s="1"/>
  <c r="G18" i="2"/>
  <c r="G19" i="9" s="1"/>
  <c r="F18" i="2"/>
  <c r="C19" i="9" s="1"/>
  <c r="E18" i="2"/>
  <c r="H17" i="2"/>
  <c r="K18" i="9" s="1"/>
  <c r="G17" i="2"/>
  <c r="G18" i="9" s="1"/>
  <c r="F17" i="2"/>
  <c r="C18" i="9" s="1"/>
  <c r="E17" i="2"/>
  <c r="H16" i="2"/>
  <c r="K17" i="9" s="1"/>
  <c r="G16" i="2"/>
  <c r="G17" i="9" s="1"/>
  <c r="F16" i="2"/>
  <c r="C17" i="9" s="1"/>
  <c r="E16" i="2"/>
  <c r="H15" i="2"/>
  <c r="K16" i="9" s="1"/>
  <c r="G15" i="2"/>
  <c r="G16" i="9" s="1"/>
  <c r="F15" i="2"/>
  <c r="C16" i="9" s="1"/>
  <c r="E15" i="2"/>
  <c r="H14" i="2"/>
  <c r="K15" i="9" s="1"/>
  <c r="G14" i="2"/>
  <c r="G15" i="9" s="1"/>
  <c r="F14" i="2"/>
  <c r="C15" i="9" s="1"/>
  <c r="E14" i="2"/>
  <c r="H13" i="2"/>
  <c r="K14" i="9" s="1"/>
  <c r="G13" i="2"/>
  <c r="G14" i="9" s="1"/>
  <c r="F13" i="2"/>
  <c r="C14" i="9" s="1"/>
  <c r="E13" i="2"/>
  <c r="H12" i="2"/>
  <c r="K13" i="9" s="1"/>
  <c r="G12" i="2"/>
  <c r="G13" i="9" s="1"/>
  <c r="F12" i="2"/>
  <c r="C13" i="9" s="1"/>
  <c r="E12" i="2"/>
  <c r="H11" i="2"/>
  <c r="K12" i="9" s="1"/>
  <c r="G11" i="2"/>
  <c r="G12" i="9" s="1"/>
  <c r="F11" i="2"/>
  <c r="C12" i="9" s="1"/>
  <c r="E11" i="2"/>
  <c r="H10" i="2"/>
  <c r="K11" i="9" s="1"/>
  <c r="G10" i="2"/>
  <c r="G11" i="9" s="1"/>
  <c r="F10" i="2"/>
  <c r="C11" i="9" s="1"/>
  <c r="E10" i="2"/>
  <c r="H9" i="2"/>
  <c r="K10" i="9" s="1"/>
  <c r="G9" i="2"/>
  <c r="G10" i="9" s="1"/>
  <c r="F9" i="2"/>
  <c r="C10" i="9" s="1"/>
  <c r="E9" i="2"/>
  <c r="H8" i="2"/>
  <c r="K9" i="9" s="1"/>
  <c r="G8" i="2"/>
  <c r="G9" i="9" s="1"/>
  <c r="F8" i="2"/>
  <c r="C9" i="9" s="1"/>
  <c r="E8" i="2"/>
  <c r="H7" i="2"/>
  <c r="K8" i="9" s="1"/>
  <c r="G7" i="2"/>
  <c r="G8" i="9" s="1"/>
  <c r="F7" i="2"/>
  <c r="C8" i="9" s="1"/>
  <c r="E7" i="2"/>
  <c r="H6" i="2"/>
  <c r="K7" i="9" s="1"/>
  <c r="G6" i="2"/>
  <c r="G7" i="9" s="1"/>
  <c r="F6" i="2"/>
  <c r="C7" i="9" s="1"/>
  <c r="E6" i="2"/>
  <c r="H5" i="2"/>
  <c r="K6" i="9" s="1"/>
  <c r="G5" i="2"/>
  <c r="G6" i="9" s="1"/>
  <c r="F5" i="2"/>
  <c r="C6" i="9" s="1"/>
  <c r="E5" i="2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E9" i="5" l="1"/>
  <c r="F5" i="5"/>
  <c r="F9" i="5" s="1"/>
  <c r="D11" i="5" l="1"/>
  <c r="B11" i="5"/>
  <c r="C11" i="5"/>
</calcChain>
</file>

<file path=xl/sharedStrings.xml><?xml version="1.0" encoding="utf-8"?>
<sst xmlns="http://schemas.openxmlformats.org/spreadsheetml/2006/main" count="412" uniqueCount="302">
  <si>
    <t>Growth Room vs Classmates (1–5 scores)</t>
  </si>
  <si>
    <t>Gap index = Attractiveness + Serveability − Crowding (higher = more room for growth). Yellow = inputs.</t>
  </si>
  <si>
    <t>Segment</t>
  </si>
  <si>
    <t>City / Channel</t>
  </si>
  <si>
    <t>Attractiveness (1–5)</t>
  </si>
  <si>
    <t>Expected crowding (1–5)</t>
  </si>
  <si>
    <t>Our serveability (1–5)</t>
  </si>
  <si>
    <t>Gap index</t>
  </si>
  <si>
    <t>Why peers may leave it</t>
  </si>
  <si>
    <t>Priority (H/M/L)</t>
  </si>
  <si>
    <t>Recreation</t>
  </si>
  <si>
    <t>New York</t>
  </si>
  <si>
    <t>Amsterdam</t>
  </si>
  <si>
    <t>Rio de Janeiro</t>
  </si>
  <si>
    <t>Bangalore</t>
  </si>
  <si>
    <t>Web</t>
  </si>
  <si>
    <t>Mountain</t>
  </si>
  <si>
    <t>Speed</t>
  </si>
  <si>
    <t>Q1Data — Unified Q1 team workbook</t>
  </si>
  <si>
    <t>Paste Workspace survey numbers into the yellow input cells. Thresholds: ≥110 important | &lt;100 may hurt appeal.</t>
  </si>
  <si>
    <t>Sheet</t>
  </si>
  <si>
    <t>Contents</t>
  </si>
  <si>
    <t>Decision use</t>
  </si>
  <si>
    <t>Needs</t>
  </si>
  <si>
    <t>Customer need scores by segment</t>
  </si>
  <si>
    <t>Brand design / Brand Judgment</t>
  </si>
  <si>
    <t>Applications</t>
  </si>
  <si>
    <t>Use-pattern importance</t>
  </si>
  <si>
    <t>Brand design / ads tone</t>
  </si>
  <si>
    <t>Price_WTP</t>
  </si>
  <si>
    <t>Ideal-brand price ceilings</t>
  </si>
  <si>
    <t>Q2 pricing frame</t>
  </si>
  <si>
    <t>Market_Potential</t>
  </si>
  <si>
    <t>12-mo units by city × segment</t>
  </si>
  <si>
    <t>City sequencing + capacity</t>
  </si>
  <si>
    <t>Sales_Channel</t>
  </si>
  <si>
    <t>Shop vs web strategy + store constraints</t>
  </si>
  <si>
    <t>Q1 channel openings</t>
  </si>
  <si>
    <t>Needs_Ranked</t>
  </si>
  <si>
    <t>Linked needs views for sorting</t>
  </si>
  <si>
    <t>Priority lists per segment</t>
  </si>
  <si>
    <t>Growth_Room</t>
  </si>
  <si>
    <t>Competitor gap scores (1–5)</t>
  </si>
  <si>
    <t>Room for growth vs classmates</t>
  </si>
  <si>
    <t>Competitor_CI</t>
  </si>
  <si>
    <t>Classmate tracker + research buys</t>
  </si>
  <si>
    <t>CI priority</t>
  </si>
  <si>
    <t>Comp_Industry</t>
  </si>
  <si>
    <t>Sales &amp; production industry pay</t>
  </si>
  <si>
    <t>Q2 pay &gt; average</t>
  </si>
  <si>
    <t>Canonical Q1 Excel file. Do not maintain a parallel MarketingResearch / Q1_Workbook copy.</t>
  </si>
  <si>
    <t>Locked: Primary segment = Recreation | First store = Amsterdam | Cash+CD ≥ $300,000</t>
  </si>
  <si>
    <t>Narrative: sales-channel.md · market-research-insights.md · decisions.md</t>
  </si>
  <si>
    <t>Manufacturing</t>
  </si>
  <si>
    <t>Bangalore fab, printer fixed capacity, cash sketches</t>
  </si>
  <si>
    <t>Q1 printer count vs $300k floor</t>
  </si>
  <si>
    <t>Stores_Costs</t>
  </si>
  <si>
    <t>Store/web setup + quarterly lease</t>
  </si>
  <si>
    <t>Amsterdam lock; web decision</t>
  </si>
  <si>
    <t>Customer Needs — Importance by Segment</t>
  </si>
  <si>
    <t>Rename labels to match Workspace. Yellow = inputs. Conditional formatting: green ≥110, red &lt;100.</t>
  </si>
  <si>
    <t>Need / Benefit</t>
  </si>
  <si>
    <t>Max</t>
  </si>
  <si>
    <t>Rec flag</t>
  </si>
  <si>
    <t>Mtn flag</t>
  </si>
  <si>
    <t>Spd flag</t>
  </si>
  <si>
    <t>Competitor miss risk (H/M/L)</t>
  </si>
  <si>
    <t>Notes</t>
  </si>
  <si>
    <t>Colorful</t>
  </si>
  <si>
    <t>Fits rider's personality</t>
  </si>
  <si>
    <t>Simple to use</t>
  </si>
  <si>
    <t>Safety</t>
  </si>
  <si>
    <t>Low price point</t>
  </si>
  <si>
    <t>Sleek</t>
  </si>
  <si>
    <t>Stylish</t>
  </si>
  <si>
    <t>Easy to ride</t>
  </si>
  <si>
    <t>Comfortable</t>
  </si>
  <si>
    <t>Soft ride</t>
  </si>
  <si>
    <t>Repair, parts, support nearby</t>
  </si>
  <si>
    <t>Can handle rough terrain</t>
  </si>
  <si>
    <t>Can stop quickly</t>
  </si>
  <si>
    <t>Precise speed control-turns, hills</t>
  </si>
  <si>
    <t>On-road and off-road capabilities</t>
  </si>
  <si>
    <t>Can carry things</t>
  </si>
  <si>
    <t>Durable</t>
  </si>
  <si>
    <t>Feel young at heart</t>
  </si>
  <si>
    <t>Can turn sharply</t>
  </si>
  <si>
    <t>Light weight</t>
  </si>
  <si>
    <t>High visibility</t>
  </si>
  <si>
    <t>Easily handles change in incline</t>
  </si>
  <si>
    <t>Shifts smoothly</t>
  </si>
  <si>
    <t>Provides competitive advantage</t>
  </si>
  <si>
    <t>Aerodynamic</t>
  </si>
  <si>
    <t>Rider expertise required</t>
  </si>
  <si>
    <t>Status symbol/exclusivity</t>
  </si>
  <si>
    <t>Navigation assistance</t>
  </si>
  <si>
    <t>Soften the impact of rough terrain</t>
  </si>
  <si>
    <t>Easy to navigate on web site</t>
  </si>
  <si>
    <t>Web focus</t>
  </si>
  <si>
    <t>Security of my credit card/identity</t>
  </si>
  <si>
    <t>Likes to buy on the web</t>
  </si>
  <si>
    <t>Wants human sales reps/support</t>
  </si>
  <si>
    <t>Able to track my purchase</t>
  </si>
  <si>
    <t>Easy to make purchase on web</t>
  </si>
  <si>
    <t>Segment averages</t>
  </si>
  <si>
    <t>Segment averages, excluding web</t>
  </si>
  <si>
    <t>Segment averages, only web</t>
  </si>
  <si>
    <t>Applications / Use Patterns — Importance by Segment</t>
  </si>
  <si>
    <t>≥110 = must design for | &lt;100 = may hurt appeal if over-emphasized</t>
  </si>
  <si>
    <t>Application / Use</t>
  </si>
  <si>
    <t>Component implications</t>
  </si>
  <si>
    <t>Peer miss risk</t>
  </si>
  <si>
    <t>Exercise</t>
  </si>
  <si>
    <t>Relaxation</t>
  </si>
  <si>
    <t>Fun</t>
  </si>
  <si>
    <t>Adventure</t>
  </si>
  <si>
    <t>Sport</t>
  </si>
  <si>
    <t>Price Willing to Pay (Ideal Brand Ceiling)</t>
  </si>
  <si>
    <t>Treat as maximum for ideal brand. Above = fewer entrants. Elasticity unknown until test market.</t>
  </si>
  <si>
    <t>WTP (max)</t>
  </si>
  <si>
    <t>vs Rec</t>
  </si>
  <si>
    <t>vs Mountain</t>
  </si>
  <si>
    <t>Price sensitivity note</t>
  </si>
  <si>
    <t>Peer price-war risk (H/M/L)</t>
  </si>
  <si>
    <t>Margin opportunity note</t>
  </si>
  <si>
    <t>Q1, we expect all target here</t>
  </si>
  <si>
    <t>H</t>
  </si>
  <si>
    <t>Someone might monopolize Q1</t>
  </si>
  <si>
    <t>M</t>
  </si>
  <si>
    <t>Q1, we expect no target here</t>
  </si>
  <si>
    <t>L</t>
  </si>
  <si>
    <t>Optional: paste graph / Workspace notes below</t>
  </si>
  <si>
    <t>12-Month Market Potential (Units)</t>
  </si>
  <si>
    <t>Potential = P(purchase) × units × # customers. Early quarterly demand usually &lt;&lt; annual/4.</t>
  </si>
  <si>
    <t>See Sales_Channel sheet for shop vs web strategy (linked to these city sizes). First store LOCKED: Amsterdam.</t>
  </si>
  <si>
    <t>City</t>
  </si>
  <si>
    <t>City Total</t>
  </si>
  <si>
    <t>Naive Qtr (Total/4)</t>
  </si>
  <si>
    <t>Likely peer crowding (H/M/L)</t>
  </si>
  <si>
    <t>Growth-room note</t>
  </si>
  <si>
    <t>New York City</t>
  </si>
  <si>
    <t>Segment Total</t>
  </si>
  <si>
    <t>Segment share of total potential</t>
  </si>
  <si>
    <t>City rank by total potential (after fill):</t>
  </si>
  <si>
    <t>1.</t>
  </si>
  <si>
    <t>2.</t>
  </si>
  <si>
    <t>3.</t>
  </si>
  <si>
    <t>4.</t>
  </si>
  <si>
    <t>Sales Channel Strategy — connects to Market_Potential</t>
  </si>
  <si>
    <t>Company-operated shops + optional web center. Opening takes a full quarter — schedule in Q1 for Q2 test. Control brand/price/ads/sales (no independents). Locked first store: Amsterdam.</t>
  </si>
  <si>
    <t>Market size for channel choice (linked to Market_Potential)</t>
  </si>
  <si>
    <t>Locked first store?</t>
  </si>
  <si>
    <t>Channel note</t>
  </si>
  <si>
    <t>No</t>
  </si>
  <si>
    <t>Largest overall; likely peer crowding</t>
  </si>
  <si>
    <t>Smaller Speed pool</t>
  </si>
  <si>
    <t>YES — Q1 LOCKED</t>
  </si>
  <si>
    <t>Largest Recreation pool; team lock</t>
  </si>
  <si>
    <t>Smallest overall; cost may be lower</t>
  </si>
  <si>
    <t>Brick-and-mortar vs Web</t>
  </si>
  <si>
    <t>Channel</t>
  </si>
  <si>
    <t>Advantages</t>
  </si>
  <si>
    <t>Disadvantages</t>
  </si>
  <si>
    <t>Our Q1 posture</t>
  </si>
  <si>
    <t>Brick-and-mortar bike shop</t>
  </si>
  <si>
    <t>Touch/feel/test ride; segment-specialist sales; custom fit; full control of brand/price/ads/sales; no independent-retailer surprises</t>
  </si>
  <si>
    <t>Expensive to open/run; many details; productivity drop if &gt;~15 display bikes or &gt;~15 salespeople</t>
  </si>
  <si>
    <t>LOCKED — Amsterdam Q1</t>
  </si>
  <si>
    <t>Web sales center</t>
  </si>
  <si>
    <t>One site serves all geos; broader metro reach; multilingual staff; demand beyond one store footprint</t>
  </si>
  <si>
    <t>No touch/feel; harder phone vs in-person; must wait for customer to find you (ads/SEM); staff wait for calls</t>
  </si>
  <si>
    <t>UNDECIDED</t>
  </si>
  <si>
    <t>Sim decision tips</t>
  </si>
  <si>
    <t>1. Both channels are expensive to start together — may open one first, then expand.</t>
  </si>
  <si>
    <t>2. Web and stores cannibalize each other → lower productivity per channel; dual channels may still raise TOTAL demand.</t>
  </si>
  <si>
    <t>3. Segment preferences differ for web vs store — Rec especially wants humans + web (see Needs).</t>
  </si>
  <si>
    <t>4. Must schedule first channel in Q1 (takes a full quarter) to test in Q2.</t>
  </si>
  <si>
    <t>5. Recommended: one store for test marketing; add more after learning.</t>
  </si>
  <si>
    <t>6. Store ~3,200 sq ft / 300 m²: display ~50%, fitting ~20%, service ~15%, counter/office/storage ~15%. Middle-class area near major road.</t>
  </si>
  <si>
    <t>7. POP displays + several bikes; fitting area for custom measurements.</t>
  </si>
  <si>
    <t>8. Productivity risk if more than ~15 bikes OR ~15 salespeople in one store.</t>
  </si>
  <si>
    <t>Web order fulfillment</t>
  </si>
  <si>
    <t>1. Daily web orders (dimensions + preferences) → single fabrication facility.</t>
  </si>
  <si>
    <t>2. 3D modeling software generates customized frame specs.</t>
  </si>
  <si>
    <t>3. Next day: produce; end of day box, containerize, ship to each city.</t>
  </si>
  <si>
    <t>4. If store in city: bikes to store for customer pickup.</t>
  </si>
  <si>
    <t>5. If no store: break-bulk operator delivers to buyers.</t>
  </si>
  <si>
    <t>Strategy worksheet (yellow = team inputs)</t>
  </si>
  <si>
    <t>Question</t>
  </si>
  <si>
    <t>Team answer</t>
  </si>
  <si>
    <t>Data link</t>
  </si>
  <si>
    <t>Primary channel for Q2 test?</t>
  </si>
  <si>
    <t>Amsterdam brick-and-mortar (LOCKED)</t>
  </si>
  <si>
    <t>Open web sales center in Q1?</t>
  </si>
  <si>
    <t>Needs web scores; cost + cannibalization tips</t>
  </si>
  <si>
    <t>First-store segment specialist focus?</t>
  </si>
  <si>
    <t>Recreation primary</t>
  </si>
  <si>
    <t>decisions.md</t>
  </si>
  <si>
    <t>Q2–Q4 city order?</t>
  </si>
  <si>
    <t>NYC, Rio, Bangalore remaining</t>
  </si>
  <si>
    <t>Dual-channel cannibalization plan?</t>
  </si>
  <si>
    <t>Sim: total demand may still rise</t>
  </si>
  <si>
    <t>Store productivity caps (# bikes / # sales)?</t>
  </si>
  <si>
    <t>Sim guideline: avoid &gt;15 / &gt;15</t>
  </si>
  <si>
    <t>Sales outlets and web — setup and lease costs</t>
  </si>
  <si>
    <t>Full quarter to open. Team lock: Amsterdam. Web undecided.</t>
  </si>
  <si>
    <t>Brick-and-mortar stores</t>
  </si>
  <si>
    <t>Status</t>
  </si>
  <si>
    <t>Setup/Close Cost</t>
  </si>
  <si>
    <t>Quarterly Lease</t>
  </si>
  <si>
    <t>12-mo Rec potential</t>
  </si>
  <si>
    <t>closed</t>
  </si>
  <si>
    <t>Highest setup+lease</t>
  </si>
  <si>
    <t>Lowest store costs; also fab city</t>
  </si>
  <si>
    <t>Region</t>
  </si>
  <si>
    <t>World Market</t>
  </si>
  <si>
    <t>Undecided; serves all geos</t>
  </si>
  <si>
    <t>Q1 cash sketch (major outlays only)</t>
  </si>
  <si>
    <t>Scenario</t>
  </si>
  <si>
    <t>Printers</t>
  </si>
  <si>
    <t>Printer $</t>
  </si>
  <si>
    <t>AMS setup</t>
  </si>
  <si>
    <t>Web setup</t>
  </si>
  <si>
    <t>Total major outlay</t>
  </si>
  <si>
    <t>Cash left from $1.5M</t>
  </si>
  <si>
    <t>&gt;= $300k floor?</t>
  </si>
  <si>
    <t>AMS only + 2 printers</t>
  </si>
  <si>
    <t>YES</t>
  </si>
  <si>
    <t>AMS only + 3 printers</t>
  </si>
  <si>
    <t>AMS + web + 2 printers</t>
  </si>
  <si>
    <t>AMS + web + 3 printers</t>
  </si>
  <si>
    <t>AMS only + 5 printers</t>
  </si>
  <si>
    <t>NO</t>
  </si>
  <si>
    <t>AMS + web + 1 printer</t>
  </si>
  <si>
    <t>Ongoing leases once open: AMS $44k/qtr, web $60k/qtr, NYC $62k, Rio $17k, Bangalore store $13k. Confirm in-sim whether lease hits opening quarter or first operating quarter.</t>
  </si>
  <si>
    <t>Manufacturing — Bangalore production facility</t>
  </si>
  <si>
    <t>Location fixed for all firms: Bangalore (gov incentives). Cannot relocate or add facilities later; can add printers. Airfreight; no inventory; same-quarter fulfillment; shipping cost to firm.</t>
  </si>
  <si>
    <t>Production math</t>
  </si>
  <si>
    <t>1 frame/hour x 8 hrs/day x 5 days/week x 13 weeks/quarter = 520 units/printer/quarter (normal hours)</t>
  </si>
  <si>
    <t>Operating capacity &lt;= fixed capacity. Turn printers on/off to set operating capacity and staffing.</t>
  </si>
  <si>
    <t>Fixed capacity options</t>
  </si>
  <si>
    <t>3D Printers</t>
  </si>
  <si>
    <t>Units/Day</t>
  </si>
  <si>
    <t>Units/Quarter</t>
  </si>
  <si>
    <t>Capital Investment</t>
  </si>
  <si>
    <t>Cash after printers*</t>
  </si>
  <si>
    <t>+ Amsterdam $136k</t>
  </si>
  <si>
    <t>Common early-test range</t>
  </si>
  <si>
    <t>Tight vs $300k floor</t>
  </si>
  <si>
    <t>BREACHES $300k floor with AMS only</t>
  </si>
  <si>
    <t>*Assumes Q1 start cash $1,500,000; ignores other Q1 costs. Required floor: Cash+CD &gt;= $300,000.</t>
  </si>
  <si>
    <t>MARGIN NOTE: We do NOT have sim COGS/contribution margins yet. Earlier 'high margin segment' language used Price Willing to Pay ceilings (Rec $1100 / Mtn $1365 / Speed $1580) as a price-ladder proxy only — NOT proven unit profit.</t>
  </si>
  <si>
    <t>Process: daily orders with custom specs -&gt; fab -&gt; box/ship airfreight -&gt; store pickup or break-bulk. No inventory at plant; transit &lt;= 2 days.</t>
  </si>
  <si>
    <t>Needs Snapshot — linked to Needs sheet</t>
  </si>
  <si>
    <t>After entering scores on Needs, filter each block where Flag = IMPORTANT, or sort Score descending (copy-paste values if needed).</t>
  </si>
  <si>
    <t>Recreation priorities</t>
  </si>
  <si>
    <t>Mountain priorities</t>
  </si>
  <si>
    <t>Speed priorities</t>
  </si>
  <si>
    <t>Need</t>
  </si>
  <si>
    <t>Score</t>
  </si>
  <si>
    <t>Flag</t>
  </si>
  <si>
    <t>Competitor (Classmate) Tracker</t>
  </si>
  <si>
    <t>Q1: enter firm names when known. Metrics mainly from Q2+ results / purchased research.</t>
  </si>
  <si>
    <t>Firm</t>
  </si>
  <si>
    <t>Quarter</t>
  </si>
  <si>
    <t>Segments</t>
  </si>
  <si>
    <t>Cities / Web</t>
  </si>
  <si>
    <t>Brand Judgment notes</t>
  </si>
  <si>
    <t>Ad Judgment notes</t>
  </si>
  <si>
    <t>Price posture</t>
  </si>
  <si>
    <t>Share / demand served</t>
  </si>
  <si>
    <t>Weakness / gap for us</t>
  </si>
  <si>
    <t>Our response</t>
  </si>
  <si>
    <t>Research purchase log (competitor-first)</t>
  </si>
  <si>
    <t>Report bought</t>
  </si>
  <si>
    <t>Cost</t>
  </si>
  <si>
    <t>Key competitor insight</t>
  </si>
  <si>
    <t>Action</t>
  </si>
  <si>
    <t>Industry Average Compensation</t>
  </si>
  <si>
    <t>Team goal: pay ABOVE average. Importance order: Salary → Health → Vacation → Pension.</t>
  </si>
  <si>
    <t>Sales people</t>
  </si>
  <si>
    <t>Component</t>
  </si>
  <si>
    <t>Industry setting</t>
  </si>
  <si>
    <t>Importance of further improvement</t>
  </si>
  <si>
    <t>Salary</t>
  </si>
  <si>
    <t>Health benefits</t>
  </si>
  <si>
    <t>Minimum</t>
  </si>
  <si>
    <t>Vacation</t>
  </si>
  <si>
    <t>1 week</t>
  </si>
  <si>
    <t>Pension</t>
  </si>
  <si>
    <t>1%</t>
  </si>
  <si>
    <t>TOTAL yearly cost</t>
  </si>
  <si>
    <t>Production workers</t>
  </si>
  <si>
    <t>2%</t>
  </si>
  <si>
    <t>Our packages (Q2 — yellow)</t>
  </si>
  <si>
    <t>Role</t>
  </si>
  <si>
    <t>Health</t>
  </si>
  <si>
    <t>Total cost</t>
  </si>
  <si>
    <t>vs Industry</t>
  </si>
  <si>
    <t>Q1 planned</t>
  </si>
  <si>
    <t>This covers our goals for having extra capacity</t>
  </si>
  <si>
    <t>This gives us a conservative approach without additional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</si>
</sst>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b/>
      <sz val="11"/>
      <color rgb="FF006100"/>
      <name val="Calibri"/>
      <family val="2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rgb="FF1F4E79"/>
      <name val="Calibri"/>
      <family val="2"/>
    </font>
    <font>
      <i/>
      <sz val="9"/>
      <color rgb="FF66666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FFFFFF"/>
        <bgColor indexed="64"/>
      </patternFill>
    </fill>
    <fill>
      <patternFill patternType="solid">
        <fgColor rgb="FFD7E9F8"/>
        <bgColor indexed="64"/>
      </patternFill>
    </fill>
    <fill>
      <patternFill patternType="solid">
        <fgColor rgb="FFF1F8F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medium">
        <color rgb="FFD1D1D1"/>
      </right>
      <top style="medium">
        <color rgb="FFE7E7E7"/>
      </top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  <border>
      <left/>
      <right/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11"/>
    <xf numFmtId="0" fontId="7" fillId="9" borderId="11"/>
  </cellStyleXfs>
  <cellXfs count="76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/>
    <xf numFmtId="0" fontId="0" fillId="4" borderId="1" xfId="0" applyFill="1" applyBorder="1"/>
    <xf numFmtId="164" fontId="0" fillId="0" borderId="0" xfId="0" applyNumberFormat="1" applyBorder="1"/>
    <xf numFmtId="0" fontId="0" fillId="3" borderId="1" xfId="0" applyFill="1" applyBorder="1"/>
    <xf numFmtId="0" fontId="5" fillId="0" borderId="0" xfId="0" applyFont="1" applyBorder="1"/>
    <xf numFmtId="0" fontId="0" fillId="0" borderId="1" xfId="0" applyBorder="1"/>
    <xf numFmtId="0" fontId="4" fillId="0" borderId="0" xfId="0" applyFont="1" applyBorder="1"/>
    <xf numFmtId="0" fontId="6" fillId="6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righ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righ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right" vertical="center" wrapText="1"/>
    </xf>
    <xf numFmtId="3" fontId="6" fillId="7" borderId="3" xfId="0" applyNumberFormat="1" applyFont="1" applyFill="1" applyBorder="1" applyAlignment="1">
      <alignment horizontal="right" vertical="center" wrapText="1"/>
    </xf>
    <xf numFmtId="3" fontId="6" fillId="5" borderId="3" xfId="0" applyNumberFormat="1" applyFont="1" applyFill="1" applyBorder="1" applyAlignment="1">
      <alignment horizontal="right" vertical="center" wrapText="1"/>
    </xf>
    <xf numFmtId="3" fontId="6" fillId="6" borderId="3" xfId="0" applyNumberFormat="1" applyFont="1" applyFill="1" applyBorder="1" applyAlignment="1">
      <alignment horizontal="right" vertical="center" wrapText="1"/>
    </xf>
    <xf numFmtId="0" fontId="7" fillId="9" borderId="1" xfId="1" applyBorder="1"/>
    <xf numFmtId="0" fontId="0" fillId="10" borderId="0" xfId="0" applyFill="1" applyBorder="1"/>
    <xf numFmtId="0" fontId="8" fillId="0" borderId="0" xfId="0" applyFont="1" applyBorder="1"/>
    <xf numFmtId="0" fontId="9" fillId="11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/>
    <xf numFmtId="0" fontId="0" fillId="0" borderId="11" xfId="0"/>
    <xf numFmtId="0" fontId="10" fillId="0" borderId="11" xfId="0" applyFont="1"/>
    <xf numFmtId="0" fontId="11" fillId="0" borderId="11" xfId="0" applyFont="1"/>
    <xf numFmtId="0" fontId="10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0" fillId="0" borderId="12" xfId="0" applyBorder="1" applyAlignment="1">
      <alignment horizontal="center" vertical="center" wrapText="1"/>
    </xf>
    <xf numFmtId="0" fontId="0" fillId="12" borderId="12" xfId="0" applyFill="1" applyBorder="1" applyAlignment="1">
      <alignment horizontal="left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left" vertical="center" wrapText="1"/>
    </xf>
    <xf numFmtId="0" fontId="0" fillId="13" borderId="12" xfId="0" applyFill="1" applyBorder="1"/>
    <xf numFmtId="0" fontId="14" fillId="0" borderId="0" xfId="0" applyFont="1" applyBorder="1"/>
    <xf numFmtId="0" fontId="0" fillId="14" borderId="12" xfId="0" applyFill="1" applyBorder="1"/>
    <xf numFmtId="0" fontId="15" fillId="0" borderId="11" xfId="0" applyFont="1"/>
    <xf numFmtId="0" fontId="16" fillId="0" borderId="12" xfId="0" applyFont="1" applyBorder="1"/>
    <xf numFmtId="0" fontId="1" fillId="0" borderId="13" xfId="0" applyFont="1" applyBorder="1"/>
    <xf numFmtId="0" fontId="0" fillId="0" borderId="13" xfId="0" applyBorder="1"/>
    <xf numFmtId="0" fontId="17" fillId="0" borderId="0" xfId="0" applyFont="1" applyBorder="1"/>
    <xf numFmtId="0" fontId="18" fillId="0" borderId="0" xfId="0" applyFont="1" applyBorder="1"/>
    <xf numFmtId="0" fontId="20" fillId="15" borderId="13" xfId="0" applyFont="1" applyFill="1" applyBorder="1" applyAlignment="1">
      <alignment horizontal="center" vertical="center" wrapText="1"/>
    </xf>
    <xf numFmtId="0" fontId="0" fillId="16" borderId="13" xfId="0" applyFill="1" applyBorder="1"/>
    <xf numFmtId="0" fontId="0" fillId="18" borderId="13" xfId="0" applyFill="1" applyBorder="1"/>
    <xf numFmtId="0" fontId="19" fillId="0" borderId="0" xfId="0" applyFont="1" applyBorder="1"/>
    <xf numFmtId="0" fontId="0" fillId="17" borderId="13" xfId="0" applyFill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16" borderId="13" xfId="0" applyFill="1" applyBorder="1" applyAlignment="1">
      <alignment horizontal="center" vertical="center" wrapText="1"/>
    </xf>
    <xf numFmtId="0" fontId="0" fillId="16" borderId="13" xfId="0" applyFill="1" applyBorder="1" applyAlignment="1">
      <alignment horizontal="left" vertical="center" wrapText="1"/>
    </xf>
    <xf numFmtId="0" fontId="0" fillId="17" borderId="13" xfId="0" applyFill="1" applyBorder="1" applyAlignment="1">
      <alignment horizontal="center" vertical="center" wrapText="1"/>
    </xf>
    <xf numFmtId="0" fontId="0" fillId="17" borderId="13" xfId="0" applyFill="1" applyBorder="1" applyAlignment="1">
      <alignment horizontal="left" vertical="center" wrapText="1"/>
    </xf>
    <xf numFmtId="0" fontId="21" fillId="0" borderId="0" xfId="0" applyFont="1" applyBorder="1"/>
    <xf numFmtId="0" fontId="0" fillId="3" borderId="12" xfId="0" applyFill="1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/>
    <xf numFmtId="0" fontId="10" fillId="0" borderId="11" xfId="0" applyFont="1"/>
    <xf numFmtId="0" fontId="18" fillId="0" borderId="0" xfId="0" applyFont="1" applyBorder="1"/>
    <xf numFmtId="0" fontId="0" fillId="10" borderId="13" xfId="0" applyFill="1" applyBorder="1"/>
  </cellXfs>
  <cellStyles count="2">
    <cellStyle name="20% - Accent1" xfId="1" builtinId="30"/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26" sqref="B26"/>
    </sheetView>
  </sheetViews>
  <sheetFormatPr defaultRowHeight="14.5" x14ac:dyDescent="0.35"/>
  <cols>
    <col min="1" max="1" width="18" customWidth="1"/>
    <col min="2" max="2" width="48" customWidth="1"/>
    <col min="3" max="3" width="40" customWidth="1"/>
  </cols>
  <sheetData>
    <row r="1" spans="1:3" ht="21" customHeight="1" x14ac:dyDescent="0.5">
      <c r="A1" s="28" t="s">
        <v>18</v>
      </c>
    </row>
    <row r="2" spans="1:3" x14ac:dyDescent="0.35">
      <c r="A2" s="1" t="s">
        <v>19</v>
      </c>
    </row>
    <row r="4" spans="1:3" x14ac:dyDescent="0.35">
      <c r="A4" s="29" t="s">
        <v>20</v>
      </c>
      <c r="B4" s="29" t="s">
        <v>21</v>
      </c>
      <c r="C4" s="29" t="s">
        <v>22</v>
      </c>
    </row>
    <row r="5" spans="1:3" x14ac:dyDescent="0.35">
      <c r="A5" s="30" t="s">
        <v>23</v>
      </c>
      <c r="B5" s="30" t="s">
        <v>24</v>
      </c>
      <c r="C5" s="30" t="s">
        <v>25</v>
      </c>
    </row>
    <row r="6" spans="1:3" x14ac:dyDescent="0.35">
      <c r="A6" s="30" t="s">
        <v>26</v>
      </c>
      <c r="B6" s="30" t="s">
        <v>27</v>
      </c>
      <c r="C6" s="30" t="s">
        <v>28</v>
      </c>
    </row>
    <row r="7" spans="1:3" x14ac:dyDescent="0.35">
      <c r="A7" s="30" t="s">
        <v>29</v>
      </c>
      <c r="B7" s="30" t="s">
        <v>30</v>
      </c>
      <c r="C7" s="30" t="s">
        <v>31</v>
      </c>
    </row>
    <row r="8" spans="1:3" x14ac:dyDescent="0.35">
      <c r="A8" s="30" t="s">
        <v>32</v>
      </c>
      <c r="B8" s="30" t="s">
        <v>33</v>
      </c>
      <c r="C8" s="30" t="s">
        <v>34</v>
      </c>
    </row>
    <row r="9" spans="1:3" x14ac:dyDescent="0.35">
      <c r="A9" s="30" t="s">
        <v>35</v>
      </c>
      <c r="B9" s="30" t="s">
        <v>36</v>
      </c>
      <c r="C9" s="30" t="s">
        <v>37</v>
      </c>
    </row>
    <row r="10" spans="1:3" x14ac:dyDescent="0.35">
      <c r="A10" s="30" t="s">
        <v>38</v>
      </c>
      <c r="B10" s="30" t="s">
        <v>39</v>
      </c>
      <c r="C10" s="30" t="s">
        <v>40</v>
      </c>
    </row>
    <row r="11" spans="1:3" x14ac:dyDescent="0.35">
      <c r="A11" s="30" t="s">
        <v>41</v>
      </c>
      <c r="B11" s="30" t="s">
        <v>42</v>
      </c>
      <c r="C11" s="30" t="s">
        <v>43</v>
      </c>
    </row>
    <row r="12" spans="1:3" x14ac:dyDescent="0.35">
      <c r="A12" s="31" t="s">
        <v>44</v>
      </c>
      <c r="B12" s="31" t="s">
        <v>45</v>
      </c>
      <c r="C12" s="31" t="s">
        <v>46</v>
      </c>
    </row>
    <row r="13" spans="1:3" x14ac:dyDescent="0.35">
      <c r="A13" s="46" t="s">
        <v>47</v>
      </c>
      <c r="B13" s="31" t="s">
        <v>48</v>
      </c>
      <c r="C13" s="31" t="s">
        <v>49</v>
      </c>
    </row>
    <row r="14" spans="1:3" x14ac:dyDescent="0.35">
      <c r="A14" s="45"/>
      <c r="B14" s="32"/>
      <c r="C14" s="32"/>
    </row>
    <row r="15" spans="1:3" x14ac:dyDescent="0.35">
      <c r="A15" s="32"/>
      <c r="B15" s="32"/>
      <c r="C15" s="32"/>
    </row>
    <row r="16" spans="1:3" x14ac:dyDescent="0.35">
      <c r="A16" s="33" t="s">
        <v>50</v>
      </c>
      <c r="B16" s="32"/>
      <c r="C16" s="32"/>
    </row>
    <row r="17" spans="1:3" x14ac:dyDescent="0.35">
      <c r="A17" s="34" t="s">
        <v>51</v>
      </c>
      <c r="B17" s="32"/>
      <c r="C17" s="32"/>
    </row>
    <row r="18" spans="1:3" x14ac:dyDescent="0.35">
      <c r="A18" s="32" t="s">
        <v>52</v>
      </c>
      <c r="B18" s="32"/>
      <c r="C18" s="32"/>
    </row>
    <row r="19" spans="1:3" x14ac:dyDescent="0.35">
      <c r="A19" s="47" t="s">
        <v>53</v>
      </c>
      <c r="B19" s="48" t="s">
        <v>54</v>
      </c>
      <c r="C19" s="48" t="s">
        <v>55</v>
      </c>
    </row>
    <row r="20" spans="1:3" x14ac:dyDescent="0.35">
      <c r="A20" s="48" t="s">
        <v>56</v>
      </c>
      <c r="B20" s="48" t="s">
        <v>57</v>
      </c>
      <c r="C20" s="48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opLeftCell="B11" zoomScale="114" zoomScaleNormal="85" workbookViewId="0">
      <selection activeCell="G47" sqref="G47"/>
    </sheetView>
  </sheetViews>
  <sheetFormatPr defaultRowHeight="14.5" x14ac:dyDescent="0.35"/>
  <cols>
    <col min="1" max="1" width="36" customWidth="1"/>
    <col min="2" max="4" width="12" customWidth="1"/>
    <col min="5" max="5" width="8" customWidth="1"/>
    <col min="6" max="8" width="12" customWidth="1"/>
    <col min="9" max="9" width="18" customWidth="1"/>
    <col min="10" max="10" width="40" customWidth="1"/>
  </cols>
  <sheetData>
    <row r="1" spans="1:10" ht="18.5" customHeight="1" x14ac:dyDescent="0.45">
      <c r="A1" s="4" t="s">
        <v>59</v>
      </c>
    </row>
    <row r="2" spans="1:10" x14ac:dyDescent="0.35">
      <c r="A2" s="1" t="s">
        <v>60</v>
      </c>
    </row>
    <row r="4" spans="1:10" ht="29.5" customHeight="1" thickBot="1" x14ac:dyDescent="0.4">
      <c r="A4" s="2" t="s">
        <v>61</v>
      </c>
      <c r="B4" s="2" t="s">
        <v>10</v>
      </c>
      <c r="C4" s="2" t="s">
        <v>16</v>
      </c>
      <c r="D4" s="2" t="s">
        <v>17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</row>
    <row r="5" spans="1:10" ht="15" customHeight="1" thickBot="1" x14ac:dyDescent="0.4">
      <c r="A5" s="15" t="s">
        <v>68</v>
      </c>
      <c r="B5" s="16">
        <v>116</v>
      </c>
      <c r="C5" s="16">
        <v>120</v>
      </c>
      <c r="D5" s="16">
        <v>109</v>
      </c>
      <c r="E5" s="7">
        <f t="shared" ref="E5:E40" si="0">IF(COUNT(B5:D5)=0,"",MAX(B5:D5))</f>
        <v>120</v>
      </c>
      <c r="F5" s="7" t="str">
        <f t="shared" ref="F5:F40" si="1">IF(B5="","",IF(B5&gt;=110,"IMPORTANT",IF(B5&lt;100,"CAUTION","")))</f>
        <v>IMPORTANT</v>
      </c>
      <c r="G5" s="7" t="str">
        <f t="shared" ref="G5:G40" si="2">IF(C5="","",IF(C5&gt;=110,"IMPORTANT",IF(C5&lt;100,"CAUTION","")))</f>
        <v>IMPORTANT</v>
      </c>
      <c r="H5" s="7" t="str">
        <f t="shared" ref="H5:H40" si="3">IF(D5="","",IF(D5&gt;=110,"IMPORTANT",IF(D5&lt;100,"CAUTION","")))</f>
        <v/>
      </c>
      <c r="I5" s="6"/>
      <c r="J5" s="6"/>
    </row>
    <row r="6" spans="1:10" ht="15" customHeight="1" thickBot="1" x14ac:dyDescent="0.4">
      <c r="A6" s="17" t="s">
        <v>69</v>
      </c>
      <c r="B6" s="18">
        <v>116</v>
      </c>
      <c r="C6" s="18">
        <v>113</v>
      </c>
      <c r="D6" s="18">
        <v>116</v>
      </c>
      <c r="E6" s="7">
        <f t="shared" si="0"/>
        <v>116</v>
      </c>
      <c r="F6" s="7" t="str">
        <f t="shared" si="1"/>
        <v>IMPORTANT</v>
      </c>
      <c r="G6" s="7" t="str">
        <f t="shared" si="2"/>
        <v>IMPORTANT</v>
      </c>
      <c r="H6" s="7" t="str">
        <f t="shared" si="3"/>
        <v>IMPORTANT</v>
      </c>
      <c r="I6" s="6"/>
      <c r="J6" s="6"/>
    </row>
    <row r="7" spans="1:10" ht="15" customHeight="1" thickBot="1" x14ac:dyDescent="0.4">
      <c r="A7" s="19" t="s">
        <v>70</v>
      </c>
      <c r="B7" s="20">
        <v>121</v>
      </c>
      <c r="C7" s="20">
        <v>102</v>
      </c>
      <c r="D7" s="20">
        <v>69</v>
      </c>
      <c r="E7" s="7">
        <f t="shared" si="0"/>
        <v>121</v>
      </c>
      <c r="F7" s="7" t="str">
        <f t="shared" si="1"/>
        <v>IMPORTANT</v>
      </c>
      <c r="G7" s="7" t="str">
        <f t="shared" si="2"/>
        <v/>
      </c>
      <c r="H7" s="7" t="str">
        <f t="shared" si="3"/>
        <v>CAUTION</v>
      </c>
      <c r="I7" s="6"/>
      <c r="J7" s="6"/>
    </row>
    <row r="8" spans="1:10" ht="15" customHeight="1" thickBot="1" x14ac:dyDescent="0.4">
      <c r="A8" s="17" t="s">
        <v>71</v>
      </c>
      <c r="B8" s="18">
        <v>121</v>
      </c>
      <c r="C8" s="18">
        <v>112</v>
      </c>
      <c r="D8" s="18">
        <v>113</v>
      </c>
      <c r="E8" s="7">
        <f t="shared" si="0"/>
        <v>121</v>
      </c>
      <c r="F8" s="7" t="str">
        <f t="shared" si="1"/>
        <v>IMPORTANT</v>
      </c>
      <c r="G8" s="7" t="str">
        <f t="shared" si="2"/>
        <v>IMPORTANT</v>
      </c>
      <c r="H8" s="7" t="str">
        <f t="shared" si="3"/>
        <v>IMPORTANT</v>
      </c>
      <c r="I8" s="6"/>
      <c r="J8" s="6"/>
    </row>
    <row r="9" spans="1:10" ht="15" customHeight="1" thickBot="1" x14ac:dyDescent="0.4">
      <c r="A9" s="19" t="s">
        <v>72</v>
      </c>
      <c r="B9" s="20">
        <v>117</v>
      </c>
      <c r="C9" s="20">
        <v>98</v>
      </c>
      <c r="D9" s="20">
        <v>70</v>
      </c>
      <c r="E9" s="7">
        <f t="shared" si="0"/>
        <v>117</v>
      </c>
      <c r="F9" s="7" t="str">
        <f t="shared" si="1"/>
        <v>IMPORTANT</v>
      </c>
      <c r="G9" s="7" t="str">
        <f t="shared" si="2"/>
        <v>CAUTION</v>
      </c>
      <c r="H9" s="7" t="str">
        <f t="shared" si="3"/>
        <v>CAUTION</v>
      </c>
      <c r="I9" s="6"/>
      <c r="J9" s="6"/>
    </row>
    <row r="10" spans="1:10" ht="15" customHeight="1" thickBot="1" x14ac:dyDescent="0.4">
      <c r="A10" s="17" t="s">
        <v>73</v>
      </c>
      <c r="B10" s="18">
        <v>104</v>
      </c>
      <c r="C10" s="18">
        <v>83</v>
      </c>
      <c r="D10" s="18">
        <v>119</v>
      </c>
      <c r="E10" s="7">
        <f t="shared" si="0"/>
        <v>119</v>
      </c>
      <c r="F10" s="7" t="str">
        <f t="shared" si="1"/>
        <v/>
      </c>
      <c r="G10" s="7" t="str">
        <f t="shared" si="2"/>
        <v>CAUTION</v>
      </c>
      <c r="H10" s="7" t="str">
        <f t="shared" si="3"/>
        <v>IMPORTANT</v>
      </c>
      <c r="I10" s="6"/>
      <c r="J10" s="6"/>
    </row>
    <row r="11" spans="1:10" ht="15" customHeight="1" thickBot="1" x14ac:dyDescent="0.4">
      <c r="A11" s="19" t="s">
        <v>74</v>
      </c>
      <c r="B11" s="20">
        <v>111</v>
      </c>
      <c r="C11" s="20">
        <v>118</v>
      </c>
      <c r="D11" s="20">
        <v>116</v>
      </c>
      <c r="E11" s="7">
        <f t="shared" si="0"/>
        <v>118</v>
      </c>
      <c r="F11" s="7" t="str">
        <f t="shared" si="1"/>
        <v>IMPORTANT</v>
      </c>
      <c r="G11" s="7" t="str">
        <f t="shared" si="2"/>
        <v>IMPORTANT</v>
      </c>
      <c r="H11" s="7" t="str">
        <f t="shared" si="3"/>
        <v>IMPORTANT</v>
      </c>
      <c r="I11" s="6"/>
      <c r="J11" s="6"/>
    </row>
    <row r="12" spans="1:10" ht="15" customHeight="1" thickBot="1" x14ac:dyDescent="0.4">
      <c r="A12" s="17" t="s">
        <v>75</v>
      </c>
      <c r="B12" s="18">
        <v>124</v>
      </c>
      <c r="C12" s="18">
        <v>100</v>
      </c>
      <c r="D12" s="18">
        <v>102</v>
      </c>
      <c r="E12" s="7">
        <f t="shared" si="0"/>
        <v>124</v>
      </c>
      <c r="F12" s="7" t="str">
        <f t="shared" si="1"/>
        <v>IMPORTANT</v>
      </c>
      <c r="G12" s="7" t="str">
        <f t="shared" si="2"/>
        <v/>
      </c>
      <c r="H12" s="7" t="str">
        <f t="shared" si="3"/>
        <v/>
      </c>
      <c r="I12" s="6"/>
      <c r="J12" s="6"/>
    </row>
    <row r="13" spans="1:10" ht="15" customHeight="1" thickBot="1" x14ac:dyDescent="0.4">
      <c r="A13" s="19" t="s">
        <v>76</v>
      </c>
      <c r="B13" s="20">
        <v>124</v>
      </c>
      <c r="C13" s="20">
        <v>95</v>
      </c>
      <c r="D13" s="20">
        <v>101</v>
      </c>
      <c r="E13" s="7">
        <f t="shared" si="0"/>
        <v>124</v>
      </c>
      <c r="F13" s="7" t="str">
        <f t="shared" si="1"/>
        <v>IMPORTANT</v>
      </c>
      <c r="G13" s="7" t="str">
        <f t="shared" si="2"/>
        <v>CAUTION</v>
      </c>
      <c r="H13" s="7" t="str">
        <f t="shared" si="3"/>
        <v/>
      </c>
      <c r="I13" s="6"/>
      <c r="J13" s="6"/>
    </row>
    <row r="14" spans="1:10" ht="15" customHeight="1" thickBot="1" x14ac:dyDescent="0.4">
      <c r="A14" s="17" t="s">
        <v>77</v>
      </c>
      <c r="B14" s="18">
        <v>115</v>
      </c>
      <c r="C14" s="18">
        <v>89</v>
      </c>
      <c r="D14" s="18">
        <v>87</v>
      </c>
      <c r="E14" s="7">
        <f t="shared" si="0"/>
        <v>115</v>
      </c>
      <c r="F14" s="7" t="str">
        <f t="shared" si="1"/>
        <v>IMPORTANT</v>
      </c>
      <c r="G14" s="7" t="str">
        <f t="shared" si="2"/>
        <v>CAUTION</v>
      </c>
      <c r="H14" s="7" t="str">
        <f t="shared" si="3"/>
        <v>CAUTION</v>
      </c>
      <c r="I14" s="6"/>
      <c r="J14" s="6"/>
    </row>
    <row r="15" spans="1:10" ht="15" customHeight="1" thickBot="1" x14ac:dyDescent="0.4">
      <c r="A15" s="19" t="s">
        <v>78</v>
      </c>
      <c r="B15" s="20">
        <v>119</v>
      </c>
      <c r="C15" s="20">
        <v>121</v>
      </c>
      <c r="D15" s="20">
        <v>120</v>
      </c>
      <c r="E15" s="7">
        <f t="shared" si="0"/>
        <v>121</v>
      </c>
      <c r="F15" s="7" t="str">
        <f t="shared" si="1"/>
        <v>IMPORTANT</v>
      </c>
      <c r="G15" s="7" t="str">
        <f t="shared" si="2"/>
        <v>IMPORTANT</v>
      </c>
      <c r="H15" s="7" t="str">
        <f t="shared" si="3"/>
        <v>IMPORTANT</v>
      </c>
      <c r="I15" s="6"/>
      <c r="J15" s="6"/>
    </row>
    <row r="16" spans="1:10" ht="15" customHeight="1" thickBot="1" x14ac:dyDescent="0.4">
      <c r="A16" s="17" t="s">
        <v>79</v>
      </c>
      <c r="B16" s="18">
        <v>111</v>
      </c>
      <c r="C16" s="18">
        <v>128</v>
      </c>
      <c r="D16" s="18">
        <v>82</v>
      </c>
      <c r="E16" s="7">
        <f t="shared" si="0"/>
        <v>128</v>
      </c>
      <c r="F16" s="7" t="str">
        <f t="shared" si="1"/>
        <v>IMPORTANT</v>
      </c>
      <c r="G16" s="7" t="str">
        <f t="shared" si="2"/>
        <v>IMPORTANT</v>
      </c>
      <c r="H16" s="7" t="str">
        <f t="shared" si="3"/>
        <v>CAUTION</v>
      </c>
      <c r="I16" s="6"/>
      <c r="J16" s="6"/>
    </row>
    <row r="17" spans="1:10" ht="15" customHeight="1" thickBot="1" x14ac:dyDescent="0.4">
      <c r="A17" s="19" t="s">
        <v>80</v>
      </c>
      <c r="B17" s="20">
        <v>114</v>
      </c>
      <c r="C17" s="20">
        <v>123</v>
      </c>
      <c r="D17" s="20">
        <v>110</v>
      </c>
      <c r="E17" s="7">
        <f t="shared" si="0"/>
        <v>123</v>
      </c>
      <c r="F17" s="7" t="str">
        <f t="shared" si="1"/>
        <v>IMPORTANT</v>
      </c>
      <c r="G17" s="7" t="str">
        <f t="shared" si="2"/>
        <v>IMPORTANT</v>
      </c>
      <c r="H17" s="7" t="str">
        <f t="shared" si="3"/>
        <v>IMPORTANT</v>
      </c>
      <c r="I17" s="6"/>
      <c r="J17" s="6"/>
    </row>
    <row r="18" spans="1:10" ht="15" customHeight="1" thickBot="1" x14ac:dyDescent="0.4">
      <c r="A18" s="17" t="s">
        <v>81</v>
      </c>
      <c r="B18" s="18">
        <v>103</v>
      </c>
      <c r="C18" s="18">
        <v>106</v>
      </c>
      <c r="D18" s="18">
        <v>117</v>
      </c>
      <c r="E18" s="7">
        <f t="shared" si="0"/>
        <v>117</v>
      </c>
      <c r="F18" s="7" t="str">
        <f t="shared" si="1"/>
        <v/>
      </c>
      <c r="G18" s="7" t="str">
        <f t="shared" si="2"/>
        <v/>
      </c>
      <c r="H18" s="7" t="str">
        <f t="shared" si="3"/>
        <v>IMPORTANT</v>
      </c>
      <c r="I18" s="6"/>
      <c r="J18" s="6"/>
    </row>
    <row r="19" spans="1:10" ht="15" customHeight="1" thickBot="1" x14ac:dyDescent="0.4">
      <c r="A19" s="19" t="s">
        <v>82</v>
      </c>
      <c r="B19" s="20">
        <v>114</v>
      </c>
      <c r="C19" s="20">
        <v>95</v>
      </c>
      <c r="D19" s="20">
        <v>69</v>
      </c>
      <c r="E19" s="7">
        <f t="shared" si="0"/>
        <v>114</v>
      </c>
      <c r="F19" s="7" t="str">
        <f t="shared" si="1"/>
        <v>IMPORTANT</v>
      </c>
      <c r="G19" s="7" t="str">
        <f t="shared" si="2"/>
        <v>CAUTION</v>
      </c>
      <c r="H19" s="7" t="str">
        <f t="shared" si="3"/>
        <v>CAUTION</v>
      </c>
      <c r="I19" s="6"/>
      <c r="J19" s="6"/>
    </row>
    <row r="20" spans="1:10" ht="15" customHeight="1" thickBot="1" x14ac:dyDescent="0.4">
      <c r="A20" s="17" t="s">
        <v>83</v>
      </c>
      <c r="B20" s="18">
        <v>117</v>
      </c>
      <c r="C20" s="18">
        <v>104</v>
      </c>
      <c r="D20" s="18">
        <v>69</v>
      </c>
      <c r="E20" s="7">
        <f t="shared" si="0"/>
        <v>117</v>
      </c>
      <c r="F20" s="7" t="str">
        <f t="shared" si="1"/>
        <v>IMPORTANT</v>
      </c>
      <c r="G20" s="7" t="str">
        <f t="shared" si="2"/>
        <v/>
      </c>
      <c r="H20" s="7" t="str">
        <f t="shared" si="3"/>
        <v>CAUTION</v>
      </c>
      <c r="I20" s="6"/>
      <c r="J20" s="6"/>
    </row>
    <row r="21" spans="1:10" ht="15" customHeight="1" thickBot="1" x14ac:dyDescent="0.4">
      <c r="A21" s="19" t="s">
        <v>84</v>
      </c>
      <c r="B21" s="20">
        <v>108</v>
      </c>
      <c r="C21" s="20">
        <v>127</v>
      </c>
      <c r="D21" s="20">
        <v>117</v>
      </c>
      <c r="E21" s="7">
        <f t="shared" si="0"/>
        <v>127</v>
      </c>
      <c r="F21" s="7" t="str">
        <f t="shared" si="1"/>
        <v/>
      </c>
      <c r="G21" s="7" t="str">
        <f t="shared" si="2"/>
        <v>IMPORTANT</v>
      </c>
      <c r="H21" s="7" t="str">
        <f t="shared" si="3"/>
        <v>IMPORTANT</v>
      </c>
      <c r="I21" s="6"/>
      <c r="J21" s="6"/>
    </row>
    <row r="22" spans="1:10" ht="15" customHeight="1" thickBot="1" x14ac:dyDescent="0.4">
      <c r="A22" s="17" t="s">
        <v>85</v>
      </c>
      <c r="B22" s="18">
        <v>120</v>
      </c>
      <c r="C22" s="18">
        <v>115</v>
      </c>
      <c r="D22" s="18">
        <v>117</v>
      </c>
      <c r="E22" s="7">
        <f t="shared" si="0"/>
        <v>120</v>
      </c>
      <c r="F22" s="7" t="str">
        <f t="shared" si="1"/>
        <v>IMPORTANT</v>
      </c>
      <c r="G22" s="7" t="str">
        <f t="shared" si="2"/>
        <v>IMPORTANT</v>
      </c>
      <c r="H22" s="7" t="str">
        <f t="shared" si="3"/>
        <v>IMPORTANT</v>
      </c>
      <c r="I22" s="6"/>
      <c r="J22" s="6"/>
    </row>
    <row r="23" spans="1:10" ht="15" customHeight="1" thickBot="1" x14ac:dyDescent="0.4">
      <c r="A23" s="19" t="s">
        <v>86</v>
      </c>
      <c r="B23" s="20">
        <v>113</v>
      </c>
      <c r="C23" s="20">
        <v>124</v>
      </c>
      <c r="D23" s="20">
        <v>115</v>
      </c>
      <c r="E23" s="7">
        <f t="shared" si="0"/>
        <v>124</v>
      </c>
      <c r="F23" s="7" t="str">
        <f t="shared" si="1"/>
        <v>IMPORTANT</v>
      </c>
      <c r="G23" s="7" t="str">
        <f t="shared" si="2"/>
        <v>IMPORTANT</v>
      </c>
      <c r="H23" s="7" t="str">
        <f t="shared" si="3"/>
        <v>IMPORTANT</v>
      </c>
      <c r="I23" s="6"/>
      <c r="J23" s="6"/>
    </row>
    <row r="24" spans="1:10" ht="15" customHeight="1" thickBot="1" x14ac:dyDescent="0.4">
      <c r="A24" s="17" t="s">
        <v>87</v>
      </c>
      <c r="B24" s="18">
        <v>115</v>
      </c>
      <c r="C24" s="18">
        <v>121</v>
      </c>
      <c r="D24" s="18">
        <v>133</v>
      </c>
      <c r="E24" s="7">
        <f t="shared" si="0"/>
        <v>133</v>
      </c>
      <c r="F24" s="7" t="str">
        <f t="shared" si="1"/>
        <v>IMPORTANT</v>
      </c>
      <c r="G24" s="7" t="str">
        <f t="shared" si="2"/>
        <v>IMPORTANT</v>
      </c>
      <c r="H24" s="7" t="str">
        <f t="shared" si="3"/>
        <v>IMPORTANT</v>
      </c>
      <c r="I24" s="6"/>
      <c r="J24" s="6"/>
    </row>
    <row r="25" spans="1:10" ht="15" customHeight="1" thickBot="1" x14ac:dyDescent="0.4">
      <c r="A25" s="19" t="s">
        <v>88</v>
      </c>
      <c r="B25" s="20">
        <v>117</v>
      </c>
      <c r="C25" s="20">
        <v>103</v>
      </c>
      <c r="D25" s="20">
        <v>119</v>
      </c>
      <c r="E25" s="7">
        <f t="shared" si="0"/>
        <v>119</v>
      </c>
      <c r="F25" s="7" t="str">
        <f t="shared" si="1"/>
        <v>IMPORTANT</v>
      </c>
      <c r="G25" s="7" t="str">
        <f t="shared" si="2"/>
        <v/>
      </c>
      <c r="H25" s="7" t="str">
        <f t="shared" si="3"/>
        <v>IMPORTANT</v>
      </c>
      <c r="I25" s="6"/>
      <c r="J25" s="6"/>
    </row>
    <row r="26" spans="1:10" ht="15" customHeight="1" thickBot="1" x14ac:dyDescent="0.4">
      <c r="A26" s="17" t="s">
        <v>89</v>
      </c>
      <c r="B26" s="18">
        <v>107</v>
      </c>
      <c r="C26" s="18">
        <v>131</v>
      </c>
      <c r="D26" s="18">
        <v>113</v>
      </c>
      <c r="E26" s="7">
        <f t="shared" si="0"/>
        <v>131</v>
      </c>
      <c r="F26" s="7" t="str">
        <f t="shared" si="1"/>
        <v/>
      </c>
      <c r="G26" s="7" t="str">
        <f t="shared" si="2"/>
        <v>IMPORTANT</v>
      </c>
      <c r="H26" s="7" t="str">
        <f t="shared" si="3"/>
        <v>IMPORTANT</v>
      </c>
      <c r="I26" s="6"/>
      <c r="J26" s="6"/>
    </row>
    <row r="27" spans="1:10" ht="15" customHeight="1" thickBot="1" x14ac:dyDescent="0.4">
      <c r="A27" s="19" t="s">
        <v>17</v>
      </c>
      <c r="B27" s="20">
        <v>110</v>
      </c>
      <c r="C27" s="20">
        <v>109</v>
      </c>
      <c r="D27" s="20">
        <v>134</v>
      </c>
      <c r="E27" s="7">
        <f t="shared" si="0"/>
        <v>134</v>
      </c>
      <c r="F27" s="7" t="str">
        <f t="shared" si="1"/>
        <v>IMPORTANT</v>
      </c>
      <c r="G27" s="7" t="str">
        <f t="shared" si="2"/>
        <v/>
      </c>
      <c r="H27" s="7" t="str">
        <f t="shared" si="3"/>
        <v>IMPORTANT</v>
      </c>
      <c r="I27" s="6"/>
      <c r="J27" s="6"/>
    </row>
    <row r="28" spans="1:10" ht="15" customHeight="1" thickBot="1" x14ac:dyDescent="0.4">
      <c r="A28" s="17" t="s">
        <v>90</v>
      </c>
      <c r="B28" s="18">
        <v>118</v>
      </c>
      <c r="C28" s="18">
        <v>118</v>
      </c>
      <c r="D28" s="18">
        <v>118</v>
      </c>
      <c r="E28" s="7">
        <f t="shared" si="0"/>
        <v>118</v>
      </c>
      <c r="F28" s="7" t="str">
        <f t="shared" si="1"/>
        <v>IMPORTANT</v>
      </c>
      <c r="G28" s="7" t="str">
        <f t="shared" si="2"/>
        <v>IMPORTANT</v>
      </c>
      <c r="H28" s="7" t="str">
        <f t="shared" si="3"/>
        <v>IMPORTANT</v>
      </c>
      <c r="I28" s="6"/>
      <c r="J28" s="6"/>
    </row>
    <row r="29" spans="1:10" ht="15" customHeight="1" thickBot="1" x14ac:dyDescent="0.4">
      <c r="A29" s="19" t="s">
        <v>91</v>
      </c>
      <c r="B29" s="20">
        <v>98</v>
      </c>
      <c r="C29" s="20">
        <v>117</v>
      </c>
      <c r="D29" s="20">
        <v>124</v>
      </c>
      <c r="E29" s="7">
        <f t="shared" si="0"/>
        <v>124</v>
      </c>
      <c r="F29" s="7" t="str">
        <f t="shared" si="1"/>
        <v>CAUTION</v>
      </c>
      <c r="G29" s="7" t="str">
        <f t="shared" si="2"/>
        <v>IMPORTANT</v>
      </c>
      <c r="H29" s="7" t="str">
        <f t="shared" si="3"/>
        <v>IMPORTANT</v>
      </c>
      <c r="I29" s="6"/>
      <c r="J29" s="6"/>
    </row>
    <row r="30" spans="1:10" ht="15" customHeight="1" thickBot="1" x14ac:dyDescent="0.4">
      <c r="A30" s="17" t="s">
        <v>92</v>
      </c>
      <c r="B30" s="18">
        <v>80</v>
      </c>
      <c r="C30" s="18">
        <v>88</v>
      </c>
      <c r="D30" s="18">
        <v>122</v>
      </c>
      <c r="E30" s="7">
        <f t="shared" si="0"/>
        <v>122</v>
      </c>
      <c r="F30" s="7" t="str">
        <f t="shared" si="1"/>
        <v>CAUTION</v>
      </c>
      <c r="G30" s="7" t="str">
        <f t="shared" si="2"/>
        <v>CAUTION</v>
      </c>
      <c r="H30" s="7" t="str">
        <f t="shared" si="3"/>
        <v>IMPORTANT</v>
      </c>
      <c r="I30" s="6"/>
      <c r="J30" s="6"/>
    </row>
    <row r="31" spans="1:10" ht="15" customHeight="1" thickBot="1" x14ac:dyDescent="0.4">
      <c r="A31" s="19" t="s">
        <v>93</v>
      </c>
      <c r="B31" s="20">
        <v>103</v>
      </c>
      <c r="C31" s="20">
        <v>123</v>
      </c>
      <c r="D31" s="20">
        <v>126</v>
      </c>
      <c r="E31" s="7">
        <f t="shared" si="0"/>
        <v>126</v>
      </c>
      <c r="F31" s="7" t="str">
        <f t="shared" si="1"/>
        <v/>
      </c>
      <c r="G31" s="7" t="str">
        <f t="shared" si="2"/>
        <v>IMPORTANT</v>
      </c>
      <c r="H31" s="7" t="str">
        <f t="shared" si="3"/>
        <v>IMPORTANT</v>
      </c>
      <c r="I31" s="6"/>
      <c r="J31" s="6"/>
    </row>
    <row r="32" spans="1:10" ht="15" customHeight="1" thickBot="1" x14ac:dyDescent="0.4">
      <c r="A32" s="17" t="s">
        <v>94</v>
      </c>
      <c r="B32" s="18">
        <v>111</v>
      </c>
      <c r="C32" s="18">
        <v>121</v>
      </c>
      <c r="D32" s="18">
        <v>116</v>
      </c>
      <c r="E32" s="7">
        <f t="shared" si="0"/>
        <v>121</v>
      </c>
      <c r="F32" s="7" t="str">
        <f t="shared" si="1"/>
        <v>IMPORTANT</v>
      </c>
      <c r="G32" s="7" t="str">
        <f t="shared" si="2"/>
        <v>IMPORTANT</v>
      </c>
      <c r="H32" s="7" t="str">
        <f t="shared" si="3"/>
        <v>IMPORTANT</v>
      </c>
      <c r="I32" s="6"/>
      <c r="J32" s="6"/>
    </row>
    <row r="33" spans="1:10" ht="15" customHeight="1" thickBot="1" x14ac:dyDescent="0.4">
      <c r="A33" s="19" t="s">
        <v>95</v>
      </c>
      <c r="B33" s="20">
        <v>115</v>
      </c>
      <c r="C33" s="20">
        <v>117</v>
      </c>
      <c r="D33" s="20">
        <v>118</v>
      </c>
      <c r="E33" s="7">
        <f t="shared" si="0"/>
        <v>118</v>
      </c>
      <c r="F33" s="7" t="str">
        <f t="shared" si="1"/>
        <v>IMPORTANT</v>
      </c>
      <c r="G33" s="7" t="str">
        <f t="shared" si="2"/>
        <v>IMPORTANT</v>
      </c>
      <c r="H33" s="7" t="str">
        <f t="shared" si="3"/>
        <v>IMPORTANT</v>
      </c>
      <c r="I33" s="6"/>
      <c r="J33" s="6"/>
    </row>
    <row r="34" spans="1:10" ht="15" customHeight="1" thickBot="1" x14ac:dyDescent="0.4">
      <c r="A34" s="17" t="s">
        <v>96</v>
      </c>
      <c r="B34" s="18">
        <v>116</v>
      </c>
      <c r="C34" s="18">
        <v>124</v>
      </c>
      <c r="D34" s="18">
        <v>90</v>
      </c>
      <c r="E34" s="7">
        <f t="shared" si="0"/>
        <v>124</v>
      </c>
      <c r="F34" s="7" t="str">
        <f t="shared" si="1"/>
        <v>IMPORTANT</v>
      </c>
      <c r="G34" s="7" t="str">
        <f t="shared" si="2"/>
        <v>IMPORTANT</v>
      </c>
      <c r="H34" s="7" t="str">
        <f t="shared" si="3"/>
        <v>CAUTION</v>
      </c>
      <c r="I34" s="6"/>
      <c r="J34" s="6"/>
    </row>
    <row r="35" spans="1:10" ht="15" customHeight="1" thickBot="1" x14ac:dyDescent="0.4">
      <c r="A35" s="21" t="s">
        <v>97</v>
      </c>
      <c r="B35" s="22">
        <v>128</v>
      </c>
      <c r="C35" s="22">
        <v>118</v>
      </c>
      <c r="D35" s="22">
        <v>123</v>
      </c>
      <c r="E35" s="7">
        <f t="shared" si="0"/>
        <v>128</v>
      </c>
      <c r="F35" s="7" t="str">
        <f t="shared" si="1"/>
        <v>IMPORTANT</v>
      </c>
      <c r="G35" s="7" t="str">
        <f t="shared" si="2"/>
        <v>IMPORTANT</v>
      </c>
      <c r="H35" s="7" t="str">
        <f t="shared" si="3"/>
        <v>IMPORTANT</v>
      </c>
      <c r="I35" s="6"/>
      <c r="J35" s="6" t="s">
        <v>98</v>
      </c>
    </row>
    <row r="36" spans="1:10" ht="15" customHeight="1" thickBot="1" x14ac:dyDescent="0.4">
      <c r="A36" s="17" t="s">
        <v>99</v>
      </c>
      <c r="B36" s="18">
        <v>135</v>
      </c>
      <c r="C36" s="18">
        <v>123</v>
      </c>
      <c r="D36" s="18">
        <v>124</v>
      </c>
      <c r="E36" s="7">
        <f t="shared" si="0"/>
        <v>135</v>
      </c>
      <c r="F36" s="7" t="str">
        <f t="shared" si="1"/>
        <v>IMPORTANT</v>
      </c>
      <c r="G36" s="7" t="str">
        <f t="shared" si="2"/>
        <v>IMPORTANT</v>
      </c>
      <c r="H36" s="7" t="str">
        <f t="shared" si="3"/>
        <v>IMPORTANT</v>
      </c>
      <c r="I36" s="6"/>
      <c r="J36" s="6" t="s">
        <v>98</v>
      </c>
    </row>
    <row r="37" spans="1:10" ht="15" customHeight="1" thickBot="1" x14ac:dyDescent="0.4">
      <c r="A37" s="21" t="s">
        <v>100</v>
      </c>
      <c r="B37" s="22">
        <v>121</v>
      </c>
      <c r="C37" s="22">
        <v>122</v>
      </c>
      <c r="D37" s="22">
        <v>114</v>
      </c>
      <c r="E37" s="7">
        <f t="shared" si="0"/>
        <v>122</v>
      </c>
      <c r="F37" s="7" t="str">
        <f t="shared" si="1"/>
        <v>IMPORTANT</v>
      </c>
      <c r="G37" s="7" t="str">
        <f t="shared" si="2"/>
        <v>IMPORTANT</v>
      </c>
      <c r="H37" s="7" t="str">
        <f t="shared" si="3"/>
        <v>IMPORTANT</v>
      </c>
      <c r="I37" s="6"/>
      <c r="J37" s="6" t="s">
        <v>98</v>
      </c>
    </row>
    <row r="38" spans="1:10" ht="15" customHeight="1" thickBot="1" x14ac:dyDescent="0.4">
      <c r="A38" s="17" t="s">
        <v>101</v>
      </c>
      <c r="B38" s="18">
        <v>133</v>
      </c>
      <c r="C38" s="18">
        <v>122</v>
      </c>
      <c r="D38" s="18">
        <v>118</v>
      </c>
      <c r="E38" s="7">
        <f t="shared" si="0"/>
        <v>133</v>
      </c>
      <c r="F38" s="7" t="str">
        <f t="shared" si="1"/>
        <v>IMPORTANT</v>
      </c>
      <c r="G38" s="7" t="str">
        <f t="shared" si="2"/>
        <v>IMPORTANT</v>
      </c>
      <c r="H38" s="7" t="str">
        <f t="shared" si="3"/>
        <v>IMPORTANT</v>
      </c>
      <c r="I38" s="6"/>
      <c r="J38" s="6" t="s">
        <v>98</v>
      </c>
    </row>
    <row r="39" spans="1:10" ht="15" customHeight="1" thickBot="1" x14ac:dyDescent="0.4">
      <c r="A39" s="21" t="s">
        <v>102</v>
      </c>
      <c r="B39" s="22">
        <v>119</v>
      </c>
      <c r="C39" s="22">
        <v>124</v>
      </c>
      <c r="D39" s="22">
        <v>115</v>
      </c>
      <c r="E39" s="7">
        <f t="shared" si="0"/>
        <v>124</v>
      </c>
      <c r="F39" s="7" t="str">
        <f t="shared" si="1"/>
        <v>IMPORTANT</v>
      </c>
      <c r="G39" s="7" t="str">
        <f t="shared" si="2"/>
        <v>IMPORTANT</v>
      </c>
      <c r="H39" s="7" t="str">
        <f t="shared" si="3"/>
        <v>IMPORTANT</v>
      </c>
      <c r="I39" s="6"/>
      <c r="J39" s="6" t="s">
        <v>98</v>
      </c>
    </row>
    <row r="40" spans="1:10" ht="15" customHeight="1" thickBot="1" x14ac:dyDescent="0.4">
      <c r="A40" s="17" t="s">
        <v>103</v>
      </c>
      <c r="B40" s="18">
        <v>127</v>
      </c>
      <c r="C40" s="18">
        <v>113</v>
      </c>
      <c r="D40" s="18">
        <v>119</v>
      </c>
      <c r="E40" s="7">
        <f t="shared" si="0"/>
        <v>127</v>
      </c>
      <c r="F40" s="7" t="str">
        <f t="shared" si="1"/>
        <v>IMPORTANT</v>
      </c>
      <c r="G40" s="7" t="str">
        <f t="shared" si="2"/>
        <v>IMPORTANT</v>
      </c>
      <c r="H40" s="7" t="str">
        <f t="shared" si="3"/>
        <v>IMPORTANT</v>
      </c>
      <c r="I40" s="6"/>
      <c r="J40" s="6" t="s">
        <v>98</v>
      </c>
    </row>
    <row r="43" spans="1:10" x14ac:dyDescent="0.35">
      <c r="A43" t="s">
        <v>104</v>
      </c>
      <c r="B43" s="27">
        <f>_xlfn.FLOOR.MATH((IFERROR(AVERAGE(B5:B41),"")*1))</f>
        <v>115</v>
      </c>
      <c r="C43">
        <f>_xlfn.FLOOR.MATH((IFERROR(AVERAGE(C5:C41),"")*1))</f>
        <v>112</v>
      </c>
      <c r="D43">
        <f>_xlfn.FLOOR.MATH((IFERROR(AVERAGE(D5:D41),"")*1))</f>
        <v>109</v>
      </c>
    </row>
    <row r="44" spans="1:10" x14ac:dyDescent="0.35">
      <c r="A44" t="s">
        <v>105</v>
      </c>
      <c r="B44" s="27">
        <f>_xlfn.FLOOR.MATH(IFERROR(AVERAGE(B5:B34),""),1)</f>
        <v>112</v>
      </c>
      <c r="C44">
        <f>_xlfn.FLOOR.MATH(IFERROR(AVERAGE(C5:C34),""),1)</f>
        <v>111</v>
      </c>
      <c r="D44">
        <f>_xlfn.FLOOR.MATH(IFERROR(AVERAGE(D5:D34),""),1)</f>
        <v>107</v>
      </c>
    </row>
    <row r="45" spans="1:10" x14ac:dyDescent="0.35">
      <c r="A45" t="s">
        <v>106</v>
      </c>
      <c r="B45" s="27">
        <f>_xlfn.FLOOR.MATH(IFERROR(AVERAGE(B35:B40),""),1)</f>
        <v>127</v>
      </c>
      <c r="C45">
        <f>_xlfn.FLOOR.MATH(IFERROR(AVERAGE(C35:C40),""),1)</f>
        <v>120</v>
      </c>
      <c r="D45">
        <f>_xlfn.FLOOR.MATH(IFERROR(AVERAGE(D35:D40),""),1)</f>
        <v>118</v>
      </c>
    </row>
  </sheetData>
  <conditionalFormatting sqref="B5:B40">
    <cfRule type="top10" dxfId="4" priority="3" rank="10"/>
  </conditionalFormatting>
  <conditionalFormatting sqref="C5:C40">
    <cfRule type="top10" dxfId="3" priority="1" rank="10"/>
  </conditionalFormatting>
  <conditionalFormatting sqref="D5:D40">
    <cfRule type="top10" dxfId="2" priority="2" rank="1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opLeftCell="A9" workbookViewId="0">
      <selection activeCell="G14" sqref="G14"/>
    </sheetView>
  </sheetViews>
  <sheetFormatPr defaultRowHeight="14.5" x14ac:dyDescent="0.35"/>
  <cols>
    <col min="1" max="1" width="34" customWidth="1"/>
    <col min="2" max="4" width="12" customWidth="1"/>
    <col min="5" max="5" width="8" customWidth="1"/>
    <col min="6" max="8" width="12" customWidth="1"/>
    <col min="9" max="9" width="36" customWidth="1"/>
    <col min="10" max="10" width="14" customWidth="1"/>
  </cols>
  <sheetData>
    <row r="1" spans="1:10" ht="18.5" customHeight="1" x14ac:dyDescent="0.45">
      <c r="A1" s="4" t="s">
        <v>107</v>
      </c>
    </row>
    <row r="2" spans="1:10" x14ac:dyDescent="0.35">
      <c r="A2" s="1" t="s">
        <v>108</v>
      </c>
    </row>
    <row r="4" spans="1:10" ht="15" customHeight="1" thickBot="1" x14ac:dyDescent="0.4">
      <c r="A4" s="2" t="s">
        <v>109</v>
      </c>
      <c r="B4" s="2" t="s">
        <v>10</v>
      </c>
      <c r="C4" s="2" t="s">
        <v>16</v>
      </c>
      <c r="D4" s="2" t="s">
        <v>17</v>
      </c>
      <c r="E4" s="2" t="s">
        <v>62</v>
      </c>
      <c r="F4" s="2" t="s">
        <v>63</v>
      </c>
      <c r="G4" s="2" t="s">
        <v>64</v>
      </c>
      <c r="H4" s="2" t="s">
        <v>65</v>
      </c>
      <c r="I4" s="2" t="s">
        <v>110</v>
      </c>
      <c r="J4" s="2" t="s">
        <v>111</v>
      </c>
    </row>
    <row r="5" spans="1:10" ht="15" customHeight="1" thickBot="1" x14ac:dyDescent="0.4">
      <c r="A5" s="15" t="s">
        <v>10</v>
      </c>
      <c r="B5" s="16">
        <v>129</v>
      </c>
      <c r="C5" s="16">
        <v>115</v>
      </c>
      <c r="D5" s="16">
        <v>106</v>
      </c>
      <c r="E5" s="7">
        <f t="shared" ref="E5:E10" si="0">IF(COUNT(B5:D5)=0,"",MAX(B5:D5))</f>
        <v>129</v>
      </c>
      <c r="F5" s="7" t="str">
        <f t="shared" ref="F5:H10" si="1">IF(B5="","",IF(B5&gt;=110,"IMPORTANT",IF(B5&lt;100,"CAUTION","")))</f>
        <v>IMPORTANT</v>
      </c>
      <c r="G5" s="7" t="str">
        <f t="shared" si="1"/>
        <v>IMPORTANT</v>
      </c>
      <c r="H5" s="7" t="str">
        <f t="shared" si="1"/>
        <v/>
      </c>
      <c r="I5" s="6"/>
      <c r="J5" s="6"/>
    </row>
    <row r="6" spans="1:10" ht="15" customHeight="1" thickBot="1" x14ac:dyDescent="0.4">
      <c r="A6" s="17" t="s">
        <v>112</v>
      </c>
      <c r="B6" s="18">
        <v>115</v>
      </c>
      <c r="C6" s="18">
        <v>118</v>
      </c>
      <c r="D6" s="18">
        <v>121</v>
      </c>
      <c r="E6" s="7">
        <f t="shared" si="0"/>
        <v>121</v>
      </c>
      <c r="F6" s="7" t="str">
        <f t="shared" si="1"/>
        <v>IMPORTANT</v>
      </c>
      <c r="G6" s="7" t="str">
        <f t="shared" si="1"/>
        <v>IMPORTANT</v>
      </c>
      <c r="H6" s="7" t="str">
        <f t="shared" si="1"/>
        <v>IMPORTANT</v>
      </c>
      <c r="I6" s="6"/>
      <c r="J6" s="6"/>
    </row>
    <row r="7" spans="1:10" ht="15" customHeight="1" thickBot="1" x14ac:dyDescent="0.4">
      <c r="A7" s="19" t="s">
        <v>113</v>
      </c>
      <c r="B7" s="20">
        <v>122</v>
      </c>
      <c r="C7" s="20">
        <v>108</v>
      </c>
      <c r="D7" s="20">
        <v>102</v>
      </c>
      <c r="E7" s="7">
        <f t="shared" si="0"/>
        <v>122</v>
      </c>
      <c r="F7" s="7" t="str">
        <f t="shared" si="1"/>
        <v>IMPORTANT</v>
      </c>
      <c r="G7" s="7" t="str">
        <f t="shared" si="1"/>
        <v/>
      </c>
      <c r="H7" s="7" t="str">
        <f t="shared" si="1"/>
        <v/>
      </c>
      <c r="I7" s="6"/>
      <c r="J7" s="6"/>
    </row>
    <row r="8" spans="1:10" ht="15" customHeight="1" thickBot="1" x14ac:dyDescent="0.4">
      <c r="A8" s="17" t="s">
        <v>114</v>
      </c>
      <c r="B8" s="18">
        <v>123</v>
      </c>
      <c r="C8" s="18">
        <v>115</v>
      </c>
      <c r="D8" s="18">
        <v>102</v>
      </c>
      <c r="E8" s="7">
        <f t="shared" si="0"/>
        <v>123</v>
      </c>
      <c r="F8" s="7" t="str">
        <f t="shared" si="1"/>
        <v>IMPORTANT</v>
      </c>
      <c r="G8" s="7" t="str">
        <f t="shared" si="1"/>
        <v>IMPORTANT</v>
      </c>
      <c r="H8" s="7" t="str">
        <f t="shared" si="1"/>
        <v/>
      </c>
      <c r="I8" s="6"/>
      <c r="J8" s="6"/>
    </row>
    <row r="9" spans="1:10" ht="15" customHeight="1" thickBot="1" x14ac:dyDescent="0.4">
      <c r="A9" s="19" t="s">
        <v>115</v>
      </c>
      <c r="B9" s="20">
        <v>112</v>
      </c>
      <c r="C9" s="20">
        <v>129</v>
      </c>
      <c r="D9" s="20">
        <v>117</v>
      </c>
      <c r="E9" s="7">
        <f t="shared" si="0"/>
        <v>129</v>
      </c>
      <c r="F9" s="7" t="str">
        <f t="shared" si="1"/>
        <v>IMPORTANT</v>
      </c>
      <c r="G9" s="7" t="str">
        <f t="shared" si="1"/>
        <v>IMPORTANT</v>
      </c>
      <c r="H9" s="7" t="str">
        <f t="shared" si="1"/>
        <v>IMPORTANT</v>
      </c>
      <c r="I9" s="6"/>
      <c r="J9" s="6"/>
    </row>
    <row r="10" spans="1:10" ht="15" customHeight="1" thickBot="1" x14ac:dyDescent="0.4">
      <c r="A10" s="17" t="s">
        <v>116</v>
      </c>
      <c r="B10" s="18">
        <v>81</v>
      </c>
      <c r="C10" s="18">
        <v>115</v>
      </c>
      <c r="D10" s="18">
        <v>129</v>
      </c>
      <c r="E10" s="7">
        <f t="shared" si="0"/>
        <v>129</v>
      </c>
      <c r="F10" s="7" t="str">
        <f t="shared" si="1"/>
        <v>CAUTION</v>
      </c>
      <c r="G10" s="7" t="str">
        <f t="shared" si="1"/>
        <v>IMPORTANT</v>
      </c>
      <c r="H10" s="7" t="str">
        <f t="shared" si="1"/>
        <v>IMPORTANT</v>
      </c>
      <c r="I10" s="6"/>
      <c r="J10" s="6"/>
    </row>
    <row r="12" spans="1:10" x14ac:dyDescent="0.35">
      <c r="A12" t="s">
        <v>104</v>
      </c>
      <c r="B12">
        <f>_xlfn.FLOOR.MATH((IFERROR(AVERAGE(B5:B10),"")*1))</f>
        <v>113</v>
      </c>
      <c r="C12">
        <f>_xlfn.FLOOR.MATH((IFERROR(AVERAGE(C5:C10),"")*1))</f>
        <v>116</v>
      </c>
      <c r="D12">
        <f>_xlfn.FLOOR.MATH((IFERROR(AVERAGE(D5:D10),"")*1))</f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J2" sqref="J2"/>
    </sheetView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12" customWidth="1"/>
    <col min="5" max="5" width="36" customWidth="1"/>
    <col min="6" max="6" width="18" customWidth="1"/>
    <col min="7" max="7" width="36" customWidth="1"/>
  </cols>
  <sheetData>
    <row r="1" spans="1:7" ht="18.5" customHeight="1" x14ac:dyDescent="0.45">
      <c r="A1" s="4" t="s">
        <v>117</v>
      </c>
    </row>
    <row r="2" spans="1:7" x14ac:dyDescent="0.35">
      <c r="A2" s="1" t="s">
        <v>118</v>
      </c>
    </row>
    <row r="4" spans="1:7" ht="29" customHeight="1" x14ac:dyDescent="0.35">
      <c r="A4" s="2" t="s">
        <v>2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124</v>
      </c>
    </row>
    <row r="5" spans="1:7" x14ac:dyDescent="0.35">
      <c r="A5" s="3" t="s">
        <v>10</v>
      </c>
      <c r="B5" s="6">
        <v>1100</v>
      </c>
      <c r="C5" s="7">
        <f>IF(OR($B$5="",B5=""),"",B5-$B$5)</f>
        <v>0</v>
      </c>
      <c r="D5" s="7">
        <f>IF(OR($B$6="",B5=""),"",B5-$B$6)</f>
        <v>-265</v>
      </c>
      <c r="E5" s="6" t="s">
        <v>125</v>
      </c>
      <c r="F5" s="6" t="s">
        <v>126</v>
      </c>
      <c r="G5" s="6"/>
    </row>
    <row r="6" spans="1:7" x14ac:dyDescent="0.35">
      <c r="A6" s="3" t="s">
        <v>16</v>
      </c>
      <c r="B6" s="6">
        <v>1365</v>
      </c>
      <c r="C6" s="7">
        <f>IF(OR($B$5="",B6=""),"",B6-$B$5)</f>
        <v>265</v>
      </c>
      <c r="D6" s="7">
        <f>IF(OR($B$6="",B6=""),"",B6-$B$6)</f>
        <v>0</v>
      </c>
      <c r="E6" s="6" t="s">
        <v>127</v>
      </c>
      <c r="F6" s="6" t="s">
        <v>128</v>
      </c>
      <c r="G6" s="6"/>
    </row>
    <row r="7" spans="1:7" x14ac:dyDescent="0.35">
      <c r="A7" s="3" t="s">
        <v>17</v>
      </c>
      <c r="B7" s="6">
        <v>1580</v>
      </c>
      <c r="C7" s="7">
        <f>IF(OR($B$5="",B7=""),"",B7-$B$5)</f>
        <v>480</v>
      </c>
      <c r="D7" s="7">
        <f>IF(OR($B$6="",B7=""),"",B7-$B$6)</f>
        <v>215</v>
      </c>
      <c r="E7" s="6" t="s">
        <v>129</v>
      </c>
      <c r="F7" s="6" t="s">
        <v>130</v>
      </c>
      <c r="G7" s="6"/>
    </row>
    <row r="9" spans="1:7" x14ac:dyDescent="0.35">
      <c r="A9" t="s">
        <v>131</v>
      </c>
    </row>
    <row r="10" spans="1:7" x14ac:dyDescent="0.35">
      <c r="A10" s="63"/>
      <c r="B10" s="64"/>
      <c r="C10" s="64"/>
      <c r="D10" s="64"/>
      <c r="E10" s="64"/>
      <c r="F10" s="64"/>
      <c r="G10" s="65"/>
    </row>
    <row r="11" spans="1:7" x14ac:dyDescent="0.35">
      <c r="A11" s="66"/>
      <c r="B11" s="67"/>
      <c r="C11" s="67"/>
      <c r="D11" s="67"/>
      <c r="E11" s="67"/>
      <c r="F11" s="67"/>
      <c r="G11" s="68"/>
    </row>
    <row r="12" spans="1:7" x14ac:dyDescent="0.35">
      <c r="A12" s="69"/>
      <c r="B12" s="70"/>
      <c r="C12" s="70"/>
      <c r="D12" s="70"/>
      <c r="E12" s="70"/>
      <c r="F12" s="70"/>
      <c r="G12" s="71"/>
    </row>
  </sheetData>
  <mergeCells count="1">
    <mergeCell ref="A10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C7" sqref="C7"/>
    </sheetView>
  </sheetViews>
  <sheetFormatPr defaultRowHeight="14.5" x14ac:dyDescent="0.35"/>
  <cols>
    <col min="1" max="1" width="18" customWidth="1"/>
    <col min="2" max="5" width="12" customWidth="1"/>
    <col min="6" max="6" width="16" customWidth="1"/>
    <col min="7" max="7" width="18" customWidth="1"/>
    <col min="8" max="8" width="40" customWidth="1"/>
  </cols>
  <sheetData>
    <row r="1" spans="1:8" ht="18.5" customHeight="1" x14ac:dyDescent="0.45">
      <c r="A1" s="4" t="s">
        <v>132</v>
      </c>
    </row>
    <row r="2" spans="1:8" x14ac:dyDescent="0.35">
      <c r="A2" s="1" t="s">
        <v>133</v>
      </c>
    </row>
    <row r="3" spans="1:8" x14ac:dyDescent="0.35">
      <c r="A3" s="35" t="s">
        <v>134</v>
      </c>
    </row>
    <row r="4" spans="1:8" ht="29.5" customHeight="1" thickBot="1" x14ac:dyDescent="0.4">
      <c r="A4" s="2" t="s">
        <v>135</v>
      </c>
      <c r="B4" s="2" t="s">
        <v>10</v>
      </c>
      <c r="C4" s="2" t="s">
        <v>16</v>
      </c>
      <c r="D4" s="2" t="s">
        <v>17</v>
      </c>
      <c r="E4" s="2" t="s">
        <v>136</v>
      </c>
      <c r="F4" s="2" t="s">
        <v>137</v>
      </c>
      <c r="G4" s="2" t="s">
        <v>138</v>
      </c>
      <c r="H4" s="2" t="s">
        <v>139</v>
      </c>
    </row>
    <row r="5" spans="1:8" ht="15" customHeight="1" thickBot="1" x14ac:dyDescent="0.4">
      <c r="A5" s="19" t="s">
        <v>140</v>
      </c>
      <c r="B5" s="23">
        <v>5114</v>
      </c>
      <c r="C5" s="23">
        <v>4757</v>
      </c>
      <c r="D5" s="23">
        <v>3826</v>
      </c>
      <c r="E5" s="7">
        <f>IF(COUNT(B5:D5)=0,"",SUM(B5:D5))</f>
        <v>13697</v>
      </c>
      <c r="F5" s="7">
        <f>IF(E5="","",E5/4)</f>
        <v>3424.25</v>
      </c>
      <c r="G5" s="6"/>
      <c r="H5" s="6"/>
    </row>
    <row r="6" spans="1:8" ht="15" customHeight="1" thickBot="1" x14ac:dyDescent="0.4">
      <c r="A6" s="17" t="s">
        <v>13</v>
      </c>
      <c r="B6" s="24">
        <v>4194</v>
      </c>
      <c r="C6" s="24">
        <v>3177</v>
      </c>
      <c r="D6" s="24">
        <v>1942</v>
      </c>
      <c r="E6" s="7">
        <f>IF(COUNT(B6:D6)=0,"",SUM(B6:D6))</f>
        <v>9313</v>
      </c>
      <c r="F6" s="7">
        <f>IF(E6="","",E6/4)</f>
        <v>2328.25</v>
      </c>
      <c r="G6" s="6"/>
      <c r="H6" s="6"/>
    </row>
    <row r="7" spans="1:8" ht="15" customHeight="1" thickBot="1" x14ac:dyDescent="0.4">
      <c r="A7" s="19" t="s">
        <v>12</v>
      </c>
      <c r="B7" s="23">
        <v>5468</v>
      </c>
      <c r="C7" s="23">
        <v>3447</v>
      </c>
      <c r="D7" s="23">
        <v>3659</v>
      </c>
      <c r="E7" s="7">
        <f>IF(COUNT(B7:D7)=0,"",SUM(B7:D7))</f>
        <v>12574</v>
      </c>
      <c r="F7" s="7">
        <f>IF(E7="","",E7/4)</f>
        <v>3143.5</v>
      </c>
      <c r="G7" s="6"/>
      <c r="H7" s="6"/>
    </row>
    <row r="8" spans="1:8" ht="15" customHeight="1" thickBot="1" x14ac:dyDescent="0.4">
      <c r="A8" s="15" t="s">
        <v>14</v>
      </c>
      <c r="B8" s="25">
        <v>3491</v>
      </c>
      <c r="C8" s="25">
        <v>2439</v>
      </c>
      <c r="D8" s="25">
        <v>2447</v>
      </c>
      <c r="E8" s="7">
        <f>IF(COUNT(B8:D8)=0,"",SUM(B8:D8))</f>
        <v>8377</v>
      </c>
      <c r="F8" s="7">
        <f>IF(E8="","",E8/4)</f>
        <v>2094.25</v>
      </c>
      <c r="G8" s="6"/>
      <c r="H8" s="6"/>
    </row>
    <row r="9" spans="1:8" x14ac:dyDescent="0.35">
      <c r="A9" s="8" t="s">
        <v>141</v>
      </c>
      <c r="B9" s="9">
        <f>IF(COUNT(B5:B8)=0,"",SUM(B5:B8))</f>
        <v>18267</v>
      </c>
      <c r="C9" s="9">
        <f>IF(COUNT(C5:C8)=0,"",SUM(C5:C8))</f>
        <v>13820</v>
      </c>
      <c r="D9" s="9">
        <f>IF(COUNT(D5:D8)=0,"",SUM(D5:D8))</f>
        <v>11874</v>
      </c>
      <c r="E9" s="9">
        <f>IF(COUNT(E5:E8)=0,"",SUM(E5:E8))</f>
        <v>43961</v>
      </c>
      <c r="F9" s="9">
        <f>IF(COUNT(F5:F8)=0,"",SUM(F5:F8))</f>
        <v>10990.25</v>
      </c>
      <c r="G9" s="9"/>
      <c r="H9" s="9"/>
    </row>
    <row r="11" spans="1:8" x14ac:dyDescent="0.35">
      <c r="A11" t="s">
        <v>142</v>
      </c>
      <c r="B11" s="10">
        <f>IF(OR(B9="",E9="",E9=0),"",B9/E9)</f>
        <v>0.41552739928573051</v>
      </c>
      <c r="C11" s="10">
        <f>IF(OR(C9="",E9="",E9=0),"",C9/E9)</f>
        <v>0.31436955483269263</v>
      </c>
      <c r="D11" s="10">
        <f>IF(OR(D9="",E9="",E9=0),"",D9/E9)</f>
        <v>0.27010304588157685</v>
      </c>
    </row>
    <row r="13" spans="1:8" x14ac:dyDescent="0.35">
      <c r="A13" t="s">
        <v>143</v>
      </c>
    </row>
    <row r="14" spans="1:8" x14ac:dyDescent="0.35">
      <c r="A14" t="s">
        <v>144</v>
      </c>
      <c r="B14" s="11"/>
    </row>
    <row r="15" spans="1:8" x14ac:dyDescent="0.35">
      <c r="A15" t="s">
        <v>145</v>
      </c>
      <c r="B15" s="11"/>
    </row>
    <row r="16" spans="1:8" x14ac:dyDescent="0.35">
      <c r="A16" t="s">
        <v>146</v>
      </c>
      <c r="B16" s="11"/>
    </row>
    <row r="17" spans="1:2" x14ac:dyDescent="0.35">
      <c r="A17" t="s">
        <v>147</v>
      </c>
      <c r="B17" s="1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"/>
  <sheetViews>
    <sheetView workbookViewId="0">
      <selection activeCell="B10" sqref="B10"/>
    </sheetView>
  </sheetViews>
  <sheetFormatPr defaultRowHeight="14.5" x14ac:dyDescent="0.35"/>
  <cols>
    <col min="1" max="1" width="48" customWidth="1"/>
    <col min="2" max="2" width="50" customWidth="1"/>
    <col min="3" max="3" width="42" customWidth="1"/>
    <col min="4" max="4" width="28" customWidth="1"/>
    <col min="5" max="5" width="12" customWidth="1"/>
    <col min="6" max="6" width="18" customWidth="1"/>
    <col min="7" max="7" width="40" customWidth="1"/>
  </cols>
  <sheetData>
    <row r="1" spans="1:7" ht="18.5" customHeight="1" x14ac:dyDescent="0.45">
      <c r="A1" s="36" t="s">
        <v>148</v>
      </c>
    </row>
    <row r="2" spans="1:7" x14ac:dyDescent="0.35">
      <c r="A2" s="73" t="s">
        <v>149</v>
      </c>
      <c r="B2" s="67"/>
      <c r="C2" s="67"/>
      <c r="D2" s="67"/>
      <c r="E2" s="67"/>
      <c r="F2" s="67"/>
      <c r="G2" s="67"/>
    </row>
    <row r="4" spans="1:7" x14ac:dyDescent="0.35">
      <c r="A4" s="37" t="s">
        <v>150</v>
      </c>
    </row>
    <row r="5" spans="1:7" x14ac:dyDescent="0.35">
      <c r="A5" s="29" t="s">
        <v>135</v>
      </c>
      <c r="B5" s="29" t="s">
        <v>10</v>
      </c>
      <c r="C5" s="29" t="s">
        <v>16</v>
      </c>
      <c r="D5" s="29" t="s">
        <v>17</v>
      </c>
      <c r="E5" s="29" t="s">
        <v>136</v>
      </c>
      <c r="F5" s="29" t="s">
        <v>151</v>
      </c>
      <c r="G5" s="29" t="s">
        <v>152</v>
      </c>
    </row>
    <row r="6" spans="1:7" x14ac:dyDescent="0.35">
      <c r="A6" s="30" t="s">
        <v>140</v>
      </c>
      <c r="B6" s="38">
        <f>Market_Potential!B5</f>
        <v>5114</v>
      </c>
      <c r="C6" s="38">
        <f>Market_Potential!C5</f>
        <v>4757</v>
      </c>
      <c r="D6" s="38">
        <f>Market_Potential!D5</f>
        <v>3826</v>
      </c>
      <c r="E6" s="38">
        <f>SUM(B6:D6)</f>
        <v>13697</v>
      </c>
      <c r="F6" s="38" t="s">
        <v>153</v>
      </c>
      <c r="G6" s="38" t="s">
        <v>154</v>
      </c>
    </row>
    <row r="7" spans="1:7" x14ac:dyDescent="0.35">
      <c r="A7" s="30" t="s">
        <v>13</v>
      </c>
      <c r="B7" s="38">
        <f>Market_Potential!B6</f>
        <v>4194</v>
      </c>
      <c r="C7" s="38">
        <f>Market_Potential!C6</f>
        <v>3177</v>
      </c>
      <c r="D7" s="38">
        <f>Market_Potential!D6</f>
        <v>1942</v>
      </c>
      <c r="E7" s="38">
        <f>SUM(B7:D7)</f>
        <v>9313</v>
      </c>
      <c r="F7" s="38" t="s">
        <v>153</v>
      </c>
      <c r="G7" s="38" t="s">
        <v>155</v>
      </c>
    </row>
    <row r="8" spans="1:7" x14ac:dyDescent="0.35">
      <c r="A8" s="39" t="s">
        <v>12</v>
      </c>
      <c r="B8" s="40">
        <f>Market_Potential!B7</f>
        <v>5468</v>
      </c>
      <c r="C8" s="40">
        <f>Market_Potential!C7</f>
        <v>3447</v>
      </c>
      <c r="D8" s="40">
        <f>Market_Potential!D7</f>
        <v>3659</v>
      </c>
      <c r="E8" s="40">
        <f>SUM(B8:D8)</f>
        <v>12574</v>
      </c>
      <c r="F8" s="40" t="s">
        <v>156</v>
      </c>
      <c r="G8" s="40" t="s">
        <v>157</v>
      </c>
    </row>
    <row r="9" spans="1:7" x14ac:dyDescent="0.35">
      <c r="A9" s="30" t="s">
        <v>14</v>
      </c>
      <c r="B9" s="38">
        <f>Market_Potential!B8</f>
        <v>3491</v>
      </c>
      <c r="C9" s="38">
        <f>Market_Potential!C8</f>
        <v>2439</v>
      </c>
      <c r="D9" s="38">
        <f>Market_Potential!D8</f>
        <v>2447</v>
      </c>
      <c r="E9" s="38">
        <f>SUM(B9:D9)</f>
        <v>8377</v>
      </c>
      <c r="F9" s="38" t="s">
        <v>153</v>
      </c>
      <c r="G9" s="38" t="s">
        <v>158</v>
      </c>
    </row>
    <row r="11" spans="1:7" x14ac:dyDescent="0.35">
      <c r="A11" s="37" t="s">
        <v>159</v>
      </c>
    </row>
    <row r="12" spans="1:7" x14ac:dyDescent="0.35">
      <c r="A12" s="29" t="s">
        <v>160</v>
      </c>
      <c r="B12" s="29" t="s">
        <v>161</v>
      </c>
      <c r="C12" s="29" t="s">
        <v>162</v>
      </c>
      <c r="D12" s="29" t="s">
        <v>163</v>
      </c>
    </row>
    <row r="13" spans="1:7" ht="55" customHeight="1" x14ac:dyDescent="0.35">
      <c r="A13" s="30" t="s">
        <v>164</v>
      </c>
      <c r="B13" s="30" t="s">
        <v>165</v>
      </c>
      <c r="C13" s="30" t="s">
        <v>166</v>
      </c>
      <c r="D13" s="41" t="s">
        <v>167</v>
      </c>
    </row>
    <row r="14" spans="1:7" ht="55" customHeight="1" x14ac:dyDescent="0.35">
      <c r="A14" s="30" t="s">
        <v>168</v>
      </c>
      <c r="B14" s="30" t="s">
        <v>169</v>
      </c>
      <c r="C14" s="30" t="s">
        <v>170</v>
      </c>
      <c r="D14" s="41" t="s">
        <v>171</v>
      </c>
    </row>
    <row r="16" spans="1:7" x14ac:dyDescent="0.35">
      <c r="A16" s="37" t="s">
        <v>172</v>
      </c>
    </row>
    <row r="17" spans="1:4" x14ac:dyDescent="0.35">
      <c r="A17" s="72" t="s">
        <v>173</v>
      </c>
      <c r="B17" s="67"/>
      <c r="C17" s="67"/>
      <c r="D17" s="67"/>
    </row>
    <row r="18" spans="1:4" x14ac:dyDescent="0.35">
      <c r="A18" s="72" t="s">
        <v>174</v>
      </c>
      <c r="B18" s="67"/>
      <c r="C18" s="67"/>
      <c r="D18" s="67"/>
    </row>
    <row r="19" spans="1:4" x14ac:dyDescent="0.35">
      <c r="A19" s="72" t="s">
        <v>175</v>
      </c>
      <c r="B19" s="67"/>
      <c r="C19" s="67"/>
      <c r="D19" s="67"/>
    </row>
    <row r="20" spans="1:4" x14ac:dyDescent="0.35">
      <c r="A20" s="72" t="s">
        <v>176</v>
      </c>
      <c r="B20" s="67"/>
      <c r="C20" s="67"/>
      <c r="D20" s="67"/>
    </row>
    <row r="21" spans="1:4" x14ac:dyDescent="0.35">
      <c r="A21" s="72" t="s">
        <v>177</v>
      </c>
      <c r="B21" s="67"/>
      <c r="C21" s="67"/>
      <c r="D21" s="67"/>
    </row>
    <row r="22" spans="1:4" x14ac:dyDescent="0.35">
      <c r="A22" s="72" t="s">
        <v>178</v>
      </c>
      <c r="B22" s="67"/>
      <c r="C22" s="67"/>
      <c r="D22" s="67"/>
    </row>
    <row r="23" spans="1:4" x14ac:dyDescent="0.35">
      <c r="A23" s="72" t="s">
        <v>179</v>
      </c>
      <c r="B23" s="67"/>
      <c r="C23" s="67"/>
      <c r="D23" s="67"/>
    </row>
    <row r="24" spans="1:4" x14ac:dyDescent="0.35">
      <c r="A24" s="72" t="s">
        <v>180</v>
      </c>
      <c r="B24" s="67"/>
      <c r="C24" s="67"/>
      <c r="D24" s="67"/>
    </row>
    <row r="26" spans="1:4" x14ac:dyDescent="0.35">
      <c r="A26" s="37" t="s">
        <v>181</v>
      </c>
    </row>
    <row r="27" spans="1:4" x14ac:dyDescent="0.35">
      <c r="A27" s="72" t="s">
        <v>182</v>
      </c>
      <c r="B27" s="67"/>
      <c r="C27" s="67"/>
      <c r="D27" s="67"/>
    </row>
    <row r="28" spans="1:4" x14ac:dyDescent="0.35">
      <c r="A28" s="72" t="s">
        <v>183</v>
      </c>
      <c r="B28" s="67"/>
      <c r="C28" s="67"/>
      <c r="D28" s="67"/>
    </row>
    <row r="29" spans="1:4" x14ac:dyDescent="0.35">
      <c r="A29" s="72" t="s">
        <v>184</v>
      </c>
      <c r="B29" s="67"/>
      <c r="C29" s="67"/>
      <c r="D29" s="67"/>
    </row>
    <row r="30" spans="1:4" x14ac:dyDescent="0.35">
      <c r="A30" s="72" t="s">
        <v>185</v>
      </c>
      <c r="B30" s="67"/>
      <c r="C30" s="67"/>
      <c r="D30" s="67"/>
    </row>
    <row r="31" spans="1:4" x14ac:dyDescent="0.35">
      <c r="A31" s="72" t="s">
        <v>186</v>
      </c>
      <c r="B31" s="67"/>
      <c r="C31" s="67"/>
      <c r="D31" s="67"/>
    </row>
    <row r="33" spans="1:3" x14ac:dyDescent="0.35">
      <c r="A33" s="37" t="s">
        <v>187</v>
      </c>
    </row>
    <row r="34" spans="1:3" x14ac:dyDescent="0.35">
      <c r="A34" s="29" t="s">
        <v>188</v>
      </c>
      <c r="B34" s="29" t="s">
        <v>189</v>
      </c>
      <c r="C34" s="29" t="s">
        <v>190</v>
      </c>
    </row>
    <row r="35" spans="1:3" x14ac:dyDescent="0.35">
      <c r="A35" s="31" t="s">
        <v>191</v>
      </c>
      <c r="B35" s="42" t="s">
        <v>192</v>
      </c>
      <c r="C35" s="31" t="s">
        <v>32</v>
      </c>
    </row>
    <row r="36" spans="1:3" x14ac:dyDescent="0.35">
      <c r="A36" s="31" t="s">
        <v>193</v>
      </c>
      <c r="B36" s="42"/>
      <c r="C36" s="31" t="s">
        <v>194</v>
      </c>
    </row>
    <row r="37" spans="1:3" x14ac:dyDescent="0.35">
      <c r="A37" s="31" t="s">
        <v>195</v>
      </c>
      <c r="B37" s="42" t="s">
        <v>196</v>
      </c>
      <c r="C37" s="31" t="s">
        <v>197</v>
      </c>
    </row>
    <row r="38" spans="1:3" x14ac:dyDescent="0.35">
      <c r="A38" s="31" t="s">
        <v>198</v>
      </c>
      <c r="B38" s="42"/>
      <c r="C38" s="31" t="s">
        <v>199</v>
      </c>
    </row>
    <row r="39" spans="1:3" x14ac:dyDescent="0.35">
      <c r="A39" s="31" t="s">
        <v>200</v>
      </c>
      <c r="B39" s="42"/>
      <c r="C39" s="31" t="s">
        <v>201</v>
      </c>
    </row>
    <row r="40" spans="1:3" x14ac:dyDescent="0.35">
      <c r="A40" s="31" t="s">
        <v>202</v>
      </c>
      <c r="B40" s="42"/>
      <c r="C40" s="31" t="s">
        <v>203</v>
      </c>
    </row>
  </sheetData>
  <mergeCells count="14">
    <mergeCell ref="A2:G2"/>
    <mergeCell ref="A24:D24"/>
    <mergeCell ref="A19:D19"/>
    <mergeCell ref="A28:D28"/>
    <mergeCell ref="A17:D17"/>
    <mergeCell ref="A18:D18"/>
    <mergeCell ref="A27:D27"/>
    <mergeCell ref="A31:D31"/>
    <mergeCell ref="A23:D23"/>
    <mergeCell ref="A22:D22"/>
    <mergeCell ref="A20:D20"/>
    <mergeCell ref="A21:D21"/>
    <mergeCell ref="A30:D30"/>
    <mergeCell ref="A29:D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G9" sqref="G9"/>
    </sheetView>
  </sheetViews>
  <sheetFormatPr defaultRowHeight="14.5" x14ac:dyDescent="0.35"/>
  <cols>
    <col min="1" max="1" width="28" customWidth="1"/>
    <col min="2" max="5" width="14" customWidth="1"/>
    <col min="6" max="7" width="18" customWidth="1"/>
    <col min="8" max="8" width="14" customWidth="1"/>
  </cols>
  <sheetData>
    <row r="1" spans="1:8" ht="18.5" x14ac:dyDescent="0.45">
      <c r="A1" s="49" t="s">
        <v>204</v>
      </c>
    </row>
    <row r="2" spans="1:8" x14ac:dyDescent="0.35">
      <c r="A2" s="50" t="s">
        <v>205</v>
      </c>
    </row>
    <row r="4" spans="1:8" x14ac:dyDescent="0.35">
      <c r="A4" t="s">
        <v>206</v>
      </c>
    </row>
    <row r="5" spans="1:8" ht="29" x14ac:dyDescent="0.35">
      <c r="A5" s="51" t="s">
        <v>135</v>
      </c>
      <c r="B5" s="51" t="s">
        <v>207</v>
      </c>
      <c r="C5" s="51" t="s">
        <v>208</v>
      </c>
      <c r="D5" s="51" t="s">
        <v>209</v>
      </c>
      <c r="E5" s="51" t="s">
        <v>210</v>
      </c>
      <c r="F5" s="51" t="s">
        <v>67</v>
      </c>
    </row>
    <row r="6" spans="1:8" x14ac:dyDescent="0.35">
      <c r="A6" s="48" t="s">
        <v>140</v>
      </c>
      <c r="B6" s="48" t="s">
        <v>211</v>
      </c>
      <c r="C6" s="48">
        <v>200000</v>
      </c>
      <c r="D6" s="48">
        <v>62000</v>
      </c>
      <c r="E6" s="48">
        <v>5114</v>
      </c>
      <c r="F6" s="48" t="s">
        <v>212</v>
      </c>
    </row>
    <row r="7" spans="1:8" x14ac:dyDescent="0.35">
      <c r="A7" s="48" t="s">
        <v>13</v>
      </c>
      <c r="B7" s="48" t="s">
        <v>211</v>
      </c>
      <c r="C7" s="48">
        <v>90000</v>
      </c>
      <c r="D7" s="48">
        <v>17000</v>
      </c>
      <c r="E7" s="48">
        <v>4194</v>
      </c>
      <c r="F7" s="48"/>
    </row>
    <row r="8" spans="1:8" x14ac:dyDescent="0.35">
      <c r="A8" s="52" t="s">
        <v>12</v>
      </c>
      <c r="B8" s="52" t="s">
        <v>299</v>
      </c>
      <c r="C8" s="52">
        <v>136000</v>
      </c>
      <c r="D8" s="52">
        <v>44000</v>
      </c>
      <c r="E8" s="52">
        <v>5468</v>
      </c>
      <c r="F8" s="52"/>
    </row>
    <row r="9" spans="1:8" x14ac:dyDescent="0.35">
      <c r="A9" s="48" t="s">
        <v>14</v>
      </c>
      <c r="B9" s="48" t="s">
        <v>211</v>
      </c>
      <c r="C9" s="48">
        <v>84000</v>
      </c>
      <c r="D9" s="48">
        <v>13000</v>
      </c>
      <c r="E9" s="48">
        <v>3491</v>
      </c>
      <c r="F9" s="48" t="s">
        <v>213</v>
      </c>
    </row>
    <row r="11" spans="1:8" x14ac:dyDescent="0.35">
      <c r="A11" t="s">
        <v>168</v>
      </c>
    </row>
    <row r="12" spans="1:8" ht="29" x14ac:dyDescent="0.35">
      <c r="A12" s="51" t="s">
        <v>214</v>
      </c>
      <c r="B12" s="51" t="s">
        <v>135</v>
      </c>
      <c r="C12" s="51" t="s">
        <v>207</v>
      </c>
      <c r="D12" s="51" t="s">
        <v>208</v>
      </c>
      <c r="E12" s="51" t="s">
        <v>209</v>
      </c>
      <c r="F12" s="51" t="s">
        <v>67</v>
      </c>
    </row>
    <row r="13" spans="1:8" x14ac:dyDescent="0.35">
      <c r="A13" s="53" t="s">
        <v>215</v>
      </c>
      <c r="B13" s="53" t="s">
        <v>14</v>
      </c>
      <c r="C13" s="53" t="s">
        <v>211</v>
      </c>
      <c r="D13" s="53">
        <v>150000</v>
      </c>
      <c r="E13" s="53">
        <v>60000</v>
      </c>
      <c r="F13" s="53" t="s">
        <v>216</v>
      </c>
    </row>
    <row r="15" spans="1:8" x14ac:dyDescent="0.35">
      <c r="A15" s="54" t="s">
        <v>217</v>
      </c>
    </row>
    <row r="16" spans="1:8" ht="29" x14ac:dyDescent="0.35">
      <c r="A16" s="51" t="s">
        <v>218</v>
      </c>
      <c r="B16" s="51" t="s">
        <v>219</v>
      </c>
      <c r="C16" s="51" t="s">
        <v>220</v>
      </c>
      <c r="D16" s="51" t="s">
        <v>221</v>
      </c>
      <c r="E16" s="51" t="s">
        <v>222</v>
      </c>
      <c r="F16" s="51" t="s">
        <v>223</v>
      </c>
      <c r="G16" s="51" t="s">
        <v>224</v>
      </c>
      <c r="H16" s="51" t="s">
        <v>225</v>
      </c>
    </row>
    <row r="17" spans="1:8" x14ac:dyDescent="0.35">
      <c r="A17" s="48" t="s">
        <v>226</v>
      </c>
      <c r="B17" s="48">
        <v>2</v>
      </c>
      <c r="C17" s="48">
        <v>480000</v>
      </c>
      <c r="D17" s="48">
        <v>136000</v>
      </c>
      <c r="E17" s="48">
        <v>0</v>
      </c>
      <c r="F17" s="48">
        <v>616000</v>
      </c>
      <c r="G17" s="48">
        <v>884000</v>
      </c>
      <c r="H17" s="52" t="s">
        <v>227</v>
      </c>
    </row>
    <row r="18" spans="1:8" x14ac:dyDescent="0.35">
      <c r="A18" s="48" t="s">
        <v>228</v>
      </c>
      <c r="B18" s="48">
        <v>3</v>
      </c>
      <c r="C18" s="48">
        <v>720000</v>
      </c>
      <c r="D18" s="48">
        <v>136000</v>
      </c>
      <c r="E18" s="48">
        <v>0</v>
      </c>
      <c r="F18" s="48">
        <v>856000</v>
      </c>
      <c r="G18" s="48">
        <v>644000</v>
      </c>
      <c r="H18" s="52" t="s">
        <v>227</v>
      </c>
    </row>
    <row r="19" spans="1:8" x14ac:dyDescent="0.35">
      <c r="A19" s="75" t="s">
        <v>229</v>
      </c>
      <c r="B19" s="75">
        <v>2</v>
      </c>
      <c r="C19" s="75">
        <v>480000</v>
      </c>
      <c r="D19" s="75">
        <v>136000</v>
      </c>
      <c r="E19" s="75">
        <v>150000</v>
      </c>
      <c r="F19" s="75">
        <v>766000</v>
      </c>
      <c r="G19" s="75">
        <v>734000</v>
      </c>
      <c r="H19" s="52" t="s">
        <v>227</v>
      </c>
    </row>
    <row r="20" spans="1:8" x14ac:dyDescent="0.35">
      <c r="A20" s="48" t="s">
        <v>230</v>
      </c>
      <c r="B20" s="48">
        <v>3</v>
      </c>
      <c r="C20" s="48">
        <v>720000</v>
      </c>
      <c r="D20" s="48">
        <v>136000</v>
      </c>
      <c r="E20" s="48">
        <v>150000</v>
      </c>
      <c r="F20" s="48">
        <v>1006000</v>
      </c>
      <c r="G20" s="48">
        <v>494000</v>
      </c>
      <c r="H20" s="52" t="s">
        <v>227</v>
      </c>
    </row>
    <row r="21" spans="1:8" x14ac:dyDescent="0.35">
      <c r="A21" s="48" t="s">
        <v>231</v>
      </c>
      <c r="B21" s="48">
        <v>5</v>
      </c>
      <c r="C21" s="48">
        <v>1200000</v>
      </c>
      <c r="D21" s="48">
        <v>136000</v>
      </c>
      <c r="E21" s="48">
        <v>0</v>
      </c>
      <c r="F21" s="48">
        <v>1336000</v>
      </c>
      <c r="G21" s="48">
        <v>164000</v>
      </c>
      <c r="H21" s="55" t="s">
        <v>232</v>
      </c>
    </row>
    <row r="22" spans="1:8" x14ac:dyDescent="0.35">
      <c r="A22" s="48" t="s">
        <v>233</v>
      </c>
      <c r="B22" s="48">
        <v>1</v>
      </c>
      <c r="C22" s="48">
        <v>240000</v>
      </c>
      <c r="D22" s="48">
        <v>136000</v>
      </c>
      <c r="E22" s="48">
        <v>150000</v>
      </c>
      <c r="F22" s="48">
        <v>526000</v>
      </c>
      <c r="G22" s="48">
        <v>974000</v>
      </c>
      <c r="H22" s="52" t="s">
        <v>227</v>
      </c>
    </row>
    <row r="25" spans="1:8" x14ac:dyDescent="0.35">
      <c r="A25" s="50" t="s">
        <v>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tabSelected="1" workbookViewId="0">
      <selection activeCell="K15" sqref="K15"/>
    </sheetView>
  </sheetViews>
  <sheetFormatPr defaultRowHeight="14.5" x14ac:dyDescent="0.35"/>
  <cols>
    <col min="1" max="1" width="14" customWidth="1"/>
    <col min="2" max="2" width="12" customWidth="1"/>
    <col min="3" max="3" width="14" customWidth="1"/>
    <col min="4" max="6" width="18" customWidth="1"/>
    <col min="7" max="7" width="36" customWidth="1"/>
  </cols>
  <sheetData>
    <row r="1" spans="1:8" ht="18.5" x14ac:dyDescent="0.45">
      <c r="A1" s="49" t="s">
        <v>235</v>
      </c>
    </row>
    <row r="2" spans="1:8" x14ac:dyDescent="0.35">
      <c r="A2" s="74" t="s">
        <v>236</v>
      </c>
      <c r="B2" s="67"/>
      <c r="C2" s="67"/>
      <c r="D2" s="67"/>
      <c r="E2" s="67"/>
      <c r="F2" s="67"/>
      <c r="G2" s="67"/>
    </row>
    <row r="4" spans="1:8" x14ac:dyDescent="0.35">
      <c r="A4" s="54" t="s">
        <v>237</v>
      </c>
    </row>
    <row r="5" spans="1:8" x14ac:dyDescent="0.35">
      <c r="A5" t="s">
        <v>238</v>
      </c>
    </row>
    <row r="6" spans="1:8" x14ac:dyDescent="0.35">
      <c r="A6" t="s">
        <v>239</v>
      </c>
    </row>
    <row r="8" spans="1:8" x14ac:dyDescent="0.35">
      <c r="A8" t="s">
        <v>240</v>
      </c>
    </row>
    <row r="9" spans="1:8" x14ac:dyDescent="0.35">
      <c r="A9" s="51" t="s">
        <v>241</v>
      </c>
      <c r="B9" s="51" t="s">
        <v>242</v>
      </c>
      <c r="C9" s="51" t="s">
        <v>243</v>
      </c>
      <c r="D9" s="51" t="s">
        <v>244</v>
      </c>
      <c r="E9" s="51" t="s">
        <v>245</v>
      </c>
      <c r="F9" s="51" t="s">
        <v>246</v>
      </c>
      <c r="G9" s="51" t="s">
        <v>67</v>
      </c>
    </row>
    <row r="10" spans="1:8" x14ac:dyDescent="0.35">
      <c r="A10" s="56">
        <v>0</v>
      </c>
      <c r="B10" s="56">
        <v>0</v>
      </c>
      <c r="C10" s="56">
        <v>0</v>
      </c>
      <c r="D10" s="56">
        <v>0</v>
      </c>
      <c r="E10" s="56">
        <v>1500000</v>
      </c>
      <c r="F10" s="56">
        <v>1364000</v>
      </c>
      <c r="G10" s="57"/>
    </row>
    <row r="11" spans="1:8" x14ac:dyDescent="0.35">
      <c r="A11" s="56">
        <v>1</v>
      </c>
      <c r="B11" s="56">
        <v>8</v>
      </c>
      <c r="C11" s="56">
        <v>520</v>
      </c>
      <c r="D11" s="56">
        <v>240000</v>
      </c>
      <c r="E11" s="56">
        <v>1260000</v>
      </c>
      <c r="F11" s="56">
        <v>1124000</v>
      </c>
      <c r="G11" s="57"/>
    </row>
    <row r="12" spans="1:8" x14ac:dyDescent="0.35">
      <c r="A12" s="58">
        <v>2</v>
      </c>
      <c r="B12" s="58">
        <v>16</v>
      </c>
      <c r="C12" s="58">
        <v>1040</v>
      </c>
      <c r="D12" s="58">
        <v>480000</v>
      </c>
      <c r="E12" s="58">
        <v>1020000</v>
      </c>
      <c r="F12" s="58">
        <v>884000</v>
      </c>
      <c r="G12" s="59" t="s">
        <v>247</v>
      </c>
      <c r="H12" t="s">
        <v>301</v>
      </c>
    </row>
    <row r="13" spans="1:8" x14ac:dyDescent="0.35">
      <c r="A13" s="58">
        <v>3</v>
      </c>
      <c r="B13" s="58">
        <v>24</v>
      </c>
      <c r="C13" s="58">
        <v>1560</v>
      </c>
      <c r="D13" s="58">
        <v>720000</v>
      </c>
      <c r="E13" s="58">
        <v>780000</v>
      </c>
      <c r="F13" s="58">
        <v>644000</v>
      </c>
      <c r="G13" s="59" t="s">
        <v>247</v>
      </c>
      <c r="H13" t="s">
        <v>300</v>
      </c>
    </row>
    <row r="14" spans="1:8" x14ac:dyDescent="0.35">
      <c r="A14" s="56">
        <v>4</v>
      </c>
      <c r="B14" s="56">
        <v>32</v>
      </c>
      <c r="C14" s="56">
        <v>2080</v>
      </c>
      <c r="D14" s="56">
        <v>960000</v>
      </c>
      <c r="E14" s="56">
        <v>540000</v>
      </c>
      <c r="F14" s="56">
        <v>404000</v>
      </c>
      <c r="G14" s="57" t="s">
        <v>248</v>
      </c>
    </row>
    <row r="15" spans="1:8" x14ac:dyDescent="0.35">
      <c r="A15" s="60">
        <v>5</v>
      </c>
      <c r="B15" s="60">
        <v>40</v>
      </c>
      <c r="C15" s="60">
        <v>2600</v>
      </c>
      <c r="D15" s="60">
        <v>1200000</v>
      </c>
      <c r="E15" s="60">
        <v>300000</v>
      </c>
      <c r="F15" s="60">
        <v>164000</v>
      </c>
      <c r="G15" s="61" t="s">
        <v>249</v>
      </c>
    </row>
    <row r="16" spans="1:8" x14ac:dyDescent="0.35">
      <c r="A16" s="60">
        <v>7</v>
      </c>
      <c r="B16" s="60">
        <v>56</v>
      </c>
      <c r="C16" s="60">
        <v>3640</v>
      </c>
      <c r="D16" s="60">
        <v>1680000</v>
      </c>
      <c r="E16" s="60">
        <v>-180000</v>
      </c>
      <c r="F16" s="60">
        <v>-316000</v>
      </c>
      <c r="G16" s="61" t="s">
        <v>249</v>
      </c>
    </row>
    <row r="17" spans="1:7" x14ac:dyDescent="0.35">
      <c r="A17" s="60">
        <v>10</v>
      </c>
      <c r="B17" s="60">
        <v>80</v>
      </c>
      <c r="C17" s="60">
        <v>5200</v>
      </c>
      <c r="D17" s="60">
        <v>2400000</v>
      </c>
      <c r="E17" s="60">
        <v>-900000</v>
      </c>
      <c r="F17" s="60">
        <v>-1036000</v>
      </c>
      <c r="G17" s="61" t="s">
        <v>249</v>
      </c>
    </row>
    <row r="20" spans="1:7" x14ac:dyDescent="0.35">
      <c r="A20" s="50" t="s">
        <v>250</v>
      </c>
    </row>
    <row r="21" spans="1:7" x14ac:dyDescent="0.35">
      <c r="A21" s="62" t="s">
        <v>251</v>
      </c>
    </row>
    <row r="22" spans="1:7" x14ac:dyDescent="0.35">
      <c r="A22" t="s">
        <v>252</v>
      </c>
    </row>
  </sheetData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1"/>
  <sheetViews>
    <sheetView topLeftCell="A9" workbookViewId="0">
      <selection activeCell="F28" sqref="F28"/>
    </sheetView>
  </sheetViews>
  <sheetFormatPr defaultRowHeight="14.5" x14ac:dyDescent="0.35"/>
  <cols>
    <col min="1" max="1" width="28" customWidth="1"/>
    <col min="2" max="2" width="10" customWidth="1"/>
    <col min="3" max="3" width="12" customWidth="1"/>
    <col min="4" max="4" width="3" customWidth="1"/>
    <col min="5" max="5" width="28" customWidth="1"/>
    <col min="6" max="6" width="10" customWidth="1"/>
    <col min="7" max="7" width="12" customWidth="1"/>
    <col min="8" max="8" width="3" customWidth="1"/>
    <col min="9" max="9" width="28" customWidth="1"/>
    <col min="10" max="10" width="10" customWidth="1"/>
    <col min="11" max="11" width="12" customWidth="1"/>
  </cols>
  <sheetData>
    <row r="1" spans="1:11" ht="18.5" customHeight="1" x14ac:dyDescent="0.45">
      <c r="A1" s="4" t="s">
        <v>253</v>
      </c>
    </row>
    <row r="2" spans="1:11" x14ac:dyDescent="0.35">
      <c r="A2" s="1" t="s">
        <v>254</v>
      </c>
    </row>
    <row r="4" spans="1:11" x14ac:dyDescent="0.35">
      <c r="A4" s="12" t="s">
        <v>255</v>
      </c>
      <c r="E4" s="12" t="s">
        <v>256</v>
      </c>
      <c r="I4" s="12" t="s">
        <v>257</v>
      </c>
    </row>
    <row r="5" spans="1:11" x14ac:dyDescent="0.35">
      <c r="A5" s="2" t="s">
        <v>258</v>
      </c>
      <c r="B5" s="2" t="s">
        <v>259</v>
      </c>
      <c r="C5" s="2" t="s">
        <v>260</v>
      </c>
      <c r="E5" s="2" t="s">
        <v>258</v>
      </c>
      <c r="F5" s="2" t="s">
        <v>259</v>
      </c>
      <c r="G5" s="2" t="s">
        <v>260</v>
      </c>
      <c r="I5" s="2" t="s">
        <v>258</v>
      </c>
      <c r="J5" s="2" t="s">
        <v>259</v>
      </c>
      <c r="K5" s="2" t="s">
        <v>260</v>
      </c>
    </row>
    <row r="6" spans="1:11" x14ac:dyDescent="0.35">
      <c r="A6" s="13" t="str">
        <f>Needs!A5</f>
        <v>Colorful</v>
      </c>
      <c r="B6" s="13">
        <f>Needs!B5</f>
        <v>116</v>
      </c>
      <c r="C6" s="13" t="str">
        <f>Needs!F5</f>
        <v>IMPORTANT</v>
      </c>
      <c r="E6" s="13" t="str">
        <f>Needs!A5</f>
        <v>Colorful</v>
      </c>
      <c r="F6" s="13">
        <f>Needs!C5</f>
        <v>120</v>
      </c>
      <c r="G6" s="13" t="str">
        <f>Needs!G5</f>
        <v>IMPORTANT</v>
      </c>
      <c r="I6" s="13" t="str">
        <f>Needs!A5</f>
        <v>Colorful</v>
      </c>
      <c r="J6" s="13">
        <f>Needs!D5</f>
        <v>109</v>
      </c>
      <c r="K6" s="13" t="str">
        <f>Needs!H5</f>
        <v/>
      </c>
    </row>
    <row r="7" spans="1:11" x14ac:dyDescent="0.35">
      <c r="A7" s="13" t="str">
        <f>Needs!A6</f>
        <v>Fits rider's personality</v>
      </c>
      <c r="B7" s="13">
        <f>Needs!B6</f>
        <v>116</v>
      </c>
      <c r="C7" s="13" t="str">
        <f>Needs!F6</f>
        <v>IMPORTANT</v>
      </c>
      <c r="E7" s="13" t="str">
        <f>Needs!A6</f>
        <v>Fits rider's personality</v>
      </c>
      <c r="F7" s="13">
        <f>Needs!C6</f>
        <v>113</v>
      </c>
      <c r="G7" s="13" t="str">
        <f>Needs!G6</f>
        <v>IMPORTANT</v>
      </c>
      <c r="I7" s="13" t="str">
        <f>Needs!A6</f>
        <v>Fits rider's personality</v>
      </c>
      <c r="J7" s="13">
        <f>Needs!D6</f>
        <v>116</v>
      </c>
      <c r="K7" s="13" t="str">
        <f>Needs!H6</f>
        <v>IMPORTANT</v>
      </c>
    </row>
    <row r="8" spans="1:11" x14ac:dyDescent="0.35">
      <c r="A8" s="13" t="str">
        <f>Needs!A7</f>
        <v>Simple to use</v>
      </c>
      <c r="B8" s="13">
        <f>Needs!B7</f>
        <v>121</v>
      </c>
      <c r="C8" s="13" t="str">
        <f>Needs!F7</f>
        <v>IMPORTANT</v>
      </c>
      <c r="E8" s="13" t="str">
        <f>Needs!A7</f>
        <v>Simple to use</v>
      </c>
      <c r="F8" s="13">
        <f>Needs!C7</f>
        <v>102</v>
      </c>
      <c r="G8" s="13" t="str">
        <f>Needs!G7</f>
        <v/>
      </c>
      <c r="I8" s="13" t="str">
        <f>Needs!A7</f>
        <v>Simple to use</v>
      </c>
      <c r="J8" s="13">
        <f>Needs!D7</f>
        <v>69</v>
      </c>
      <c r="K8" s="13" t="str">
        <f>Needs!H7</f>
        <v>CAUTION</v>
      </c>
    </row>
    <row r="9" spans="1:11" x14ac:dyDescent="0.35">
      <c r="A9" s="13" t="str">
        <f>Needs!A8</f>
        <v>Safety</v>
      </c>
      <c r="B9" s="13">
        <f>Needs!B8</f>
        <v>121</v>
      </c>
      <c r="C9" s="13" t="str">
        <f>Needs!F8</f>
        <v>IMPORTANT</v>
      </c>
      <c r="E9" s="13" t="str">
        <f>Needs!A8</f>
        <v>Safety</v>
      </c>
      <c r="F9" s="13">
        <f>Needs!C8</f>
        <v>112</v>
      </c>
      <c r="G9" s="13" t="str">
        <f>Needs!G8</f>
        <v>IMPORTANT</v>
      </c>
      <c r="I9" s="13" t="str">
        <f>Needs!A8</f>
        <v>Safety</v>
      </c>
      <c r="J9" s="13">
        <f>Needs!D8</f>
        <v>113</v>
      </c>
      <c r="K9" s="13" t="str">
        <f>Needs!H8</f>
        <v>IMPORTANT</v>
      </c>
    </row>
    <row r="10" spans="1:11" x14ac:dyDescent="0.35">
      <c r="A10" s="13" t="str">
        <f>Needs!A9</f>
        <v>Low price point</v>
      </c>
      <c r="B10" s="13">
        <f>Needs!B9</f>
        <v>117</v>
      </c>
      <c r="C10" s="13" t="str">
        <f>Needs!F9</f>
        <v>IMPORTANT</v>
      </c>
      <c r="E10" s="13" t="str">
        <f>Needs!A9</f>
        <v>Low price point</v>
      </c>
      <c r="F10" s="13">
        <f>Needs!C9</f>
        <v>98</v>
      </c>
      <c r="G10" s="13" t="str">
        <f>Needs!G9</f>
        <v>CAUTION</v>
      </c>
      <c r="I10" s="13" t="str">
        <f>Needs!A9</f>
        <v>Low price point</v>
      </c>
      <c r="J10" s="13">
        <f>Needs!D9</f>
        <v>70</v>
      </c>
      <c r="K10" s="13" t="str">
        <f>Needs!H9</f>
        <v>CAUTION</v>
      </c>
    </row>
    <row r="11" spans="1:11" x14ac:dyDescent="0.35">
      <c r="A11" s="13" t="str">
        <f>Needs!A10</f>
        <v>Sleek</v>
      </c>
      <c r="B11" s="13">
        <f>Needs!B10</f>
        <v>104</v>
      </c>
      <c r="C11" s="13" t="str">
        <f>Needs!F10</f>
        <v/>
      </c>
      <c r="E11" s="13" t="str">
        <f>Needs!A10</f>
        <v>Sleek</v>
      </c>
      <c r="F11" s="13">
        <f>Needs!C10</f>
        <v>83</v>
      </c>
      <c r="G11" s="13" t="str">
        <f>Needs!G10</f>
        <v>CAUTION</v>
      </c>
      <c r="I11" s="13" t="str">
        <f>Needs!A10</f>
        <v>Sleek</v>
      </c>
      <c r="J11" s="13">
        <f>Needs!D10</f>
        <v>119</v>
      </c>
      <c r="K11" s="13" t="str">
        <f>Needs!H10</f>
        <v>IMPORTANT</v>
      </c>
    </row>
    <row r="12" spans="1:11" x14ac:dyDescent="0.35">
      <c r="A12" s="13" t="str">
        <f>Needs!A11</f>
        <v>Stylish</v>
      </c>
      <c r="B12" s="13">
        <f>Needs!B11</f>
        <v>111</v>
      </c>
      <c r="C12" s="13" t="str">
        <f>Needs!F11</f>
        <v>IMPORTANT</v>
      </c>
      <c r="E12" s="13" t="str">
        <f>Needs!A11</f>
        <v>Stylish</v>
      </c>
      <c r="F12" s="13">
        <f>Needs!C11</f>
        <v>118</v>
      </c>
      <c r="G12" s="13" t="str">
        <f>Needs!G11</f>
        <v>IMPORTANT</v>
      </c>
      <c r="I12" s="13" t="str">
        <f>Needs!A11</f>
        <v>Stylish</v>
      </c>
      <c r="J12" s="13">
        <f>Needs!D11</f>
        <v>116</v>
      </c>
      <c r="K12" s="13" t="str">
        <f>Needs!H11</f>
        <v>IMPORTANT</v>
      </c>
    </row>
    <row r="13" spans="1:11" x14ac:dyDescent="0.35">
      <c r="A13" s="13" t="str">
        <f>Needs!A12</f>
        <v>Easy to ride</v>
      </c>
      <c r="B13" s="13">
        <f>Needs!B12</f>
        <v>124</v>
      </c>
      <c r="C13" s="13" t="str">
        <f>Needs!F12</f>
        <v>IMPORTANT</v>
      </c>
      <c r="E13" s="13" t="str">
        <f>Needs!A12</f>
        <v>Easy to ride</v>
      </c>
      <c r="F13" s="13">
        <f>Needs!C12</f>
        <v>100</v>
      </c>
      <c r="G13" s="13" t="str">
        <f>Needs!G12</f>
        <v/>
      </c>
      <c r="I13" s="13" t="str">
        <f>Needs!A12</f>
        <v>Easy to ride</v>
      </c>
      <c r="J13" s="13">
        <f>Needs!D12</f>
        <v>102</v>
      </c>
      <c r="K13" s="13" t="str">
        <f>Needs!H12</f>
        <v/>
      </c>
    </row>
    <row r="14" spans="1:11" x14ac:dyDescent="0.35">
      <c r="A14" s="13" t="str">
        <f>Needs!A13</f>
        <v>Comfortable</v>
      </c>
      <c r="B14" s="13">
        <f>Needs!B13</f>
        <v>124</v>
      </c>
      <c r="C14" s="13" t="str">
        <f>Needs!F13</f>
        <v>IMPORTANT</v>
      </c>
      <c r="E14" s="13" t="str">
        <f>Needs!A13</f>
        <v>Comfortable</v>
      </c>
      <c r="F14" s="13">
        <f>Needs!C13</f>
        <v>95</v>
      </c>
      <c r="G14" s="13" t="str">
        <f>Needs!G13</f>
        <v>CAUTION</v>
      </c>
      <c r="I14" s="13" t="str">
        <f>Needs!A13</f>
        <v>Comfortable</v>
      </c>
      <c r="J14" s="13">
        <f>Needs!D13</f>
        <v>101</v>
      </c>
      <c r="K14" s="13" t="str">
        <f>Needs!H13</f>
        <v/>
      </c>
    </row>
    <row r="15" spans="1:11" x14ac:dyDescent="0.35">
      <c r="A15" s="13" t="str">
        <f>Needs!A14</f>
        <v>Soft ride</v>
      </c>
      <c r="B15" s="13">
        <f>Needs!B14</f>
        <v>115</v>
      </c>
      <c r="C15" s="13" t="str">
        <f>Needs!F14</f>
        <v>IMPORTANT</v>
      </c>
      <c r="E15" s="13" t="str">
        <f>Needs!A14</f>
        <v>Soft ride</v>
      </c>
      <c r="F15" s="13">
        <f>Needs!C14</f>
        <v>89</v>
      </c>
      <c r="G15" s="13" t="str">
        <f>Needs!G14</f>
        <v>CAUTION</v>
      </c>
      <c r="I15" s="13" t="str">
        <f>Needs!A14</f>
        <v>Soft ride</v>
      </c>
      <c r="J15" s="13">
        <f>Needs!D14</f>
        <v>87</v>
      </c>
      <c r="K15" s="13" t="str">
        <f>Needs!H14</f>
        <v>CAUTION</v>
      </c>
    </row>
    <row r="16" spans="1:11" x14ac:dyDescent="0.35">
      <c r="A16" s="13" t="str">
        <f>Needs!A15</f>
        <v>Repair, parts, support nearby</v>
      </c>
      <c r="B16" s="13">
        <f>Needs!B15</f>
        <v>119</v>
      </c>
      <c r="C16" s="13" t="str">
        <f>Needs!F15</f>
        <v>IMPORTANT</v>
      </c>
      <c r="E16" s="13" t="str">
        <f>Needs!A15</f>
        <v>Repair, parts, support nearby</v>
      </c>
      <c r="F16" s="13">
        <f>Needs!C15</f>
        <v>121</v>
      </c>
      <c r="G16" s="13" t="str">
        <f>Needs!G15</f>
        <v>IMPORTANT</v>
      </c>
      <c r="I16" s="13" t="str">
        <f>Needs!A15</f>
        <v>Repair, parts, support nearby</v>
      </c>
      <c r="J16" s="13">
        <f>Needs!D15</f>
        <v>120</v>
      </c>
      <c r="K16" s="13" t="str">
        <f>Needs!H15</f>
        <v>IMPORTANT</v>
      </c>
    </row>
    <row r="17" spans="1:11" x14ac:dyDescent="0.35">
      <c r="A17" s="13" t="str">
        <f>Needs!A16</f>
        <v>Can handle rough terrain</v>
      </c>
      <c r="B17" s="13">
        <f>Needs!B16</f>
        <v>111</v>
      </c>
      <c r="C17" s="13" t="str">
        <f>Needs!F16</f>
        <v>IMPORTANT</v>
      </c>
      <c r="E17" s="13" t="str">
        <f>Needs!A16</f>
        <v>Can handle rough terrain</v>
      </c>
      <c r="F17" s="13">
        <f>Needs!C16</f>
        <v>128</v>
      </c>
      <c r="G17" s="13" t="str">
        <f>Needs!G16</f>
        <v>IMPORTANT</v>
      </c>
      <c r="I17" s="13" t="str">
        <f>Needs!A16</f>
        <v>Can handle rough terrain</v>
      </c>
      <c r="J17" s="13">
        <f>Needs!D16</f>
        <v>82</v>
      </c>
      <c r="K17" s="13" t="str">
        <f>Needs!H16</f>
        <v>CAUTION</v>
      </c>
    </row>
    <row r="18" spans="1:11" x14ac:dyDescent="0.35">
      <c r="A18" s="13" t="str">
        <f>Needs!A17</f>
        <v>Can stop quickly</v>
      </c>
      <c r="B18" s="13">
        <f>Needs!B17</f>
        <v>114</v>
      </c>
      <c r="C18" s="13" t="str">
        <f>Needs!F17</f>
        <v>IMPORTANT</v>
      </c>
      <c r="E18" s="13" t="str">
        <f>Needs!A17</f>
        <v>Can stop quickly</v>
      </c>
      <c r="F18" s="13">
        <f>Needs!C17</f>
        <v>123</v>
      </c>
      <c r="G18" s="13" t="str">
        <f>Needs!G17</f>
        <v>IMPORTANT</v>
      </c>
      <c r="I18" s="13" t="str">
        <f>Needs!A17</f>
        <v>Can stop quickly</v>
      </c>
      <c r="J18" s="13">
        <f>Needs!D17</f>
        <v>110</v>
      </c>
      <c r="K18" s="13" t="str">
        <f>Needs!H17</f>
        <v>IMPORTANT</v>
      </c>
    </row>
    <row r="19" spans="1:11" x14ac:dyDescent="0.35">
      <c r="A19" s="13" t="str">
        <f>Needs!A18</f>
        <v>Precise speed control-turns, hills</v>
      </c>
      <c r="B19" s="13">
        <f>Needs!B18</f>
        <v>103</v>
      </c>
      <c r="C19" s="13" t="str">
        <f>Needs!F18</f>
        <v/>
      </c>
      <c r="E19" s="13" t="str">
        <f>Needs!A18</f>
        <v>Precise speed control-turns, hills</v>
      </c>
      <c r="F19" s="13">
        <f>Needs!C18</f>
        <v>106</v>
      </c>
      <c r="G19" s="13" t="str">
        <f>Needs!G18</f>
        <v/>
      </c>
      <c r="I19" s="13" t="str">
        <f>Needs!A18</f>
        <v>Precise speed control-turns, hills</v>
      </c>
      <c r="J19" s="13">
        <f>Needs!D18</f>
        <v>117</v>
      </c>
      <c r="K19" s="13" t="str">
        <f>Needs!H18</f>
        <v>IMPORTANT</v>
      </c>
    </row>
    <row r="20" spans="1:11" x14ac:dyDescent="0.35">
      <c r="A20" s="13" t="str">
        <f>Needs!A19</f>
        <v>On-road and off-road capabilities</v>
      </c>
      <c r="B20" s="13">
        <f>Needs!B19</f>
        <v>114</v>
      </c>
      <c r="C20" s="13" t="str">
        <f>Needs!F19</f>
        <v>IMPORTANT</v>
      </c>
      <c r="E20" s="13" t="str">
        <f>Needs!A19</f>
        <v>On-road and off-road capabilities</v>
      </c>
      <c r="F20" s="13">
        <f>Needs!C19</f>
        <v>95</v>
      </c>
      <c r="G20" s="13" t="str">
        <f>Needs!G19</f>
        <v>CAUTION</v>
      </c>
      <c r="I20" s="13" t="str">
        <f>Needs!A19</f>
        <v>On-road and off-road capabilities</v>
      </c>
      <c r="J20" s="13">
        <f>Needs!D19</f>
        <v>69</v>
      </c>
      <c r="K20" s="13" t="str">
        <f>Needs!H19</f>
        <v>CAUTION</v>
      </c>
    </row>
    <row r="21" spans="1:11" x14ac:dyDescent="0.35">
      <c r="A21" s="13" t="str">
        <f>Needs!A20</f>
        <v>Can carry things</v>
      </c>
      <c r="B21" s="13">
        <f>Needs!B20</f>
        <v>117</v>
      </c>
      <c r="C21" s="13" t="str">
        <f>Needs!F20</f>
        <v>IMPORTANT</v>
      </c>
      <c r="E21" s="13" t="str">
        <f>Needs!A20</f>
        <v>Can carry things</v>
      </c>
      <c r="F21" s="13">
        <f>Needs!C20</f>
        <v>104</v>
      </c>
      <c r="G21" s="13" t="str">
        <f>Needs!G20</f>
        <v/>
      </c>
      <c r="I21" s="13" t="str">
        <f>Needs!A20</f>
        <v>Can carry things</v>
      </c>
      <c r="J21" s="13">
        <f>Needs!D20</f>
        <v>69</v>
      </c>
      <c r="K21" s="13" t="str">
        <f>Needs!H20</f>
        <v>CAUTION</v>
      </c>
    </row>
    <row r="22" spans="1:11" x14ac:dyDescent="0.35">
      <c r="A22" s="13" t="str">
        <f>Needs!A21</f>
        <v>Durable</v>
      </c>
      <c r="B22" s="13">
        <f>Needs!B21</f>
        <v>108</v>
      </c>
      <c r="C22" s="13" t="str">
        <f>Needs!F21</f>
        <v/>
      </c>
      <c r="E22" s="13" t="str">
        <f>Needs!A21</f>
        <v>Durable</v>
      </c>
      <c r="F22" s="13">
        <f>Needs!C21</f>
        <v>127</v>
      </c>
      <c r="G22" s="13" t="str">
        <f>Needs!G21</f>
        <v>IMPORTANT</v>
      </c>
      <c r="I22" s="13" t="str">
        <f>Needs!A21</f>
        <v>Durable</v>
      </c>
      <c r="J22" s="13">
        <f>Needs!D21</f>
        <v>117</v>
      </c>
      <c r="K22" s="13" t="str">
        <f>Needs!H21</f>
        <v>IMPORTANT</v>
      </c>
    </row>
    <row r="23" spans="1:11" x14ac:dyDescent="0.35">
      <c r="A23" s="13" t="str">
        <f>Needs!A22</f>
        <v>Feel young at heart</v>
      </c>
      <c r="B23" s="13">
        <f>Needs!B22</f>
        <v>120</v>
      </c>
      <c r="C23" s="13" t="str">
        <f>Needs!F22</f>
        <v>IMPORTANT</v>
      </c>
      <c r="E23" s="13" t="str">
        <f>Needs!A22</f>
        <v>Feel young at heart</v>
      </c>
      <c r="F23" s="13">
        <f>Needs!C22</f>
        <v>115</v>
      </c>
      <c r="G23" s="13" t="str">
        <f>Needs!G22</f>
        <v>IMPORTANT</v>
      </c>
      <c r="I23" s="13" t="str">
        <f>Needs!A22</f>
        <v>Feel young at heart</v>
      </c>
      <c r="J23" s="13">
        <f>Needs!D22</f>
        <v>117</v>
      </c>
      <c r="K23" s="13" t="str">
        <f>Needs!H22</f>
        <v>IMPORTANT</v>
      </c>
    </row>
    <row r="24" spans="1:11" x14ac:dyDescent="0.35">
      <c r="A24" s="13" t="str">
        <f>Needs!A23</f>
        <v>Can turn sharply</v>
      </c>
      <c r="B24" s="13">
        <f>Needs!B23</f>
        <v>113</v>
      </c>
      <c r="C24" s="13" t="str">
        <f>Needs!F23</f>
        <v>IMPORTANT</v>
      </c>
      <c r="E24" s="13" t="str">
        <f>Needs!A23</f>
        <v>Can turn sharply</v>
      </c>
      <c r="F24" s="13">
        <f>Needs!C23</f>
        <v>124</v>
      </c>
      <c r="G24" s="13" t="str">
        <f>Needs!G23</f>
        <v>IMPORTANT</v>
      </c>
      <c r="I24" s="13" t="str">
        <f>Needs!A23</f>
        <v>Can turn sharply</v>
      </c>
      <c r="J24" s="13">
        <f>Needs!D23</f>
        <v>115</v>
      </c>
      <c r="K24" s="13" t="str">
        <f>Needs!H23</f>
        <v>IMPORTANT</v>
      </c>
    </row>
    <row r="25" spans="1:11" x14ac:dyDescent="0.35">
      <c r="A25" s="13" t="str">
        <f>Needs!A24</f>
        <v>Light weight</v>
      </c>
      <c r="B25" s="13">
        <f>Needs!B24</f>
        <v>115</v>
      </c>
      <c r="C25" s="13" t="str">
        <f>Needs!F24</f>
        <v>IMPORTANT</v>
      </c>
      <c r="E25" s="13" t="str">
        <f>Needs!A24</f>
        <v>Light weight</v>
      </c>
      <c r="F25" s="13">
        <f>Needs!C24</f>
        <v>121</v>
      </c>
      <c r="G25" s="13" t="str">
        <f>Needs!G24</f>
        <v>IMPORTANT</v>
      </c>
      <c r="I25" s="13" t="str">
        <f>Needs!A24</f>
        <v>Light weight</v>
      </c>
      <c r="J25" s="13">
        <f>Needs!D24</f>
        <v>133</v>
      </c>
      <c r="K25" s="13" t="str">
        <f>Needs!H24</f>
        <v>IMPORTANT</v>
      </c>
    </row>
    <row r="26" spans="1:11" x14ac:dyDescent="0.35">
      <c r="A26" s="13" t="str">
        <f>Needs!A25</f>
        <v>High visibility</v>
      </c>
      <c r="B26" s="13">
        <f>Needs!B25</f>
        <v>117</v>
      </c>
      <c r="C26" s="13" t="str">
        <f>Needs!F25</f>
        <v>IMPORTANT</v>
      </c>
      <c r="E26" s="13" t="str">
        <f>Needs!A25</f>
        <v>High visibility</v>
      </c>
      <c r="F26" s="13">
        <f>Needs!C25</f>
        <v>103</v>
      </c>
      <c r="G26" s="13" t="str">
        <f>Needs!G25</f>
        <v/>
      </c>
      <c r="I26" s="13" t="str">
        <f>Needs!A25</f>
        <v>High visibility</v>
      </c>
      <c r="J26" s="13">
        <f>Needs!D25</f>
        <v>119</v>
      </c>
      <c r="K26" s="13" t="str">
        <f>Needs!H25</f>
        <v>IMPORTANT</v>
      </c>
    </row>
    <row r="27" spans="1:11" x14ac:dyDescent="0.35">
      <c r="A27" s="13" t="str">
        <f>Needs!A26</f>
        <v>Easily handles change in incline</v>
      </c>
      <c r="B27" s="13">
        <f>Needs!B26</f>
        <v>107</v>
      </c>
      <c r="C27" s="13" t="str">
        <f>Needs!F26</f>
        <v/>
      </c>
      <c r="E27" s="13" t="str">
        <f>Needs!A26</f>
        <v>Easily handles change in incline</v>
      </c>
      <c r="F27" s="13">
        <f>Needs!C26</f>
        <v>131</v>
      </c>
      <c r="G27" s="13" t="str">
        <f>Needs!G26</f>
        <v>IMPORTANT</v>
      </c>
      <c r="I27" s="13" t="str">
        <f>Needs!A26</f>
        <v>Easily handles change in incline</v>
      </c>
      <c r="J27" s="13">
        <f>Needs!D26</f>
        <v>113</v>
      </c>
      <c r="K27" s="13" t="str">
        <f>Needs!H26</f>
        <v>IMPORTANT</v>
      </c>
    </row>
    <row r="28" spans="1:11" x14ac:dyDescent="0.35">
      <c r="A28" s="13" t="str">
        <f>Needs!A27</f>
        <v>Speed</v>
      </c>
      <c r="B28" s="13">
        <f>Needs!B27</f>
        <v>110</v>
      </c>
      <c r="C28" s="13" t="str">
        <f>Needs!F27</f>
        <v>IMPORTANT</v>
      </c>
      <c r="E28" s="13" t="str">
        <f>Needs!A27</f>
        <v>Speed</v>
      </c>
      <c r="F28" s="13">
        <f>Needs!C27</f>
        <v>109</v>
      </c>
      <c r="G28" s="13" t="str">
        <f>Needs!G27</f>
        <v/>
      </c>
      <c r="I28" s="13" t="str">
        <f>Needs!A27</f>
        <v>Speed</v>
      </c>
      <c r="J28" s="13">
        <f>Needs!D27</f>
        <v>134</v>
      </c>
      <c r="K28" s="13" t="str">
        <f>Needs!H27</f>
        <v>IMPORTANT</v>
      </c>
    </row>
    <row r="29" spans="1:11" x14ac:dyDescent="0.35">
      <c r="A29" s="13" t="str">
        <f>Needs!A28</f>
        <v>Shifts smoothly</v>
      </c>
      <c r="B29" s="13">
        <f>Needs!B28</f>
        <v>118</v>
      </c>
      <c r="C29" s="13" t="str">
        <f>Needs!F28</f>
        <v>IMPORTANT</v>
      </c>
      <c r="E29" s="13" t="str">
        <f>Needs!A28</f>
        <v>Shifts smoothly</v>
      </c>
      <c r="F29" s="13">
        <f>Needs!C28</f>
        <v>118</v>
      </c>
      <c r="G29" s="13" t="str">
        <f>Needs!G28</f>
        <v>IMPORTANT</v>
      </c>
      <c r="I29" s="13" t="str">
        <f>Needs!A28</f>
        <v>Shifts smoothly</v>
      </c>
      <c r="J29" s="13">
        <f>Needs!D28</f>
        <v>118</v>
      </c>
      <c r="K29" s="13" t="str">
        <f>Needs!H28</f>
        <v>IMPORTANT</v>
      </c>
    </row>
    <row r="30" spans="1:11" x14ac:dyDescent="0.35">
      <c r="A30" s="13" t="str">
        <f>Needs!A29</f>
        <v>Provides competitive advantage</v>
      </c>
      <c r="B30" s="13">
        <f>Needs!B29</f>
        <v>98</v>
      </c>
      <c r="C30" s="13" t="str">
        <f>Needs!F29</f>
        <v>CAUTION</v>
      </c>
      <c r="E30" s="13" t="str">
        <f>Needs!A29</f>
        <v>Provides competitive advantage</v>
      </c>
      <c r="F30" s="13">
        <f>Needs!C29</f>
        <v>117</v>
      </c>
      <c r="G30" s="13" t="str">
        <f>Needs!G29</f>
        <v>IMPORTANT</v>
      </c>
      <c r="I30" s="13" t="str">
        <f>Needs!A29</f>
        <v>Provides competitive advantage</v>
      </c>
      <c r="J30" s="13">
        <f>Needs!D29</f>
        <v>124</v>
      </c>
      <c r="K30" s="13" t="str">
        <f>Needs!H29</f>
        <v>IMPORTANT</v>
      </c>
    </row>
    <row r="31" spans="1:11" x14ac:dyDescent="0.35">
      <c r="A31" s="13" t="str">
        <f>Needs!A30</f>
        <v>Aerodynamic</v>
      </c>
      <c r="B31" s="13">
        <f>Needs!B30</f>
        <v>80</v>
      </c>
      <c r="C31" s="13" t="str">
        <f>Needs!F30</f>
        <v>CAUTION</v>
      </c>
      <c r="E31" s="13" t="str">
        <f>Needs!A30</f>
        <v>Aerodynamic</v>
      </c>
      <c r="F31" s="13">
        <f>Needs!C30</f>
        <v>88</v>
      </c>
      <c r="G31" s="13" t="str">
        <f>Needs!G30</f>
        <v>CAUTION</v>
      </c>
      <c r="I31" s="13" t="str">
        <f>Needs!A30</f>
        <v>Aerodynamic</v>
      </c>
      <c r="J31" s="13">
        <f>Needs!D30</f>
        <v>122</v>
      </c>
      <c r="K31" s="13" t="str">
        <f>Needs!H30</f>
        <v>IMPORTANT</v>
      </c>
    </row>
    <row r="32" spans="1:11" x14ac:dyDescent="0.35">
      <c r="A32" s="13" t="str">
        <f>Needs!A31</f>
        <v>Rider expertise required</v>
      </c>
      <c r="B32" s="13">
        <f>Needs!B31</f>
        <v>103</v>
      </c>
      <c r="C32" s="13" t="str">
        <f>Needs!F31</f>
        <v/>
      </c>
      <c r="E32" s="13" t="str">
        <f>Needs!A31</f>
        <v>Rider expertise required</v>
      </c>
      <c r="F32" s="13">
        <f>Needs!C31</f>
        <v>123</v>
      </c>
      <c r="G32" s="13" t="str">
        <f>Needs!G31</f>
        <v>IMPORTANT</v>
      </c>
      <c r="I32" s="13" t="str">
        <f>Needs!A31</f>
        <v>Rider expertise required</v>
      </c>
      <c r="J32" s="13">
        <f>Needs!D31</f>
        <v>126</v>
      </c>
      <c r="K32" s="13" t="str">
        <f>Needs!H31</f>
        <v>IMPORTANT</v>
      </c>
    </row>
    <row r="33" spans="1:11" x14ac:dyDescent="0.35">
      <c r="A33" s="13" t="str">
        <f>Needs!A32</f>
        <v>Status symbol/exclusivity</v>
      </c>
      <c r="B33" s="13">
        <f>Needs!B32</f>
        <v>111</v>
      </c>
      <c r="C33" s="13" t="str">
        <f>Needs!F32</f>
        <v>IMPORTANT</v>
      </c>
      <c r="E33" s="13" t="str">
        <f>Needs!A32</f>
        <v>Status symbol/exclusivity</v>
      </c>
      <c r="F33" s="13">
        <f>Needs!C32</f>
        <v>121</v>
      </c>
      <c r="G33" s="13" t="str">
        <f>Needs!G32</f>
        <v>IMPORTANT</v>
      </c>
      <c r="I33" s="13" t="str">
        <f>Needs!A32</f>
        <v>Status symbol/exclusivity</v>
      </c>
      <c r="J33" s="13">
        <f>Needs!D32</f>
        <v>116</v>
      </c>
      <c r="K33" s="13" t="str">
        <f>Needs!H32</f>
        <v>IMPORTANT</v>
      </c>
    </row>
    <row r="34" spans="1:11" x14ac:dyDescent="0.35">
      <c r="A34" s="13" t="str">
        <f>Needs!A33</f>
        <v>Navigation assistance</v>
      </c>
      <c r="B34" s="13">
        <f>Needs!B33</f>
        <v>115</v>
      </c>
      <c r="C34" s="13" t="str">
        <f>Needs!F33</f>
        <v>IMPORTANT</v>
      </c>
      <c r="E34" s="13" t="str">
        <f>Needs!A33</f>
        <v>Navigation assistance</v>
      </c>
      <c r="F34" s="13">
        <f>Needs!C33</f>
        <v>117</v>
      </c>
      <c r="G34" s="13" t="str">
        <f>Needs!G33</f>
        <v>IMPORTANT</v>
      </c>
      <c r="I34" s="13" t="str">
        <f>Needs!A33</f>
        <v>Navigation assistance</v>
      </c>
      <c r="J34" s="13">
        <f>Needs!D33</f>
        <v>118</v>
      </c>
      <c r="K34" s="13" t="str">
        <f>Needs!H33</f>
        <v>IMPORTANT</v>
      </c>
    </row>
    <row r="35" spans="1:11" x14ac:dyDescent="0.35">
      <c r="A35" s="13" t="str">
        <f>Needs!A34</f>
        <v>Soften the impact of rough terrain</v>
      </c>
      <c r="B35" s="13">
        <f>Needs!B34</f>
        <v>116</v>
      </c>
      <c r="C35" s="13" t="str">
        <f>Needs!F34</f>
        <v>IMPORTANT</v>
      </c>
      <c r="E35" s="13" t="str">
        <f>Needs!A34</f>
        <v>Soften the impact of rough terrain</v>
      </c>
      <c r="F35" s="13">
        <f>Needs!C34</f>
        <v>124</v>
      </c>
      <c r="G35" s="13" t="str">
        <f>Needs!G34</f>
        <v>IMPORTANT</v>
      </c>
      <c r="I35" s="13" t="str">
        <f>Needs!A34</f>
        <v>Soften the impact of rough terrain</v>
      </c>
      <c r="J35" s="13">
        <f>Needs!D34</f>
        <v>90</v>
      </c>
      <c r="K35" s="13" t="str">
        <f>Needs!H34</f>
        <v>CAUTION</v>
      </c>
    </row>
    <row r="36" spans="1:11" x14ac:dyDescent="0.35">
      <c r="A36" s="26" t="str">
        <f>Needs!A35</f>
        <v>Easy to navigate on web site</v>
      </c>
      <c r="B36" s="13">
        <f>Needs!B35</f>
        <v>128</v>
      </c>
      <c r="C36" s="13" t="str">
        <f>Needs!F35</f>
        <v>IMPORTANT</v>
      </c>
      <c r="E36" s="26" t="str">
        <f>Needs!A35</f>
        <v>Easy to navigate on web site</v>
      </c>
      <c r="F36" s="13">
        <f>Needs!C35</f>
        <v>118</v>
      </c>
      <c r="G36" s="13" t="str">
        <f>Needs!G35</f>
        <v>IMPORTANT</v>
      </c>
      <c r="I36" s="26" t="str">
        <f>Needs!A35</f>
        <v>Easy to navigate on web site</v>
      </c>
      <c r="J36" s="13">
        <f>Needs!D35</f>
        <v>123</v>
      </c>
      <c r="K36" s="13" t="str">
        <f>Needs!H35</f>
        <v>IMPORTANT</v>
      </c>
    </row>
    <row r="37" spans="1:11" x14ac:dyDescent="0.35">
      <c r="A37" s="26" t="str">
        <f>Needs!A36</f>
        <v>Security of my credit card/identity</v>
      </c>
      <c r="B37" s="13">
        <f>Needs!B36</f>
        <v>135</v>
      </c>
      <c r="C37" s="13" t="str">
        <f>Needs!F36</f>
        <v>IMPORTANT</v>
      </c>
      <c r="E37" s="26" t="str">
        <f>Needs!A36</f>
        <v>Security of my credit card/identity</v>
      </c>
      <c r="F37" s="13">
        <f>Needs!C36</f>
        <v>123</v>
      </c>
      <c r="G37" s="13" t="str">
        <f>Needs!G36</f>
        <v>IMPORTANT</v>
      </c>
      <c r="I37" s="26" t="str">
        <f>Needs!A36</f>
        <v>Security of my credit card/identity</v>
      </c>
      <c r="J37" s="13">
        <f>Needs!D36</f>
        <v>124</v>
      </c>
      <c r="K37" s="13" t="str">
        <f>Needs!H36</f>
        <v>IMPORTANT</v>
      </c>
    </row>
    <row r="38" spans="1:11" x14ac:dyDescent="0.35">
      <c r="A38" s="26" t="str">
        <f>Needs!A37</f>
        <v>Likes to buy on the web</v>
      </c>
      <c r="B38" s="13">
        <f>Needs!B37</f>
        <v>121</v>
      </c>
      <c r="C38" s="13" t="str">
        <f>Needs!F37</f>
        <v>IMPORTANT</v>
      </c>
      <c r="E38" s="26" t="str">
        <f>Needs!A37</f>
        <v>Likes to buy on the web</v>
      </c>
      <c r="F38" s="13">
        <f>Needs!C37</f>
        <v>122</v>
      </c>
      <c r="G38" s="13" t="str">
        <f>Needs!G37</f>
        <v>IMPORTANT</v>
      </c>
      <c r="I38" s="26" t="str">
        <f>Needs!A37</f>
        <v>Likes to buy on the web</v>
      </c>
      <c r="J38" s="13">
        <f>Needs!D37</f>
        <v>114</v>
      </c>
      <c r="K38" s="13" t="str">
        <f>Needs!H37</f>
        <v>IMPORTANT</v>
      </c>
    </row>
    <row r="39" spans="1:11" x14ac:dyDescent="0.35">
      <c r="A39" s="26" t="str">
        <f>Needs!A38</f>
        <v>Wants human sales reps/support</v>
      </c>
      <c r="B39" s="13">
        <f>Needs!B38</f>
        <v>133</v>
      </c>
      <c r="C39" s="13" t="str">
        <f>Needs!F38</f>
        <v>IMPORTANT</v>
      </c>
      <c r="E39" s="26" t="str">
        <f>Needs!A38</f>
        <v>Wants human sales reps/support</v>
      </c>
      <c r="F39" s="13">
        <f>Needs!C38</f>
        <v>122</v>
      </c>
      <c r="G39" s="13" t="str">
        <f>Needs!G38</f>
        <v>IMPORTANT</v>
      </c>
      <c r="I39" s="26" t="str">
        <f>Needs!A38</f>
        <v>Wants human sales reps/support</v>
      </c>
      <c r="J39" s="13">
        <f>Needs!D38</f>
        <v>118</v>
      </c>
      <c r="K39" s="13" t="str">
        <f>Needs!H38</f>
        <v>IMPORTANT</v>
      </c>
    </row>
    <row r="40" spans="1:11" x14ac:dyDescent="0.35">
      <c r="A40" s="26" t="str">
        <f>Needs!A39</f>
        <v>Able to track my purchase</v>
      </c>
      <c r="B40" s="13">
        <f>Needs!B39</f>
        <v>119</v>
      </c>
      <c r="C40" s="13" t="str">
        <f>Needs!F39</f>
        <v>IMPORTANT</v>
      </c>
      <c r="E40" s="26" t="str">
        <f>Needs!A39</f>
        <v>Able to track my purchase</v>
      </c>
      <c r="F40" s="13">
        <f>Needs!C39</f>
        <v>124</v>
      </c>
      <c r="G40" s="13" t="str">
        <f>Needs!G39</f>
        <v>IMPORTANT</v>
      </c>
      <c r="I40" s="26" t="str">
        <f>Needs!A39</f>
        <v>Able to track my purchase</v>
      </c>
      <c r="J40" s="13">
        <f>Needs!D39</f>
        <v>115</v>
      </c>
      <c r="K40" s="13" t="str">
        <f>Needs!H39</f>
        <v>IMPORTANT</v>
      </c>
    </row>
    <row r="41" spans="1:11" x14ac:dyDescent="0.35">
      <c r="A41" s="26" t="str">
        <f>Needs!A40</f>
        <v>Easy to make purchase on web</v>
      </c>
      <c r="B41" s="13">
        <f>Needs!B40</f>
        <v>127</v>
      </c>
      <c r="C41" s="13" t="str">
        <f>Needs!F40</f>
        <v>IMPORTANT</v>
      </c>
      <c r="E41" s="26" t="str">
        <f>Needs!A40</f>
        <v>Easy to make purchase on web</v>
      </c>
      <c r="F41" s="13">
        <f>Needs!C40</f>
        <v>113</v>
      </c>
      <c r="G41" s="13" t="str">
        <f>Needs!G40</f>
        <v>IMPORTANT</v>
      </c>
      <c r="I41" s="26" t="str">
        <f>Needs!A40</f>
        <v>Easy to make purchase on web</v>
      </c>
      <c r="J41" s="13">
        <f>Needs!D40</f>
        <v>119</v>
      </c>
      <c r="K41" s="13" t="str">
        <f>Needs!H40</f>
        <v>IMPORTANT</v>
      </c>
    </row>
  </sheetData>
  <conditionalFormatting sqref="B6:B41">
    <cfRule type="colorScale" priority="3">
      <colorScale>
        <cfvo type="percentile" val="75"/>
        <cfvo type="percentile" val="80"/>
        <cfvo type="max"/>
        <color theme="0"/>
        <color rgb="FFFFEB84"/>
        <color rgb="FFFFC000"/>
      </colorScale>
    </cfRule>
  </conditionalFormatting>
  <conditionalFormatting sqref="C1:C1048576 G1:G1048576 K1:K1048576">
    <cfRule type="containsText" dxfId="1" priority="4" operator="containsText" text="IMPORTANT">
      <formula>NOT(ISERROR(SEARCH("IMPORTANT",C1)))</formula>
    </cfRule>
    <cfRule type="containsText" dxfId="0" priority="5" operator="containsText" text="CAUTION">
      <formula>NOT(ISERROR(SEARCH("CAUTION",C1)))</formula>
    </cfRule>
  </conditionalFormatting>
  <conditionalFormatting sqref="F6:F41">
    <cfRule type="colorScale" priority="1">
      <colorScale>
        <cfvo type="percentile" val="75"/>
        <cfvo type="percentile" val="80"/>
        <cfvo type="max"/>
        <color theme="0"/>
        <color rgb="FFFFEB84"/>
        <color rgb="FFFFC000"/>
      </colorScale>
    </cfRule>
  </conditionalFormatting>
  <conditionalFormatting sqref="J6:J41">
    <cfRule type="colorScale" priority="2">
      <colorScale>
        <cfvo type="percentile" val="75"/>
        <cfvo type="percentile" val="80"/>
        <cfvo type="max"/>
        <color theme="0"/>
        <color rgb="FFFFEB84"/>
        <color rgb="FFFFC00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9"/>
  <sheetViews>
    <sheetView workbookViewId="0">
      <selection activeCell="D20" sqref="D20"/>
    </sheetView>
  </sheetViews>
  <sheetFormatPr defaultRowHeight="14.5" x14ac:dyDescent="0.35"/>
  <cols>
    <col min="1" max="1" width="14" customWidth="1"/>
    <col min="2" max="5" width="16" customWidth="1"/>
    <col min="6" max="6" width="12" customWidth="1"/>
    <col min="7" max="7" width="40" customWidth="1"/>
    <col min="8" max="8" width="12" customWidth="1"/>
  </cols>
  <sheetData>
    <row r="1" spans="1:8" ht="18.5" customHeight="1" x14ac:dyDescent="0.45">
      <c r="A1" s="4" t="s">
        <v>0</v>
      </c>
    </row>
    <row r="2" spans="1:8" x14ac:dyDescent="0.35">
      <c r="A2" s="1" t="s">
        <v>1</v>
      </c>
    </row>
    <row r="4" spans="1:8" ht="29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5">
      <c r="A5" s="7" t="s">
        <v>10</v>
      </c>
      <c r="B5" s="7" t="s">
        <v>11</v>
      </c>
      <c r="C5" s="6"/>
      <c r="D5" s="6"/>
      <c r="E5" s="6"/>
      <c r="F5" s="7" t="str">
        <f t="shared" ref="F5:F19" si="0">IF(COUNT(C5:E5)&lt;3,"",C5+E5-D5)</f>
        <v/>
      </c>
      <c r="G5" s="5"/>
      <c r="H5" s="6"/>
    </row>
    <row r="6" spans="1:8" x14ac:dyDescent="0.35">
      <c r="A6" s="7" t="s">
        <v>10</v>
      </c>
      <c r="B6" s="7" t="s">
        <v>12</v>
      </c>
      <c r="C6" s="6"/>
      <c r="D6" s="6"/>
      <c r="E6" s="6"/>
      <c r="F6" s="7" t="str">
        <f t="shared" si="0"/>
        <v/>
      </c>
      <c r="G6" s="5"/>
      <c r="H6" s="6"/>
    </row>
    <row r="7" spans="1:8" x14ac:dyDescent="0.35">
      <c r="A7" s="7" t="s">
        <v>10</v>
      </c>
      <c r="B7" s="7" t="s">
        <v>13</v>
      </c>
      <c r="C7" s="6"/>
      <c r="D7" s="6"/>
      <c r="E7" s="6"/>
      <c r="F7" s="7" t="str">
        <f t="shared" si="0"/>
        <v/>
      </c>
      <c r="G7" s="5"/>
      <c r="H7" s="6"/>
    </row>
    <row r="8" spans="1:8" x14ac:dyDescent="0.35">
      <c r="A8" s="7" t="s">
        <v>10</v>
      </c>
      <c r="B8" s="7" t="s">
        <v>14</v>
      </c>
      <c r="C8" s="6"/>
      <c r="D8" s="6"/>
      <c r="E8" s="6"/>
      <c r="F8" s="7" t="str">
        <f t="shared" si="0"/>
        <v/>
      </c>
      <c r="G8" s="5"/>
      <c r="H8" s="6"/>
    </row>
    <row r="9" spans="1:8" x14ac:dyDescent="0.35">
      <c r="A9" s="7" t="s">
        <v>10</v>
      </c>
      <c r="B9" s="7" t="s">
        <v>15</v>
      </c>
      <c r="C9" s="6"/>
      <c r="D9" s="6"/>
      <c r="E9" s="6"/>
      <c r="F9" s="7" t="str">
        <f t="shared" si="0"/>
        <v/>
      </c>
      <c r="G9" s="5"/>
      <c r="H9" s="6"/>
    </row>
    <row r="10" spans="1:8" x14ac:dyDescent="0.35">
      <c r="A10" s="7" t="s">
        <v>16</v>
      </c>
      <c r="B10" s="7" t="s">
        <v>11</v>
      </c>
      <c r="C10" s="6"/>
      <c r="D10" s="6"/>
      <c r="E10" s="6"/>
      <c r="F10" s="7" t="str">
        <f t="shared" si="0"/>
        <v/>
      </c>
      <c r="G10" s="5"/>
      <c r="H10" s="6"/>
    </row>
    <row r="11" spans="1:8" x14ac:dyDescent="0.35">
      <c r="A11" s="7" t="s">
        <v>16</v>
      </c>
      <c r="B11" s="7" t="s">
        <v>12</v>
      </c>
      <c r="C11" s="6">
        <v>5</v>
      </c>
      <c r="D11" s="6"/>
      <c r="E11" s="6"/>
      <c r="F11" s="7" t="str">
        <f t="shared" si="0"/>
        <v/>
      </c>
      <c r="G11" s="5"/>
      <c r="H11" s="6"/>
    </row>
    <row r="12" spans="1:8" x14ac:dyDescent="0.35">
      <c r="A12" s="7" t="s">
        <v>16</v>
      </c>
      <c r="B12" s="7" t="s">
        <v>13</v>
      </c>
      <c r="C12" s="6"/>
      <c r="D12" s="6"/>
      <c r="E12" s="6"/>
      <c r="F12" s="7" t="str">
        <f t="shared" si="0"/>
        <v/>
      </c>
      <c r="G12" s="5"/>
      <c r="H12" s="6"/>
    </row>
    <row r="13" spans="1:8" x14ac:dyDescent="0.35">
      <c r="A13" s="7" t="s">
        <v>16</v>
      </c>
      <c r="B13" s="7" t="s">
        <v>14</v>
      </c>
      <c r="C13" s="6"/>
      <c r="D13" s="6"/>
      <c r="E13" s="6"/>
      <c r="F13" s="7" t="str">
        <f t="shared" si="0"/>
        <v/>
      </c>
      <c r="G13" s="5"/>
      <c r="H13" s="6"/>
    </row>
    <row r="14" spans="1:8" x14ac:dyDescent="0.35">
      <c r="A14" s="7" t="s">
        <v>16</v>
      </c>
      <c r="B14" s="7" t="s">
        <v>15</v>
      </c>
      <c r="C14" s="6">
        <v>5</v>
      </c>
      <c r="D14" s="6"/>
      <c r="E14" s="6"/>
      <c r="F14" s="7" t="str">
        <f t="shared" si="0"/>
        <v/>
      </c>
      <c r="G14" s="5"/>
      <c r="H14" s="6"/>
    </row>
    <row r="15" spans="1:8" x14ac:dyDescent="0.35">
      <c r="A15" s="7" t="s">
        <v>17</v>
      </c>
      <c r="B15" s="7" t="s">
        <v>11</v>
      </c>
      <c r="C15" s="6"/>
      <c r="D15" s="6"/>
      <c r="E15" s="6"/>
      <c r="F15" s="7" t="str">
        <f t="shared" si="0"/>
        <v/>
      </c>
      <c r="G15" s="5"/>
      <c r="H15" s="6"/>
    </row>
    <row r="16" spans="1:8" x14ac:dyDescent="0.35">
      <c r="A16" s="7" t="s">
        <v>17</v>
      </c>
      <c r="B16" s="7" t="s">
        <v>12</v>
      </c>
      <c r="C16" s="6"/>
      <c r="D16" s="6"/>
      <c r="E16" s="6"/>
      <c r="F16" s="7" t="str">
        <f t="shared" si="0"/>
        <v/>
      </c>
      <c r="G16" s="5"/>
      <c r="H16" s="6"/>
    </row>
    <row r="17" spans="1:8" x14ac:dyDescent="0.35">
      <c r="A17" s="7" t="s">
        <v>17</v>
      </c>
      <c r="B17" s="7" t="s">
        <v>13</v>
      </c>
      <c r="C17" s="6"/>
      <c r="D17" s="6"/>
      <c r="E17" s="6"/>
      <c r="F17" s="7" t="str">
        <f t="shared" si="0"/>
        <v/>
      </c>
      <c r="G17" s="5"/>
      <c r="H17" s="6"/>
    </row>
    <row r="18" spans="1:8" x14ac:dyDescent="0.35">
      <c r="A18" s="7" t="s">
        <v>17</v>
      </c>
      <c r="B18" s="7" t="s">
        <v>14</v>
      </c>
      <c r="C18" s="6"/>
      <c r="D18" s="6"/>
      <c r="E18" s="6"/>
      <c r="F18" s="7" t="str">
        <f t="shared" si="0"/>
        <v/>
      </c>
      <c r="G18" s="5"/>
      <c r="H18" s="6"/>
    </row>
    <row r="19" spans="1:8" x14ac:dyDescent="0.35">
      <c r="A19" s="7" t="s">
        <v>17</v>
      </c>
      <c r="B19" s="7" t="s">
        <v>15</v>
      </c>
      <c r="C19" s="6"/>
      <c r="D19" s="6"/>
      <c r="E19" s="6"/>
      <c r="F19" s="7" t="str">
        <f t="shared" si="0"/>
        <v/>
      </c>
      <c r="G19" s="5"/>
      <c r="H19" s="6"/>
    </row>
  </sheetData>
  <dataValidations count="1">
    <dataValidation type="whole" allowBlank="1" errorTitle="Invalid score" error="Enter 1–5" sqref="C5:E19" xr:uid="{00000000-0002-0000-0900-000000000000}">
      <formula1>1</formula1>
      <formula2>5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5"/>
  <sheetViews>
    <sheetView workbookViewId="0"/>
  </sheetViews>
  <sheetFormatPr defaultRowHeight="14.5" x14ac:dyDescent="0.35"/>
  <cols>
    <col min="1" max="1" width="18" customWidth="1"/>
    <col min="2" max="2" width="10" customWidth="1"/>
    <col min="3" max="3" width="16" customWidth="1"/>
    <col min="4" max="4" width="18" customWidth="1"/>
    <col min="5" max="5" width="22" customWidth="1"/>
    <col min="6" max="6" width="20" customWidth="1"/>
    <col min="7" max="7" width="14" customWidth="1"/>
    <col min="8" max="8" width="18" customWidth="1"/>
    <col min="9" max="10" width="28" customWidth="1"/>
  </cols>
  <sheetData>
    <row r="1" spans="1:10" ht="18.5" customHeight="1" x14ac:dyDescent="0.45">
      <c r="A1" s="4" t="s">
        <v>261</v>
      </c>
    </row>
    <row r="2" spans="1:10" x14ac:dyDescent="0.35">
      <c r="A2" s="1" t="s">
        <v>262</v>
      </c>
    </row>
    <row r="4" spans="1:10" ht="29" customHeight="1" x14ac:dyDescent="0.35">
      <c r="A4" s="2" t="s">
        <v>263</v>
      </c>
      <c r="B4" s="2" t="s">
        <v>264</v>
      </c>
      <c r="C4" s="2" t="s">
        <v>265</v>
      </c>
      <c r="D4" s="2" t="s">
        <v>266</v>
      </c>
      <c r="E4" s="2" t="s">
        <v>267</v>
      </c>
      <c r="F4" s="2" t="s">
        <v>268</v>
      </c>
      <c r="G4" s="2" t="s">
        <v>269</v>
      </c>
      <c r="H4" s="2" t="s">
        <v>270</v>
      </c>
      <c r="I4" s="2" t="s">
        <v>271</v>
      </c>
      <c r="J4" s="2" t="s">
        <v>272</v>
      </c>
    </row>
    <row r="5" spans="1:10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7" spans="1:10" x14ac:dyDescent="0.35">
      <c r="A27" s="14" t="s">
        <v>273</v>
      </c>
    </row>
    <row r="28" spans="1:10" ht="29" customHeight="1" x14ac:dyDescent="0.35">
      <c r="A28" s="2" t="s">
        <v>264</v>
      </c>
      <c r="B28" s="2" t="s">
        <v>274</v>
      </c>
      <c r="C28" s="2" t="s">
        <v>275</v>
      </c>
      <c r="D28" s="2" t="s">
        <v>276</v>
      </c>
      <c r="E28" s="2" t="s">
        <v>277</v>
      </c>
    </row>
    <row r="29" spans="1:10" x14ac:dyDescent="0.35">
      <c r="A29" s="11"/>
      <c r="B29" s="11"/>
      <c r="C29" s="11"/>
      <c r="D29" s="11"/>
      <c r="E29" s="11"/>
    </row>
    <row r="30" spans="1:10" x14ac:dyDescent="0.35">
      <c r="A30" s="11"/>
      <c r="B30" s="11"/>
      <c r="C30" s="11"/>
      <c r="D30" s="11"/>
      <c r="E30" s="11"/>
    </row>
    <row r="31" spans="1:10" x14ac:dyDescent="0.35">
      <c r="A31" s="11"/>
      <c r="B31" s="11"/>
      <c r="C31" s="11"/>
      <c r="D31" s="11"/>
      <c r="E31" s="11"/>
    </row>
    <row r="32" spans="1:10" x14ac:dyDescent="0.35">
      <c r="A32" s="11"/>
      <c r="B32" s="11"/>
      <c r="C32" s="11"/>
      <c r="D32" s="11"/>
      <c r="E32" s="11"/>
    </row>
    <row r="33" spans="1:5" x14ac:dyDescent="0.35">
      <c r="A33" s="11"/>
      <c r="B33" s="11"/>
      <c r="C33" s="11"/>
      <c r="D33" s="11"/>
      <c r="E33" s="11"/>
    </row>
    <row r="34" spans="1:5" x14ac:dyDescent="0.35">
      <c r="A34" s="11"/>
      <c r="B34" s="11"/>
      <c r="C34" s="11"/>
      <c r="D34" s="11"/>
      <c r="E34" s="11"/>
    </row>
    <row r="35" spans="1:5" x14ac:dyDescent="0.35">
      <c r="A35" s="11"/>
      <c r="B35" s="11"/>
      <c r="C35" s="11"/>
      <c r="D35" s="11"/>
      <c r="E35" s="1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"/>
  <sheetViews>
    <sheetView workbookViewId="0">
      <selection activeCell="E14" sqref="E14"/>
    </sheetView>
  </sheetViews>
  <sheetFormatPr defaultRowHeight="14.5" x14ac:dyDescent="0.35"/>
  <cols>
    <col min="1" max="1" width="22" customWidth="1"/>
    <col min="2" max="2" width="16" customWidth="1"/>
    <col min="3" max="3" width="14" customWidth="1"/>
    <col min="4" max="6" width="12" customWidth="1"/>
    <col min="7" max="7" width="14" customWidth="1"/>
  </cols>
  <sheetData>
    <row r="1" spans="1:4" ht="18.5" customHeight="1" x14ac:dyDescent="0.45">
      <c r="A1" s="36" t="s">
        <v>278</v>
      </c>
    </row>
    <row r="2" spans="1:4" x14ac:dyDescent="0.35">
      <c r="A2" s="35" t="s">
        <v>279</v>
      </c>
    </row>
    <row r="4" spans="1:4" x14ac:dyDescent="0.35">
      <c r="A4" s="43" t="s">
        <v>280</v>
      </c>
    </row>
    <row r="5" spans="1:4" ht="58" customHeight="1" x14ac:dyDescent="0.35">
      <c r="A5" s="29" t="s">
        <v>281</v>
      </c>
      <c r="B5" s="29" t="s">
        <v>282</v>
      </c>
      <c r="C5" s="29" t="s">
        <v>275</v>
      </c>
      <c r="D5" s="29" t="s">
        <v>283</v>
      </c>
    </row>
    <row r="6" spans="1:4" x14ac:dyDescent="0.35">
      <c r="A6" s="31" t="s">
        <v>284</v>
      </c>
      <c r="B6" s="31">
        <v>17000</v>
      </c>
      <c r="C6" s="31">
        <v>17000</v>
      </c>
      <c r="D6" s="31">
        <v>87</v>
      </c>
    </row>
    <row r="7" spans="1:4" x14ac:dyDescent="0.35">
      <c r="A7" s="31" t="s">
        <v>285</v>
      </c>
      <c r="B7" s="31" t="s">
        <v>286</v>
      </c>
      <c r="C7" s="31">
        <v>1700</v>
      </c>
      <c r="D7" s="31">
        <v>84</v>
      </c>
    </row>
    <row r="8" spans="1:4" x14ac:dyDescent="0.35">
      <c r="A8" s="31" t="s">
        <v>287</v>
      </c>
      <c r="B8" s="31" t="s">
        <v>288</v>
      </c>
      <c r="C8" s="31">
        <v>440</v>
      </c>
      <c r="D8" s="31">
        <v>72</v>
      </c>
    </row>
    <row r="9" spans="1:4" x14ac:dyDescent="0.35">
      <c r="A9" s="31" t="s">
        <v>289</v>
      </c>
      <c r="B9" s="31" t="s">
        <v>290</v>
      </c>
      <c r="C9" s="31">
        <v>170</v>
      </c>
      <c r="D9" s="31">
        <v>70</v>
      </c>
    </row>
    <row r="10" spans="1:4" x14ac:dyDescent="0.35">
      <c r="A10" s="44" t="s">
        <v>291</v>
      </c>
      <c r="B10" s="44"/>
      <c r="C10" s="44">
        <v>19310</v>
      </c>
      <c r="D10" s="44"/>
    </row>
    <row r="13" spans="1:4" x14ac:dyDescent="0.35">
      <c r="A13" s="43" t="s">
        <v>292</v>
      </c>
    </row>
    <row r="14" spans="1:4" ht="58" customHeight="1" x14ac:dyDescent="0.35">
      <c r="A14" s="29" t="s">
        <v>281</v>
      </c>
      <c r="B14" s="29" t="s">
        <v>282</v>
      </c>
      <c r="C14" s="29" t="s">
        <v>275</v>
      </c>
      <c r="D14" s="29" t="s">
        <v>283</v>
      </c>
    </row>
    <row r="15" spans="1:4" x14ac:dyDescent="0.35">
      <c r="A15" s="31" t="s">
        <v>284</v>
      </c>
      <c r="B15" s="31">
        <v>14000</v>
      </c>
      <c r="C15" s="31">
        <v>14000</v>
      </c>
      <c r="D15" s="31">
        <v>87</v>
      </c>
    </row>
    <row r="16" spans="1:4" x14ac:dyDescent="0.35">
      <c r="A16" s="31" t="s">
        <v>285</v>
      </c>
      <c r="B16" s="31" t="s">
        <v>286</v>
      </c>
      <c r="C16" s="31">
        <v>1400</v>
      </c>
      <c r="D16" s="31">
        <v>84</v>
      </c>
    </row>
    <row r="17" spans="1:7" x14ac:dyDescent="0.35">
      <c r="A17" s="31" t="s">
        <v>287</v>
      </c>
      <c r="B17" s="31" t="s">
        <v>288</v>
      </c>
      <c r="C17" s="31">
        <v>363</v>
      </c>
      <c r="D17" s="31">
        <v>72</v>
      </c>
    </row>
    <row r="18" spans="1:7" x14ac:dyDescent="0.35">
      <c r="A18" s="31" t="s">
        <v>289</v>
      </c>
      <c r="B18" s="31" t="s">
        <v>293</v>
      </c>
      <c r="C18" s="31">
        <v>280</v>
      </c>
      <c r="D18" s="31">
        <v>70</v>
      </c>
    </row>
    <row r="19" spans="1:7" x14ac:dyDescent="0.35">
      <c r="A19" s="44" t="s">
        <v>291</v>
      </c>
      <c r="B19" s="44"/>
      <c r="C19" s="44">
        <v>16043</v>
      </c>
      <c r="D19" s="44"/>
    </row>
    <row r="22" spans="1:7" x14ac:dyDescent="0.35">
      <c r="A22" s="43" t="s">
        <v>294</v>
      </c>
    </row>
    <row r="23" spans="1:7" x14ac:dyDescent="0.35">
      <c r="A23" s="29" t="s">
        <v>295</v>
      </c>
      <c r="B23" s="29" t="s">
        <v>284</v>
      </c>
      <c r="C23" s="29" t="s">
        <v>296</v>
      </c>
      <c r="D23" s="29" t="s">
        <v>287</v>
      </c>
      <c r="E23" s="29" t="s">
        <v>289</v>
      </c>
      <c r="F23" s="29" t="s">
        <v>297</v>
      </c>
      <c r="G23" s="29" t="s">
        <v>298</v>
      </c>
    </row>
    <row r="24" spans="1:7" x14ac:dyDescent="0.35">
      <c r="A24" s="31" t="s">
        <v>280</v>
      </c>
      <c r="B24" s="42"/>
      <c r="C24" s="42"/>
      <c r="D24" s="42"/>
      <c r="E24" s="42"/>
      <c r="F24" s="42"/>
      <c r="G24" s="42"/>
    </row>
    <row r="25" spans="1:7" x14ac:dyDescent="0.35">
      <c r="A25" s="31" t="s">
        <v>292</v>
      </c>
      <c r="B25" s="42"/>
      <c r="C25" s="42"/>
      <c r="D25" s="42"/>
      <c r="E25" s="42"/>
      <c r="F25" s="42"/>
      <c r="G25" s="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Needs</vt:lpstr>
      <vt:lpstr>Applications</vt:lpstr>
      <vt:lpstr>Price_WTP</vt:lpstr>
      <vt:lpstr>Market_Potential</vt:lpstr>
      <vt:lpstr>Sales_Channel</vt:lpstr>
      <vt:lpstr>Stores_Costs</vt:lpstr>
      <vt:lpstr>Manufacturing</vt:lpstr>
      <vt:lpstr>Needs_Ranked</vt:lpstr>
      <vt:lpstr>Growth_Room</vt:lpstr>
      <vt:lpstr>Competitor_CI</vt:lpstr>
      <vt:lpstr>Comp_Industry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Conger, Kyle E.</cp:lastModifiedBy>
  <dcterms:created xsi:type="dcterms:W3CDTF">2026-08-20T11:55:30Z</dcterms:created>
  <dcterms:modified xsi:type="dcterms:W3CDTF">2026-08-20T13:52:18Z</dcterms:modified>
</cp:coreProperties>
</file>