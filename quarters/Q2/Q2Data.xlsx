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wner\Desktop\MAN6724 Simulation\quarters\Q2\"/>
    </mc:Choice>
  </mc:AlternateContent>
  <xr:revisionPtr revIDLastSave="0" documentId="8_{CF8E654D-E414-40C4-9ED8-643E675EBC28}" xr6:coauthVersionLast="47" xr6:coauthVersionMax="47" xr10:uidLastSave="{00000000-0000-0000-0000-000000000000}"/>
  <bookViews>
    <workbookView xWindow="-110" yWindow="-110" windowWidth="25820" windowHeight="15500" firstSheet="11" activeTab="16" xr2:uid="{00000000-000D-0000-FFFF-FFFF00000000}"/>
  </bookViews>
  <sheets>
    <sheet name="Instructions" sheetId="1" r:id="rId1"/>
    <sheet name="Needs" sheetId="2" r:id="rId2"/>
    <sheet name="Applications" sheetId="3" r:id="rId3"/>
    <sheet name="Price_WTP" sheetId="4" r:id="rId4"/>
    <sheet name="Market_Potential" sheetId="5" r:id="rId5"/>
    <sheet name="Sales_Channel" sheetId="6" r:id="rId6"/>
    <sheet name="Stores_Costs" sheetId="7" r:id="rId7"/>
    <sheet name="Manufacturing" sheetId="8" r:id="rId8"/>
    <sheet name="Production_Sim" sheetId="9" r:id="rId9"/>
    <sheet name="Cost_of_Production" sheetId="10" r:id="rId10"/>
    <sheet name="Demand_Forecast" sheetId="11" r:id="rId11"/>
    <sheet name="Pricing" sheetId="12" r:id="rId12"/>
    <sheet name="Media_Preference" sheetId="13" r:id="rId13"/>
    <sheet name="Web_SEO" sheetId="14" r:id="rId14"/>
    <sheet name="Sales_Ops" sheetId="15" r:id="rId15"/>
    <sheet name="Web_Productivity" sheetId="16" r:id="rId16"/>
    <sheet name="Needs_Ranked" sheetId="17" r:id="rId17"/>
    <sheet name="Growth_Room" sheetId="18" r:id="rId18"/>
    <sheet name="Competitor_CI" sheetId="19" r:id="rId19"/>
    <sheet name="Comp_Industry" sheetId="20" r:id="rId2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9" l="1"/>
  <c r="E63" i="20"/>
  <c r="E62" i="20"/>
  <c r="E61" i="20"/>
  <c r="E60" i="20"/>
  <c r="E59" i="20"/>
  <c r="C52" i="20"/>
  <c r="C51" i="20"/>
  <c r="E51" i="20" s="1"/>
  <c r="E50" i="20"/>
  <c r="E49" i="20"/>
  <c r="C48" i="20"/>
  <c r="E48" i="20" s="1"/>
  <c r="C42" i="20"/>
  <c r="C41" i="20"/>
  <c r="E41" i="20" s="1"/>
  <c r="E40" i="20"/>
  <c r="E39" i="20"/>
  <c r="C38" i="20"/>
  <c r="E38" i="20" s="1"/>
  <c r="F19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6" i="18"/>
  <c r="F5" i="18"/>
  <c r="J41" i="17"/>
  <c r="I41" i="17"/>
  <c r="F41" i="17"/>
  <c r="E41" i="17"/>
  <c r="B41" i="17"/>
  <c r="A41" i="17"/>
  <c r="J40" i="17"/>
  <c r="I40" i="17"/>
  <c r="F40" i="17"/>
  <c r="E40" i="17"/>
  <c r="B40" i="17"/>
  <c r="A40" i="17"/>
  <c r="J39" i="17"/>
  <c r="I39" i="17"/>
  <c r="F39" i="17"/>
  <c r="E39" i="17"/>
  <c r="B39" i="17"/>
  <c r="A39" i="17"/>
  <c r="J38" i="17"/>
  <c r="I38" i="17"/>
  <c r="F38" i="17"/>
  <c r="E38" i="17"/>
  <c r="B38" i="17"/>
  <c r="A38" i="17"/>
  <c r="J37" i="17"/>
  <c r="I37" i="17"/>
  <c r="F37" i="17"/>
  <c r="E37" i="17"/>
  <c r="B37" i="17"/>
  <c r="A37" i="17"/>
  <c r="J36" i="17"/>
  <c r="I36" i="17"/>
  <c r="F36" i="17"/>
  <c r="E36" i="17"/>
  <c r="B36" i="17"/>
  <c r="A36" i="17"/>
  <c r="J35" i="17"/>
  <c r="I35" i="17"/>
  <c r="F35" i="17"/>
  <c r="E35" i="17"/>
  <c r="B35" i="17"/>
  <c r="A35" i="17"/>
  <c r="J34" i="17"/>
  <c r="I34" i="17"/>
  <c r="F34" i="17"/>
  <c r="E34" i="17"/>
  <c r="B34" i="17"/>
  <c r="A34" i="17"/>
  <c r="J33" i="17"/>
  <c r="I33" i="17"/>
  <c r="F33" i="17"/>
  <c r="E33" i="17"/>
  <c r="B33" i="17"/>
  <c r="A33" i="17"/>
  <c r="J32" i="17"/>
  <c r="I32" i="17"/>
  <c r="F32" i="17"/>
  <c r="E32" i="17"/>
  <c r="B32" i="17"/>
  <c r="A32" i="17"/>
  <c r="J31" i="17"/>
  <c r="I31" i="17"/>
  <c r="F31" i="17"/>
  <c r="E31" i="17"/>
  <c r="B31" i="17"/>
  <c r="A31" i="17"/>
  <c r="J30" i="17"/>
  <c r="I30" i="17"/>
  <c r="F30" i="17"/>
  <c r="E30" i="17"/>
  <c r="B30" i="17"/>
  <c r="A30" i="17"/>
  <c r="J29" i="17"/>
  <c r="I29" i="17"/>
  <c r="F29" i="17"/>
  <c r="E29" i="17"/>
  <c r="B29" i="17"/>
  <c r="A29" i="17"/>
  <c r="J28" i="17"/>
  <c r="I28" i="17"/>
  <c r="F28" i="17"/>
  <c r="E28" i="17"/>
  <c r="B28" i="17"/>
  <c r="A28" i="17"/>
  <c r="J27" i="17"/>
  <c r="I27" i="17"/>
  <c r="F27" i="17"/>
  <c r="E27" i="17"/>
  <c r="B27" i="17"/>
  <c r="A27" i="17"/>
  <c r="J26" i="17"/>
  <c r="I26" i="17"/>
  <c r="F26" i="17"/>
  <c r="E26" i="17"/>
  <c r="B26" i="17"/>
  <c r="A26" i="17"/>
  <c r="J25" i="17"/>
  <c r="I25" i="17"/>
  <c r="F25" i="17"/>
  <c r="E25" i="17"/>
  <c r="B25" i="17"/>
  <c r="A25" i="17"/>
  <c r="J24" i="17"/>
  <c r="I24" i="17"/>
  <c r="F24" i="17"/>
  <c r="E24" i="17"/>
  <c r="B24" i="17"/>
  <c r="A24" i="17"/>
  <c r="J23" i="17"/>
  <c r="I23" i="17"/>
  <c r="F23" i="17"/>
  <c r="E23" i="17"/>
  <c r="B23" i="17"/>
  <c r="A23" i="17"/>
  <c r="J22" i="17"/>
  <c r="I22" i="17"/>
  <c r="F22" i="17"/>
  <c r="E22" i="17"/>
  <c r="B22" i="17"/>
  <c r="A22" i="17"/>
  <c r="J21" i="17"/>
  <c r="I21" i="17"/>
  <c r="F21" i="17"/>
  <c r="E21" i="17"/>
  <c r="B21" i="17"/>
  <c r="A21" i="17"/>
  <c r="J20" i="17"/>
  <c r="I20" i="17"/>
  <c r="F20" i="17"/>
  <c r="E20" i="17"/>
  <c r="B20" i="17"/>
  <c r="A20" i="17"/>
  <c r="J19" i="17"/>
  <c r="I19" i="17"/>
  <c r="F19" i="17"/>
  <c r="E19" i="17"/>
  <c r="B19" i="17"/>
  <c r="A19" i="17"/>
  <c r="J18" i="17"/>
  <c r="I18" i="17"/>
  <c r="F18" i="17"/>
  <c r="E18" i="17"/>
  <c r="B18" i="17"/>
  <c r="A18" i="17"/>
  <c r="J17" i="17"/>
  <c r="I17" i="17"/>
  <c r="F17" i="17"/>
  <c r="E17" i="17"/>
  <c r="B17" i="17"/>
  <c r="A17" i="17"/>
  <c r="J16" i="17"/>
  <c r="I16" i="17"/>
  <c r="F16" i="17"/>
  <c r="E16" i="17"/>
  <c r="B16" i="17"/>
  <c r="A16" i="17"/>
  <c r="J15" i="17"/>
  <c r="I15" i="17"/>
  <c r="F15" i="17"/>
  <c r="E15" i="17"/>
  <c r="B15" i="17"/>
  <c r="A15" i="17"/>
  <c r="J14" i="17"/>
  <c r="I14" i="17"/>
  <c r="F14" i="17"/>
  <c r="E14" i="17"/>
  <c r="B14" i="17"/>
  <c r="A14" i="17"/>
  <c r="J13" i="17"/>
  <c r="I13" i="17"/>
  <c r="F13" i="17"/>
  <c r="E13" i="17"/>
  <c r="B13" i="17"/>
  <c r="A13" i="17"/>
  <c r="J12" i="17"/>
  <c r="I12" i="17"/>
  <c r="F12" i="17"/>
  <c r="E12" i="17"/>
  <c r="B12" i="17"/>
  <c r="A12" i="17"/>
  <c r="J11" i="17"/>
  <c r="I11" i="17"/>
  <c r="F11" i="17"/>
  <c r="E11" i="17"/>
  <c r="B11" i="17"/>
  <c r="A11" i="17"/>
  <c r="J10" i="17"/>
  <c r="I10" i="17"/>
  <c r="F10" i="17"/>
  <c r="E10" i="17"/>
  <c r="B10" i="17"/>
  <c r="A10" i="17"/>
  <c r="J9" i="17"/>
  <c r="I9" i="17"/>
  <c r="F9" i="17"/>
  <c r="E9" i="17"/>
  <c r="B9" i="17"/>
  <c r="A9" i="17"/>
  <c r="J8" i="17"/>
  <c r="I8" i="17"/>
  <c r="F8" i="17"/>
  <c r="E8" i="17"/>
  <c r="B8" i="17"/>
  <c r="A8" i="17"/>
  <c r="J7" i="17"/>
  <c r="I7" i="17"/>
  <c r="F7" i="17"/>
  <c r="E7" i="17"/>
  <c r="B7" i="17"/>
  <c r="A7" i="17"/>
  <c r="J6" i="17"/>
  <c r="I6" i="17"/>
  <c r="F6" i="17"/>
  <c r="E6" i="17"/>
  <c r="B6" i="17"/>
  <c r="A6" i="17"/>
  <c r="D8" i="16"/>
  <c r="D7" i="16"/>
  <c r="B91" i="15"/>
  <c r="B86" i="15"/>
  <c r="B85" i="15"/>
  <c r="E55" i="15"/>
  <c r="D50" i="15"/>
  <c r="C50" i="15"/>
  <c r="B50" i="15"/>
  <c r="A50" i="15"/>
  <c r="F33" i="15"/>
  <c r="E33" i="15"/>
  <c r="D33" i="15"/>
  <c r="C33" i="15"/>
  <c r="B33" i="15"/>
  <c r="A33" i="15"/>
  <c r="F32" i="15"/>
  <c r="E32" i="15"/>
  <c r="D32" i="15"/>
  <c r="C32" i="15"/>
  <c r="B32" i="15"/>
  <c r="A32" i="15"/>
  <c r="E31" i="15"/>
  <c r="D31" i="15"/>
  <c r="C31" i="15"/>
  <c r="B31" i="15"/>
  <c r="A31" i="15"/>
  <c r="E30" i="15"/>
  <c r="D30" i="15"/>
  <c r="C30" i="15"/>
  <c r="B30" i="15"/>
  <c r="F30" i="15" s="1"/>
  <c r="A30" i="15"/>
  <c r="B25" i="15"/>
  <c r="B24" i="15"/>
  <c r="I22" i="15"/>
  <c r="H22" i="15"/>
  <c r="I21" i="15"/>
  <c r="H21" i="15"/>
  <c r="I20" i="15"/>
  <c r="I19" i="15"/>
  <c r="H19" i="15"/>
  <c r="F12" i="13"/>
  <c r="E12" i="13"/>
  <c r="F11" i="13"/>
  <c r="E11" i="13"/>
  <c r="F10" i="13"/>
  <c r="E10" i="13"/>
  <c r="F9" i="13"/>
  <c r="E9" i="13"/>
  <c r="F8" i="13"/>
  <c r="E8" i="13"/>
  <c r="F7" i="13"/>
  <c r="E7" i="13"/>
  <c r="F6" i="13"/>
  <c r="E6" i="13"/>
  <c r="B19" i="12"/>
  <c r="B20" i="12" s="1"/>
  <c r="B18" i="12"/>
  <c r="B8" i="12"/>
  <c r="D5" i="12"/>
  <c r="G5" i="12" s="1"/>
  <c r="I34" i="11"/>
  <c r="G34" i="11"/>
  <c r="F34" i="11"/>
  <c r="B34" i="11"/>
  <c r="I33" i="11"/>
  <c r="D33" i="11"/>
  <c r="I32" i="11"/>
  <c r="D32" i="11"/>
  <c r="C32" i="11"/>
  <c r="C27" i="11"/>
  <c r="F19" i="11"/>
  <c r="F18" i="11"/>
  <c r="D9" i="11"/>
  <c r="B9" i="11"/>
  <c r="E7" i="11"/>
  <c r="G7" i="11" s="1"/>
  <c r="B69" i="9"/>
  <c r="B64" i="9"/>
  <c r="B63" i="9"/>
  <c r="B42" i="9"/>
  <c r="B41" i="9"/>
  <c r="B39" i="9"/>
  <c r="B35" i="9"/>
  <c r="B34" i="9"/>
  <c r="F27" i="9"/>
  <c r="E27" i="9"/>
  <c r="D27" i="9"/>
  <c r="B16" i="9"/>
  <c r="B15" i="9"/>
  <c r="C12" i="9"/>
  <c r="B12" i="9"/>
  <c r="C11" i="9"/>
  <c r="B11" i="9"/>
  <c r="F7" i="9"/>
  <c r="D9" i="6"/>
  <c r="C9" i="6"/>
  <c r="B9" i="6"/>
  <c r="E9" i="6" s="1"/>
  <c r="D8" i="6"/>
  <c r="C8" i="6"/>
  <c r="B8" i="6"/>
  <c r="E8" i="6" s="1"/>
  <c r="D7" i="6"/>
  <c r="C7" i="6"/>
  <c r="B7" i="6"/>
  <c r="E7" i="6" s="1"/>
  <c r="D6" i="6"/>
  <c r="C6" i="6"/>
  <c r="B6" i="6"/>
  <c r="E6" i="6" s="1"/>
  <c r="E9" i="5"/>
  <c r="D9" i="5"/>
  <c r="D11" i="5" s="1"/>
  <c r="C9" i="5"/>
  <c r="C11" i="5" s="1"/>
  <c r="B9" i="5"/>
  <c r="B11" i="5" s="1"/>
  <c r="E8" i="5"/>
  <c r="F8" i="5" s="1"/>
  <c r="E7" i="5"/>
  <c r="F7" i="5" s="1"/>
  <c r="E6" i="5"/>
  <c r="F6" i="5" s="1"/>
  <c r="E5" i="5"/>
  <c r="F5" i="5" s="1"/>
  <c r="F9" i="5" s="1"/>
  <c r="D7" i="4"/>
  <c r="C7" i="4"/>
  <c r="D6" i="4"/>
  <c r="C6" i="4"/>
  <c r="D5" i="4"/>
  <c r="C5" i="4"/>
  <c r="D12" i="3"/>
  <c r="C12" i="3"/>
  <c r="B12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H5" i="3"/>
  <c r="G5" i="3"/>
  <c r="F5" i="3"/>
  <c r="E5" i="3"/>
  <c r="D45" i="2"/>
  <c r="C45" i="2"/>
  <c r="B45" i="2"/>
  <c r="D44" i="2"/>
  <c r="C44" i="2"/>
  <c r="B44" i="2"/>
  <c r="D43" i="2"/>
  <c r="C43" i="2"/>
  <c r="B43" i="2"/>
  <c r="H40" i="2"/>
  <c r="K41" i="17" s="1"/>
  <c r="G40" i="2"/>
  <c r="G41" i="17" s="1"/>
  <c r="F40" i="2"/>
  <c r="C41" i="17" s="1"/>
  <c r="E40" i="2"/>
  <c r="H39" i="2"/>
  <c r="K40" i="17" s="1"/>
  <c r="G39" i="2"/>
  <c r="G40" i="17" s="1"/>
  <c r="F39" i="2"/>
  <c r="C40" i="17" s="1"/>
  <c r="E39" i="2"/>
  <c r="H38" i="2"/>
  <c r="K39" i="17" s="1"/>
  <c r="G38" i="2"/>
  <c r="G39" i="17" s="1"/>
  <c r="F38" i="2"/>
  <c r="C39" i="17" s="1"/>
  <c r="E38" i="2"/>
  <c r="H37" i="2"/>
  <c r="K38" i="17" s="1"/>
  <c r="G37" i="2"/>
  <c r="G38" i="17" s="1"/>
  <c r="F37" i="2"/>
  <c r="C38" i="17" s="1"/>
  <c r="E37" i="2"/>
  <c r="H36" i="2"/>
  <c r="K37" i="17" s="1"/>
  <c r="G36" i="2"/>
  <c r="G37" i="17" s="1"/>
  <c r="F36" i="2"/>
  <c r="C37" i="17" s="1"/>
  <c r="E36" i="2"/>
  <c r="H35" i="2"/>
  <c r="K36" i="17" s="1"/>
  <c r="G35" i="2"/>
  <c r="G36" i="17" s="1"/>
  <c r="F35" i="2"/>
  <c r="C36" i="17" s="1"/>
  <c r="E35" i="2"/>
  <c r="H34" i="2"/>
  <c r="K35" i="17" s="1"/>
  <c r="G34" i="2"/>
  <c r="G35" i="17" s="1"/>
  <c r="F34" i="2"/>
  <c r="C35" i="17" s="1"/>
  <c r="E34" i="2"/>
  <c r="H33" i="2"/>
  <c r="K34" i="17" s="1"/>
  <c r="G33" i="2"/>
  <c r="G34" i="17" s="1"/>
  <c r="F33" i="2"/>
  <c r="C34" i="17" s="1"/>
  <c r="E33" i="2"/>
  <c r="H32" i="2"/>
  <c r="K33" i="17" s="1"/>
  <c r="G32" i="2"/>
  <c r="G33" i="17" s="1"/>
  <c r="F32" i="2"/>
  <c r="C33" i="17" s="1"/>
  <c r="E32" i="2"/>
  <c r="H31" i="2"/>
  <c r="K32" i="17" s="1"/>
  <c r="G31" i="2"/>
  <c r="G32" i="17" s="1"/>
  <c r="F31" i="2"/>
  <c r="C32" i="17" s="1"/>
  <c r="E31" i="2"/>
  <c r="H30" i="2"/>
  <c r="K31" i="17" s="1"/>
  <c r="G30" i="2"/>
  <c r="G31" i="17" s="1"/>
  <c r="F30" i="2"/>
  <c r="C31" i="17" s="1"/>
  <c r="E30" i="2"/>
  <c r="H29" i="2"/>
  <c r="K30" i="17" s="1"/>
  <c r="G29" i="2"/>
  <c r="G30" i="17" s="1"/>
  <c r="F29" i="2"/>
  <c r="C30" i="17" s="1"/>
  <c r="E29" i="2"/>
  <c r="H28" i="2"/>
  <c r="K29" i="17" s="1"/>
  <c r="G28" i="2"/>
  <c r="G29" i="17" s="1"/>
  <c r="F28" i="2"/>
  <c r="C29" i="17" s="1"/>
  <c r="E28" i="2"/>
  <c r="H27" i="2"/>
  <c r="K28" i="17" s="1"/>
  <c r="G27" i="2"/>
  <c r="G28" i="17" s="1"/>
  <c r="F27" i="2"/>
  <c r="C28" i="17" s="1"/>
  <c r="E27" i="2"/>
  <c r="H26" i="2"/>
  <c r="K27" i="17" s="1"/>
  <c r="G26" i="2"/>
  <c r="G27" i="17" s="1"/>
  <c r="F26" i="2"/>
  <c r="C27" i="17" s="1"/>
  <c r="E26" i="2"/>
  <c r="H25" i="2"/>
  <c r="K26" i="17" s="1"/>
  <c r="G25" i="2"/>
  <c r="G26" i="17" s="1"/>
  <c r="F25" i="2"/>
  <c r="C26" i="17" s="1"/>
  <c r="E25" i="2"/>
  <c r="H24" i="2"/>
  <c r="K25" i="17" s="1"/>
  <c r="G24" i="2"/>
  <c r="G25" i="17" s="1"/>
  <c r="F24" i="2"/>
  <c r="C25" i="17" s="1"/>
  <c r="E24" i="2"/>
  <c r="H23" i="2"/>
  <c r="K24" i="17" s="1"/>
  <c r="G23" i="2"/>
  <c r="G24" i="17" s="1"/>
  <c r="F23" i="2"/>
  <c r="C24" i="17" s="1"/>
  <c r="E23" i="2"/>
  <c r="H22" i="2"/>
  <c r="K23" i="17" s="1"/>
  <c r="G22" i="2"/>
  <c r="G23" i="17" s="1"/>
  <c r="F22" i="2"/>
  <c r="C23" i="17" s="1"/>
  <c r="E22" i="2"/>
  <c r="H21" i="2"/>
  <c r="K22" i="17" s="1"/>
  <c r="G21" i="2"/>
  <c r="G22" i="17" s="1"/>
  <c r="F21" i="2"/>
  <c r="C22" i="17" s="1"/>
  <c r="E21" i="2"/>
  <c r="H20" i="2"/>
  <c r="K21" i="17" s="1"/>
  <c r="G20" i="2"/>
  <c r="G21" i="17" s="1"/>
  <c r="F20" i="2"/>
  <c r="C21" i="17" s="1"/>
  <c r="E20" i="2"/>
  <c r="H19" i="2"/>
  <c r="K20" i="17" s="1"/>
  <c r="G19" i="2"/>
  <c r="G20" i="17" s="1"/>
  <c r="F19" i="2"/>
  <c r="C20" i="17" s="1"/>
  <c r="E19" i="2"/>
  <c r="H18" i="2"/>
  <c r="K19" i="17" s="1"/>
  <c r="G18" i="2"/>
  <c r="G19" i="17" s="1"/>
  <c r="F18" i="2"/>
  <c r="C19" i="17" s="1"/>
  <c r="E18" i="2"/>
  <c r="H17" i="2"/>
  <c r="K18" i="17" s="1"/>
  <c r="G17" i="2"/>
  <c r="G18" i="17" s="1"/>
  <c r="F17" i="2"/>
  <c r="C18" i="17" s="1"/>
  <c r="E17" i="2"/>
  <c r="H16" i="2"/>
  <c r="K17" i="17" s="1"/>
  <c r="G16" i="2"/>
  <c r="G17" i="17" s="1"/>
  <c r="F16" i="2"/>
  <c r="C17" i="17" s="1"/>
  <c r="E16" i="2"/>
  <c r="H15" i="2"/>
  <c r="K16" i="17" s="1"/>
  <c r="G15" i="2"/>
  <c r="G16" i="17" s="1"/>
  <c r="F15" i="2"/>
  <c r="C16" i="17" s="1"/>
  <c r="E15" i="2"/>
  <c r="H14" i="2"/>
  <c r="K15" i="17" s="1"/>
  <c r="G14" i="2"/>
  <c r="G15" i="17" s="1"/>
  <c r="F14" i="2"/>
  <c r="C15" i="17" s="1"/>
  <c r="E14" i="2"/>
  <c r="H13" i="2"/>
  <c r="K14" i="17" s="1"/>
  <c r="G13" i="2"/>
  <c r="G14" i="17" s="1"/>
  <c r="F13" i="2"/>
  <c r="C14" i="17" s="1"/>
  <c r="E13" i="2"/>
  <c r="H12" i="2"/>
  <c r="K13" i="17" s="1"/>
  <c r="G12" i="2"/>
  <c r="G13" i="17" s="1"/>
  <c r="F12" i="2"/>
  <c r="C13" i="17" s="1"/>
  <c r="E12" i="2"/>
  <c r="H11" i="2"/>
  <c r="K12" i="17" s="1"/>
  <c r="G11" i="2"/>
  <c r="G12" i="17" s="1"/>
  <c r="F11" i="2"/>
  <c r="C12" i="17" s="1"/>
  <c r="E11" i="2"/>
  <c r="H10" i="2"/>
  <c r="K11" i="17" s="1"/>
  <c r="G10" i="2"/>
  <c r="G11" i="17" s="1"/>
  <c r="F10" i="2"/>
  <c r="C11" i="17" s="1"/>
  <c r="E10" i="2"/>
  <c r="H9" i="2"/>
  <c r="K10" i="17" s="1"/>
  <c r="G9" i="2"/>
  <c r="G10" i="17" s="1"/>
  <c r="F9" i="2"/>
  <c r="C10" i="17" s="1"/>
  <c r="E9" i="2"/>
  <c r="H8" i="2"/>
  <c r="K9" i="17" s="1"/>
  <c r="G8" i="2"/>
  <c r="G9" i="17" s="1"/>
  <c r="F8" i="2"/>
  <c r="C9" i="17" s="1"/>
  <c r="E8" i="2"/>
  <c r="H7" i="2"/>
  <c r="K8" i="17" s="1"/>
  <c r="G7" i="2"/>
  <c r="G8" i="17" s="1"/>
  <c r="F7" i="2"/>
  <c r="C8" i="17" s="1"/>
  <c r="E7" i="2"/>
  <c r="H6" i="2"/>
  <c r="K7" i="17" s="1"/>
  <c r="G6" i="2"/>
  <c r="G7" i="17" s="1"/>
  <c r="F6" i="2"/>
  <c r="C7" i="17" s="1"/>
  <c r="E6" i="2"/>
  <c r="H5" i="2"/>
  <c r="K6" i="17" s="1"/>
  <c r="G5" i="2"/>
  <c r="G6" i="17" s="1"/>
  <c r="F5" i="2"/>
  <c r="C6" i="17" s="1"/>
  <c r="E5" i="2"/>
  <c r="B97" i="8"/>
  <c r="C16" i="9" s="1"/>
  <c r="B96" i="8"/>
  <c r="B36" i="9" s="1"/>
  <c r="B95" i="8"/>
  <c r="B94" i="8"/>
  <c r="B33" i="9" s="1"/>
  <c r="B93" i="8"/>
  <c r="D90" i="8"/>
  <c r="B90" i="8"/>
  <c r="D89" i="8"/>
  <c r="B89" i="8"/>
  <c r="D88" i="8"/>
  <c r="B88" i="8"/>
  <c r="D87" i="8"/>
  <c r="B87" i="8"/>
  <c r="D86" i="8"/>
  <c r="B86" i="8"/>
  <c r="B82" i="8"/>
  <c r="B75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B52" i="8"/>
  <c r="B48" i="8"/>
  <c r="B46" i="8"/>
  <c r="B42" i="8"/>
  <c r="B40" i="8"/>
  <c r="C39" i="8"/>
  <c r="C38" i="8"/>
  <c r="B38" i="8"/>
  <c r="B33" i="8"/>
  <c r="B32" i="8"/>
  <c r="B26" i="8"/>
  <c r="B54" i="20" l="1"/>
  <c r="E52" i="20"/>
  <c r="E42" i="20"/>
  <c r="B44" i="20"/>
  <c r="B56" i="15"/>
  <c r="I8" i="16"/>
  <c r="G8" i="16"/>
  <c r="I7" i="16"/>
  <c r="B10" i="16" s="1"/>
  <c r="B74" i="15" s="1"/>
  <c r="B80" i="15" s="1"/>
  <c r="G7" i="16"/>
  <c r="B63" i="15"/>
  <c r="B64" i="15" s="1"/>
  <c r="C20" i="15"/>
  <c r="E8" i="11"/>
  <c r="B68" i="15"/>
  <c r="B36" i="11"/>
  <c r="B37" i="11"/>
  <c r="B90" i="15"/>
  <c r="B72" i="9"/>
  <c r="C72" i="9" s="1"/>
  <c r="E32" i="11"/>
  <c r="C69" i="9"/>
  <c r="C70" i="9" s="1"/>
  <c r="B70" i="9"/>
  <c r="B48" i="9"/>
  <c r="B44" i="9"/>
  <c r="B13" i="9"/>
  <c r="C40" i="8"/>
  <c r="C13" i="9" s="1"/>
  <c r="B40" i="9"/>
  <c r="B66" i="15" l="1"/>
  <c r="B67" i="15"/>
  <c r="H20" i="15"/>
  <c r="B59" i="15"/>
  <c r="F31" i="15"/>
  <c r="B34" i="15" s="1"/>
  <c r="B45" i="15" s="1"/>
  <c r="B39" i="15"/>
  <c r="B40" i="15" s="1"/>
  <c r="G8" i="11"/>
  <c r="C33" i="11"/>
  <c r="C34" i="11" s="1"/>
  <c r="E9" i="11"/>
  <c r="B26" i="15" l="1"/>
  <c r="E50" i="15"/>
  <c r="B43" i="15"/>
  <c r="B46" i="15" s="1"/>
  <c r="B44" i="15"/>
  <c r="G9" i="11"/>
  <c r="B12" i="11" s="1"/>
  <c r="E33" i="11"/>
  <c r="E34" i="11" s="1"/>
  <c r="B69" i="15"/>
  <c r="C26" i="11" l="1"/>
  <c r="C28" i="11" s="1"/>
  <c r="C25" i="11"/>
  <c r="B25" i="11"/>
  <c r="B89" i="15"/>
  <c r="B26" i="11"/>
  <c r="E19" i="11"/>
  <c r="B13" i="10"/>
  <c r="B29" i="8"/>
  <c r="E18" i="11"/>
  <c r="D17" i="11"/>
  <c r="E17" i="11" s="1"/>
  <c r="B14" i="10" l="1"/>
  <c r="B15" i="10"/>
  <c r="B31" i="8"/>
  <c r="B41" i="8"/>
  <c r="C41" i="8"/>
  <c r="C14" i="9" s="1"/>
  <c r="F17" i="11"/>
  <c r="D7" i="9"/>
  <c r="D20" i="11"/>
  <c r="E5" i="12" l="1"/>
  <c r="E7" i="9"/>
  <c r="G7" i="9" s="1"/>
  <c r="B28" i="9"/>
  <c r="B47" i="8"/>
  <c r="B51" i="8"/>
  <c r="B81" i="8"/>
  <c r="B14" i="9"/>
  <c r="B20" i="9"/>
  <c r="C20" i="9"/>
  <c r="B21" i="11"/>
  <c r="E20" i="11"/>
  <c r="F20" i="11"/>
  <c r="H5" i="12" l="1"/>
  <c r="I5" i="12"/>
  <c r="B21" i="9"/>
  <c r="B43" i="9"/>
  <c r="B47" i="9" s="1"/>
  <c r="B49" i="9" s="1"/>
  <c r="B27" i="9"/>
  <c r="D20" i="9"/>
  <c r="D21" i="9" s="1"/>
  <c r="B32" i="9"/>
  <c r="C21" i="9"/>
  <c r="B22" i="9" s="1"/>
  <c r="B23" i="9" s="1"/>
</calcChain>
</file>

<file path=xl/sharedStrings.xml><?xml version="1.0" encoding="utf-8"?>
<sst xmlns="http://schemas.openxmlformats.org/spreadsheetml/2006/main" count="1073" uniqueCount="861">
  <si>
    <t>Manufacturing — Bangalore production facility</t>
  </si>
  <si>
    <t>Location fixed for all firms: Bangalore (gov incentives). Cannot relocate or add facilities later; can add printers. Airfreight; no inventory; same-quarter fulfillment; shipping cost to firm.</t>
  </si>
  <si>
    <t>Production math</t>
  </si>
  <si>
    <t>1 frame/hour x 8 hrs/day x 5 days/week x 13 weeks/quarter = 520 units/printer/quarter (normal hours)</t>
  </si>
  <si>
    <t>Operating capacity &lt;= fixed capacity. Turn printers on/off to set operating capacity and staffing.</t>
  </si>
  <si>
    <t>Fixed capacity options</t>
  </si>
  <si>
    <t>3D Printers</t>
  </si>
  <si>
    <t>Units/Day</t>
  </si>
  <si>
    <t>Units/Quarter</t>
  </si>
  <si>
    <t>Capital Investment</t>
  </si>
  <si>
    <t>Cash after printers*</t>
  </si>
  <si>
    <t>+ Amsterdam $136k</t>
  </si>
  <si>
    <t>Notes</t>
  </si>
  <si>
    <t>Common early-test range</t>
  </si>
  <si>
    <t>This gives us a conservative approach without additional inventory</t>
  </si>
  <si>
    <t>This covers our goals for having extra capacity</t>
  </si>
  <si>
    <t>Tight vs $300k floor</t>
  </si>
  <si>
    <t>BREACHES $300k floor with AMS only</t>
  </si>
  <si>
    <t>*Assumes Q1 start cash $1,500,000; ignores other Q1 costs. Required floor: Cash+CD &gt;= $300,000.</t>
  </si>
  <si>
    <t>MARGIN NOTE: We do NOT have sim COGS/contribution margins yet. Earlier 'high margin segment' language used Price Willing to Pay ceilings (Rec $1100 / Mtn $1365 / Speed $1580) as a price-ladder proxy only — NOT proven unit profit.</t>
  </si>
  <si>
    <t>Process: daily orders with custom specs -&gt; fab -&gt; box/ship airfreight -&gt; store pickup or break-bulk. No inventory at plant; transit &lt;= 2 days.</t>
  </si>
  <si>
    <t>Operating Capacity (Workspace — Q2)</t>
  </si>
  <si>
    <t>Fixed capacity available THIS quarter</t>
  </si>
  <si>
    <t>units/day</t>
  </si>
  <si>
    <t>Quarterly fixed capacity (×65)</t>
  </si>
  <si>
    <t>1,560 at full fixed</t>
  </si>
  <si>
    <t>Demand &amp; productivity inputs</t>
  </si>
  <si>
    <t>Total forecasted demand (all brands)</t>
  </si>
  <si>
    <t>from Demand_Forecast</t>
  </si>
  <si>
    <t>Worker productivity (HR)</t>
  </si>
  <si>
    <t>Workspace default 70%; sync Comp_Industry when locked</t>
  </si>
  <si>
    <t>(alias) demand</t>
  </si>
  <si>
    <t>(alias) productivity</t>
  </si>
  <si>
    <t>Productivity loss pad</t>
  </si>
  <si>
    <t>e.g. 70% → ×1.30</t>
  </si>
  <si>
    <t>Operating Capacity — Workspace table</t>
  </si>
  <si>
    <t>Metric</t>
  </si>
  <si>
    <t>Units per Day</t>
  </si>
  <si>
    <t>Units per Quarter</t>
  </si>
  <si>
    <t>Fixed capacity (previous quarter)</t>
  </si>
  <si>
    <t>Q1: printers not yet online</t>
  </si>
  <si>
    <t>Operating capacity (previous quarter)</t>
  </si>
  <si>
    <t>Q1: no production</t>
  </si>
  <si>
    <t>Fixed capacity</t>
  </si>
  <si>
    <t>24 / day · 1,560 / quarter</t>
  </si>
  <si>
    <t>Operating capacity  ← CHANGEABLE</t>
  </si>
  <si>
    <t>Cannot exceed fixed 24. Yellow = decision</t>
  </si>
  <si>
    <t>Effective OC after adjustment for worker productivity</t>
  </si>
  <si>
    <t>Scheduled OC × productivity % (e.g. 10×0.70=7)</t>
  </si>
  <si>
    <t>Effective OC needed for demand projection</t>
  </si>
  <si>
    <t>Demand/65 × (1 + productivity loss)</t>
  </si>
  <si>
    <t>Projected worker productivity [%]</t>
  </si>
  <si>
    <t>Same as B30</t>
  </si>
  <si>
    <t>New direct labor cost/unit of operating capacity</t>
  </si>
  <si>
    <t>Approx from Workspace cost curve</t>
  </si>
  <si>
    <t>New overhead cost/unit of operating capacity</t>
  </si>
  <si>
    <t>Falls then flats ~$45–50</t>
  </si>
  <si>
    <t>Expense to change operating capacity (add to overhead)</t>
  </si>
  <si>
    <t>Paste from Workspace if non-zero</t>
  </si>
  <si>
    <t>Labor + overhead $/unit at scheduled OC</t>
  </si>
  <si>
    <t>Scheduled vs needed</t>
  </si>
  <si>
    <t>Near fixed max (labor rising)?</t>
  </si>
  <si>
    <t>Helpers</t>
  </si>
  <si>
    <t>Min daily OC (padded) alias</t>
  </si>
  <si>
    <t>Scheduled daily OC alias</t>
  </si>
  <si>
    <t>Max overtime hours/day authorized</t>
  </si>
  <si>
    <t>0–4 hours</t>
  </si>
  <si>
    <t>Operating Capacity Costs per Unit (approx Workspace chart)</t>
  </si>
  <si>
    <t>OC units/day</t>
  </si>
  <si>
    <t>Labor $/unit</t>
  </si>
  <si>
    <t>Overhead $/unit</t>
  </si>
  <si>
    <t>Labor+OH</t>
  </si>
  <si>
    <t>Planning takeaway</t>
  </si>
  <si>
    <t>Sweet spot ~18–22 units/day (labor trough ~$110–120). At fixed max 24, labor rises (~$190). Overhead already low by ~16+. Trade revenue vs unit cost; OT can cover spikes without always running at 24.</t>
  </si>
  <si>
    <t>Next-quarter fixed capacity add (printers) — prefer Production_Sim!B62</t>
  </si>
  <si>
    <t>arrives NEXT quarter</t>
  </si>
  <si>
    <t>Printers online</t>
  </si>
  <si>
    <t>Source</t>
  </si>
  <si>
    <t>Workspace Operating Capacity + cost curve chart (Q2)</t>
  </si>
  <si>
    <t>Compat aliases (do not edit)</t>
  </si>
  <si>
    <t>Min daily OC (legacy B34)</t>
  </si>
  <si>
    <t>Scheduled OC (legacy B35)</t>
  </si>
  <si>
    <t>Maximum Overtime per Day (Workspace)</t>
  </si>
  <si>
    <t>Overtime</t>
  </si>
  <si>
    <t>Units per Quarter (add'l capacity)</t>
  </si>
  <si>
    <t>Productivity</t>
  </si>
  <si>
    <t>Average Labor Cost/Unit</t>
  </si>
  <si>
    <t>No overtime</t>
  </si>
  <si>
    <t>1 hour</t>
  </si>
  <si>
    <t>2 hours</t>
  </si>
  <si>
    <t>3 hours</t>
  </si>
  <si>
    <t>4 hours</t>
  </si>
  <si>
    <t>Effect of Using Maximum Overtime</t>
  </si>
  <si>
    <t>Maximum hours of overtime per day  ← CHANGEABLE</t>
  </si>
  <si>
    <t>Edit B53 (0–4); this mirrors it</t>
  </si>
  <si>
    <t>Effective operating capacity addition (units/quarter)</t>
  </si>
  <si>
    <t>Loss of productivity</t>
  </si>
  <si>
    <t>Increase in average labor cost/unit (approx)</t>
  </si>
  <si>
    <t>Rough OT premium model — replace with Workspace figure when shown</t>
  </si>
  <si>
    <t>Productivity with selected max OT</t>
  </si>
  <si>
    <t>Projected Change in Worker Productivity (OT curve)</t>
  </si>
  <si>
    <t>Overtime Hours</t>
  </si>
  <si>
    <t>Productivity %</t>
  </si>
  <si>
    <t>Workspace Maximum Overtime + productivity chart (Q2)</t>
  </si>
  <si>
    <t>Q2Data — Unified Q2 team workbook (WeBike)</t>
  </si>
  <si>
    <t>Built from Q1Data. Paste new Workspace reports into yellow cells. Keep Q1 survey sheets as baseline until refreshed.</t>
  </si>
  <si>
    <t>Sheet</t>
  </si>
  <si>
    <t>Contents</t>
  </si>
  <si>
    <t>Decision use</t>
  </si>
  <si>
    <t>Needs</t>
  </si>
  <si>
    <t>Customer need scores by segment (from Q1; refresh if new survey)</t>
  </si>
  <si>
    <t>Brand Judgment / ads</t>
  </si>
  <si>
    <t>Applications</t>
  </si>
  <si>
    <t>Use-pattern importance (from Q1)</t>
  </si>
  <si>
    <t>Brand design / ads tone</t>
  </si>
  <si>
    <t>Price_WTP</t>
  </si>
  <si>
    <t>Ideal-brand price ceilings (from Q1)</t>
  </si>
  <si>
    <t>Pricing frame vs WTP</t>
  </si>
  <si>
    <t>Market_Potential</t>
  </si>
  <si>
    <t>12-mo units by city × segment (from Q1)</t>
  </si>
  <si>
    <t>Demand / city #2 / capacity</t>
  </si>
  <si>
    <t>Sales_Channel</t>
  </si>
  <si>
    <t>Shop vs web posture — AMS + World web LIVE</t>
  </si>
  <si>
    <t>City #2 + staffing</t>
  </si>
  <si>
    <t>Stores_Costs</t>
  </si>
  <si>
    <t>Store/web setup + lease — update open status</t>
  </si>
  <si>
    <t>Cash / lease burn</t>
  </si>
  <si>
    <t>Manufacturing</t>
  </si>
  <si>
    <t>Fixed capacity live + OC / OT helpers</t>
  </si>
  <si>
    <t>Operating capacity ≤ 24/day</t>
  </si>
  <si>
    <t>Production_Sim</t>
  </si>
  <si>
    <t>Produce/demand/stockouts/utilization + printer add summary</t>
  </si>
  <si>
    <t>Production simulation &amp; fixed capacity plan</t>
  </si>
  <si>
    <t>Cost_of_Production</t>
  </si>
  <si>
    <t>Unit cost by volume (Workspace Q2)</t>
  </si>
  <si>
    <t>Price vs COGS; volume scenarios</t>
  </si>
  <si>
    <t>Demand_Forecast</t>
  </si>
  <si>
    <t>Demand = units/SP × people; brand split; this Q + next Q</t>
  </si>
  <si>
    <t>OC schedule + printer planning + pricing volume</t>
  </si>
  <si>
    <t>Pricing</t>
  </si>
  <si>
    <t>Brand list price decision (Hike Bike)</t>
  </si>
  <si>
    <t>Price vs WTP and unit cost</t>
  </si>
  <si>
    <t>Media_Preference</t>
  </si>
  <si>
    <t>One-time media preference by segment + placement</t>
  </si>
  <si>
    <t>Major media buys</t>
  </si>
  <si>
    <t>Web_SEO</t>
  </si>
  <si>
    <t>Organic SEM web pages from ads + segment keywords</t>
  </si>
  <si>
    <t>Website / organic search</t>
  </si>
  <si>
    <t>Sales_Ops</t>
  </si>
  <si>
    <t>Store/web staffing, city #2, demand bridge</t>
  </si>
  <si>
    <t>Sales channel execution</t>
  </si>
  <si>
    <t>Web_Productivity</t>
  </si>
  <si>
    <t>Purchase-probability tactics + budget curves</t>
  </si>
  <si>
    <t>Web conversion spend</t>
  </si>
  <si>
    <t>Needs_Ranked</t>
  </si>
  <si>
    <t>Linked needs views</t>
  </si>
  <si>
    <t>Priority lists</t>
  </si>
  <si>
    <t>Growth_Room</t>
  </si>
  <si>
    <t>Competitor gap scores</t>
  </si>
  <si>
    <t>Room for growth</t>
  </si>
  <si>
    <t>Competitor_CI</t>
  </si>
  <si>
    <t>Classmate tracker + research buys</t>
  </si>
  <si>
    <t>CI priority</t>
  </si>
  <si>
    <t>Comp_Industry</t>
  </si>
  <si>
    <t>Industry pay + interactive packages / productivity</t>
  </si>
  <si>
    <t>Pay &gt; avg; HR estimates</t>
  </si>
  <si>
    <t>Customer Needs — Importance by Segment</t>
  </si>
  <si>
    <t>Rename labels to match Workspace. Yellow = inputs. Conditional formatting: green ≥110, red &lt;100.</t>
  </si>
  <si>
    <t>Need / Benefit</t>
  </si>
  <si>
    <t>Recreation</t>
  </si>
  <si>
    <t>Mountain</t>
  </si>
  <si>
    <t>Speed</t>
  </si>
  <si>
    <t>Max</t>
  </si>
  <si>
    <t>Rec flag</t>
  </si>
  <si>
    <t>Mtn flag</t>
  </si>
  <si>
    <t>Spd flag</t>
  </si>
  <si>
    <t>Competitor miss risk (H/M/L)</t>
  </si>
  <si>
    <t>Colorful</t>
  </si>
  <si>
    <t>Fits rider's personality</t>
  </si>
  <si>
    <t>Simple to use</t>
  </si>
  <si>
    <t>Safety</t>
  </si>
  <si>
    <t>Low price point</t>
  </si>
  <si>
    <t>Sleek</t>
  </si>
  <si>
    <t>Stylish</t>
  </si>
  <si>
    <t>Easy to ride</t>
  </si>
  <si>
    <t>Comfortable</t>
  </si>
  <si>
    <t>Soft ride</t>
  </si>
  <si>
    <t>Repair, parts, support nearby</t>
  </si>
  <si>
    <t>Can handle rough terrain</t>
  </si>
  <si>
    <t>Can stop quickly</t>
  </si>
  <si>
    <t>Precise speed control-turns, hills</t>
  </si>
  <si>
    <t>On-road and off-road capabilities</t>
  </si>
  <si>
    <t>Can carry things</t>
  </si>
  <si>
    <t>Durable</t>
  </si>
  <si>
    <t>Feel young at heart</t>
  </si>
  <si>
    <t>Can turn sharply</t>
  </si>
  <si>
    <t>Light weight</t>
  </si>
  <si>
    <t>High visibility</t>
  </si>
  <si>
    <t>Easily handles change in incline</t>
  </si>
  <si>
    <t>Shifts smoothly</t>
  </si>
  <si>
    <t>Provides competitive advantage</t>
  </si>
  <si>
    <t>Aerodynamic</t>
  </si>
  <si>
    <t>Rider expertise required</t>
  </si>
  <si>
    <t>Status symbol/exclusivity</t>
  </si>
  <si>
    <t>Navigation assistance</t>
  </si>
  <si>
    <t>Soften the impact of rough terrain</t>
  </si>
  <si>
    <t>Easy to navigate on web site</t>
  </si>
  <si>
    <t>Web focus</t>
  </si>
  <si>
    <t>Security of my credit card/identity</t>
  </si>
  <si>
    <t>Likes to buy on the web</t>
  </si>
  <si>
    <t>Wants human sales reps/support</t>
  </si>
  <si>
    <t>Able to track my purchase</t>
  </si>
  <si>
    <t>Easy to make purchase on web</t>
  </si>
  <si>
    <t>Segment averages</t>
  </si>
  <si>
    <t>Segment averages, excluding web</t>
  </si>
  <si>
    <t>Segment averages, only web</t>
  </si>
  <si>
    <t>Applications / Use Patterns — Importance by Segment</t>
  </si>
  <si>
    <t>≥110 = must design for | &lt;100 = may hurt appeal if over-emphasized</t>
  </si>
  <si>
    <t>Application / Use</t>
  </si>
  <si>
    <t>Component implications</t>
  </si>
  <si>
    <t>Peer miss risk</t>
  </si>
  <si>
    <t>Exercise</t>
  </si>
  <si>
    <t>Relaxation</t>
  </si>
  <si>
    <t>Fun</t>
  </si>
  <si>
    <t>Adventure</t>
  </si>
  <si>
    <t>Sport</t>
  </si>
  <si>
    <t>Price Willing to Pay (Ideal Brand Ceiling)</t>
  </si>
  <si>
    <t>Treat as maximum for ideal brand. Above = fewer entrants. Elasticity unknown until test market.</t>
  </si>
  <si>
    <t>Segment</t>
  </si>
  <si>
    <t>WTP (max)</t>
  </si>
  <si>
    <t>vs Rec</t>
  </si>
  <si>
    <t>vs Mountain</t>
  </si>
  <si>
    <t>Price sensitivity note</t>
  </si>
  <si>
    <t>Peer price-war risk (H/M/L)</t>
  </si>
  <si>
    <t>Margin opportunity note</t>
  </si>
  <si>
    <t>Q1, we expect all target here</t>
  </si>
  <si>
    <t>H</t>
  </si>
  <si>
    <t>Someone might monopolize Q1</t>
  </si>
  <si>
    <t>M</t>
  </si>
  <si>
    <t>Q1, we expect no target here</t>
  </si>
  <si>
    <t>L</t>
  </si>
  <si>
    <t>Optional: paste graph / Workspace notes below</t>
  </si>
  <si>
    <t>12-Month Market Potential (Units)</t>
  </si>
  <si>
    <t>Potential = P(purchase) × units × # customers. Early quarterly demand usually &lt;&lt; annual/4.</t>
  </si>
  <si>
    <t>See Sales_Channel sheet for shop vs web strategy (linked to these city sizes). First store LOCKED: Amsterdam.</t>
  </si>
  <si>
    <t>City</t>
  </si>
  <si>
    <t>City Total</t>
  </si>
  <si>
    <t>Naive Qtr (Total/4)</t>
  </si>
  <si>
    <t>Likely peer crowding (H/M/L)</t>
  </si>
  <si>
    <t>Growth-room note</t>
  </si>
  <si>
    <t>New York City</t>
  </si>
  <si>
    <t>Rio de Janeiro</t>
  </si>
  <si>
    <t>Amsterdam</t>
  </si>
  <si>
    <t>Bangalore</t>
  </si>
  <si>
    <t>Segment Total</t>
  </si>
  <si>
    <t>Segment share of total potential</t>
  </si>
  <si>
    <t>City rank by total potential (after fill):</t>
  </si>
  <si>
    <t>1.</t>
  </si>
  <si>
    <t>2.</t>
  </si>
  <si>
    <t>3.</t>
  </si>
  <si>
    <t>4.</t>
  </si>
  <si>
    <t>Sales Channel Strategy — connects to Market_Potential</t>
  </si>
  <si>
    <t>Company-operated shops + web. LIVE for test market: Amsterdam + World web. Schedule city #2 this quarter.</t>
  </si>
  <si>
    <t>Market size for channel choice (linked to Market_Potential)</t>
  </si>
  <si>
    <t>Locked first store?</t>
  </si>
  <si>
    <t>Channel note</t>
  </si>
  <si>
    <t>No</t>
  </si>
  <si>
    <t>Largest overall; likely peer crowding</t>
  </si>
  <si>
    <t>Smaller Speed pool</t>
  </si>
  <si>
    <t>YES — Q1 LOCKED</t>
  </si>
  <si>
    <t>Largest Recreation pool; team lock</t>
  </si>
  <si>
    <t>Smallest overall; cost may be lower</t>
  </si>
  <si>
    <t>Brick-and-mortar vs Web</t>
  </si>
  <si>
    <t>Channel</t>
  </si>
  <si>
    <t>Advantages</t>
  </si>
  <si>
    <t>Disadvantages</t>
  </si>
  <si>
    <t>Our Q1 posture</t>
  </si>
  <si>
    <t>Brick-and-mortar bike shop</t>
  </si>
  <si>
    <t>Touch/feel/test ride; segment-specialist sales; custom fit; full control of brand/price/ads/sales; no independent-retailer surprises</t>
  </si>
  <si>
    <t>Expensive to open/run; many details; productivity drop if &gt;~15 display bikes or &gt;~15 salespeople</t>
  </si>
  <si>
    <t>LOCKED — Amsterdam Q1</t>
  </si>
  <si>
    <t>Web sales center</t>
  </si>
  <si>
    <t>One site serves all geos; broader metro reach; multilingual staff; demand beyond one store footprint</t>
  </si>
  <si>
    <t>No touch/feel; harder phone vs in-person; must wait for customer to find you (ads/SEM); staff wait for calls</t>
  </si>
  <si>
    <t>LIVE — World Market</t>
  </si>
  <si>
    <t>Sim decision tips</t>
  </si>
  <si>
    <t>1. Both channels are expensive to start together — may open one first, then expand.</t>
  </si>
  <si>
    <t>2. Web and stores cannibalize each other → lower productivity per channel; dual channels may still raise TOTAL demand.</t>
  </si>
  <si>
    <t>3. Segment preferences differ for web vs store — Rec especially wants humans + web (see Needs).</t>
  </si>
  <si>
    <t>4. Must schedule first channel in Q1 (takes a full quarter) to test in Q2.</t>
  </si>
  <si>
    <t>5. Recommended: one store for test marketing; add more after learning.</t>
  </si>
  <si>
    <t>6. Store ~3,200 sq ft / 300 m²: display ~50%, fitting ~20%, service ~15%, counter/office/storage ~15%. Middle-class area near major road.</t>
  </si>
  <si>
    <t>7. POP displays + several bikes; fitting area for custom measurements.</t>
  </si>
  <si>
    <t>8. Productivity risk if more than ~15 bikes OR ~15 salespeople in one store.</t>
  </si>
  <si>
    <t>Web order fulfillment</t>
  </si>
  <si>
    <t>1. Daily web orders (dimensions + preferences) → single fabrication facility.</t>
  </si>
  <si>
    <t>2. 3D modeling software generates customized frame specs.</t>
  </si>
  <si>
    <t>3. Next day: produce; end of day box, containerize, ship to each city.</t>
  </si>
  <si>
    <t>4. If store in city: bikes to store for customer pickup.</t>
  </si>
  <si>
    <t>5. If no store: break-bulk operator delivers to buyers.</t>
  </si>
  <si>
    <t>Strategy worksheet (yellow = team inputs)</t>
  </si>
  <si>
    <t>Question</t>
  </si>
  <si>
    <t>Team answer</t>
  </si>
  <si>
    <t>Data link</t>
  </si>
  <si>
    <t>Primary channel for Q2 test?</t>
  </si>
  <si>
    <t>Amsterdam brick-and-mortar (LIVE)</t>
  </si>
  <si>
    <t>Open web sales center in Q1?</t>
  </si>
  <si>
    <t>YES — LIVE (World Market)</t>
  </si>
  <si>
    <t>Needs web scores; cost + cannibalization tips</t>
  </si>
  <si>
    <t>First-store segment specialist focus?</t>
  </si>
  <si>
    <t>Mountain primary (Hike Bike)</t>
  </si>
  <si>
    <t>decisions.md / Q2Data Pricing</t>
  </si>
  <si>
    <t>Q2–Q4 city order?</t>
  </si>
  <si>
    <t>NYC, Rio, Bangalore remaining</t>
  </si>
  <si>
    <t>Dual-channel cannibalization plan?</t>
  </si>
  <si>
    <t>Sim: total demand may still rise</t>
  </si>
  <si>
    <t>Store productivity caps (# bikes / # sales)?</t>
  </si>
  <si>
    <t>Sim guideline: avoid &gt;15 / &gt;15</t>
  </si>
  <si>
    <t>Sales outlets and web — setup and lease costs</t>
  </si>
  <si>
    <t>Full quarter to open. LIVE: Amsterdam store + World web. City #2 undecided (NYC candidate).</t>
  </si>
  <si>
    <t>Brick-and-mortar stores</t>
  </si>
  <si>
    <t>Status</t>
  </si>
  <si>
    <t>Setup/Close Cost</t>
  </si>
  <si>
    <t>Quarterly Lease</t>
  </si>
  <si>
    <t>12-mo Rec potential</t>
  </si>
  <si>
    <t>closed</t>
  </si>
  <si>
    <t>Highest setup+lease</t>
  </si>
  <si>
    <t>OPEN (Q2 live)</t>
  </si>
  <si>
    <t>Lowest store costs; also fab city</t>
  </si>
  <si>
    <t>Region</t>
  </si>
  <si>
    <t>World Market</t>
  </si>
  <si>
    <t>World Market web live; serves all geos</t>
  </si>
  <si>
    <t>Q1 cash sketch (major outlays only)</t>
  </si>
  <si>
    <t>Scenario</t>
  </si>
  <si>
    <t>Printers</t>
  </si>
  <si>
    <t>Printer $</t>
  </si>
  <si>
    <t>AMS setup</t>
  </si>
  <si>
    <t>Web setup</t>
  </si>
  <si>
    <t>Total major outlay</t>
  </si>
  <si>
    <t>Cash left from $1.5M</t>
  </si>
  <si>
    <t>&gt;= $300k floor?</t>
  </si>
  <si>
    <t>AMS only + 2 printers</t>
  </si>
  <si>
    <t>YES</t>
  </si>
  <si>
    <t>AMS only + 3 printers</t>
  </si>
  <si>
    <t>AMS + web + 2 printers</t>
  </si>
  <si>
    <t>AMS + web + 3 printers</t>
  </si>
  <si>
    <t>AMS only + 5 printers</t>
  </si>
  <si>
    <t>NO</t>
  </si>
  <si>
    <t>AMS + web + 1 printer</t>
  </si>
  <si>
    <t>Ongoing leases once open: AMS $44k/qtr, web $60k/qtr, NYC $62k, Rio $17k, Bangalore store $13k. Confirm in-sim whether lease hits opening quarter or first operating quarter.</t>
  </si>
  <si>
    <t>Production Simulation (Workspace — Q2)</t>
  </si>
  <si>
    <t>Reflects linked decisions: Demand_Forecast, Manufacturing OC/OT, Pricing, Cost_of_Production. Yellow = overrides. Re-paste Workspace when live numbers differ. Detail: manufacturing-background.md</t>
  </si>
  <si>
    <t>Percent of forecasted demand (scenario)</t>
  </si>
  <si>
    <t>100% = use Demand_Forecast; try 50% / 150% scenarios</t>
  </si>
  <si>
    <t>Brand — Produce / Demand / Price</t>
  </si>
  <si>
    <t>Brand</t>
  </si>
  <si>
    <t>Produce (Y/N)</t>
  </si>
  <si>
    <t>Previous Demand</t>
  </si>
  <si>
    <t>Projected Demand</t>
  </si>
  <si>
    <t>Average Cost</t>
  </si>
  <si>
    <t>Selling Price</t>
  </si>
  <si>
    <t>Unit Contribution</t>
  </si>
  <si>
    <t>Hike Bike</t>
  </si>
  <si>
    <t>Y</t>
  </si>
  <si>
    <t>Capacity (linked to Manufacturing)</t>
  </si>
  <si>
    <t>Operating capacity</t>
  </si>
  <si>
    <t>Effective OC after productivity (no OT)</t>
  </si>
  <si>
    <t>Maximum hours of overtime per day</t>
  </si>
  <si>
    <t>Projected worker productivity [%] (base / with OT)</t>
  </si>
  <si>
    <t>Number of Units</t>
  </si>
  <si>
    <t>Units Produced</t>
  </si>
  <si>
    <t>Net Demand</t>
  </si>
  <si>
    <t>Lost Sales Due to Stock-Outs</t>
  </si>
  <si>
    <t>Total</t>
  </si>
  <si>
    <t>Unmet demand %</t>
  </si>
  <si>
    <t>Next-Q ill-will penalty % (½ unmet)</t>
  </si>
  <si>
    <t>Production Costs per Unit</t>
  </si>
  <si>
    <t>Direct Materials</t>
  </si>
  <si>
    <t>+ Direct Labor</t>
  </si>
  <si>
    <t>+ Total Overhead</t>
  </si>
  <si>
    <t>Materials default ~$337 parts (brand-mountain); replace with Workspace</t>
  </si>
  <si>
    <t>vs Cost_of_Production table</t>
  </si>
  <si>
    <t>Reconcile F27 vs Workspace volume cost table</t>
  </si>
  <si>
    <t>Operating Capacity Utilization</t>
  </si>
  <si>
    <t>Overtime hours used</t>
  </si>
  <si>
    <t>Approx hours needed; capped by max authorized</t>
  </si>
  <si>
    <t>Overtime capacity (units/quarter add'l)</t>
  </si>
  <si>
    <t>Production worker productivity without overtime</t>
  </si>
  <si>
    <t>Production worker productivity with overtime</t>
  </si>
  <si>
    <t>Increase in average direct labor cost/unit due to overtime</t>
  </si>
  <si>
    <t>Operating Capacity</t>
  </si>
  <si>
    <t>Planned operating capacity (units/quarter)</t>
  </si>
  <si>
    <t>Planned operating capacity including overtime</t>
  </si>
  <si>
    <t>Production worker productivity (effective)</t>
  </si>
  <si>
    <t>Effective operating capacity (units/quarter)</t>
  </si>
  <si>
    <t>Effective operating capacity utilized</t>
  </si>
  <si>
    <t>Effective operating capacity utilization</t>
  </si>
  <si>
    <t>Excess Capacity</t>
  </si>
  <si>
    <t>Unused operating capacity</t>
  </si>
  <si>
    <t>Excess operating capacity %</t>
  </si>
  <si>
    <t>Overhead+labor charged to excess OC (approx)</t>
  </si>
  <si>
    <t>Rough: unused units × (labor+OH)/unit — refine in Workspace</t>
  </si>
  <si>
    <t>Fixed Capacity Increase (order this Q → available next Q)</t>
  </si>
  <si>
    <t>Select?</t>
  </si>
  <si>
    <t>Printers to add (count)</t>
  </si>
  <si>
    <t>Or mark Select? column; B62 drives summary (0–10)</t>
  </si>
  <si>
    <t>Capital for selected add</t>
  </si>
  <si>
    <t>Sync Manufacturing!B75</t>
  </si>
  <si>
    <t>Keep Manufacturing next-Q add in sync</t>
  </si>
  <si>
    <t>Summary</t>
  </si>
  <si>
    <t>Fixed capacity available in current quarter</t>
  </si>
  <si>
    <t>Planned increase in fixed capacity</t>
  </si>
  <si>
    <t>Fixed capacity available in next quarter</t>
  </si>
  <si>
    <t>Next Q demand vs next Q fixed (check)</t>
  </si>
  <si>
    <t>Optimization reminders</t>
  </si>
  <si>
    <t>1. Set Demand_Forecast + Sales_Ops headcount first</t>
  </si>
  <si>
    <t>2. Set Manufacturing B39 OC near needed (labor sweet spot ~18–22 if demand allows)</t>
  </si>
  <si>
    <t>3. Use B53 OT as safety net — productivity falls 70%→64.4% at 4h; labor cost rises</t>
  </si>
  <si>
    <t>4. Avoid stock-outs (ill-will = ½ unmet % next Q) and excess capacity (idle labor+OH)</t>
  </si>
  <si>
    <t>5. Order printers (B62) only if next-Q demand needs &gt; current 24/day after OT</t>
  </si>
  <si>
    <t>Cost of Production Estimate</t>
  </si>
  <si>
    <t>Report reflects company decisions in Quarter 2 (Workspace). Look under the column for total units you expect to sell across ALL brands.</t>
  </si>
  <si>
    <t>Ask Sales for the demand forecast. Unit cost falls with volume until crowding near fixed capacity.</t>
  </si>
  <si>
    <t>100 units</t>
  </si>
  <si>
    <t>250 units</t>
  </si>
  <si>
    <t>500 units</t>
  </si>
  <si>
    <t>1,000 units</t>
  </si>
  <si>
    <t>5,000 units</t>
  </si>
  <si>
    <t>10,000 units</t>
  </si>
  <si>
    <t>Volume columns (units across all brands)</t>
  </si>
  <si>
    <t>Workspace — Cost of Production Estimate (Q2)</t>
  </si>
  <si>
    <t>As-of</t>
  </si>
  <si>
    <t>Q2 current decisions</t>
  </si>
  <si>
    <t>Lookup helper (yellow = expected total units)</t>
  </si>
  <si>
    <t>Expected total units (all brands)</t>
  </si>
  <si>
    <t>linked to Demand_Forecast total (override yellow if needed)</t>
  </si>
  <si>
    <t>Nearest column volume</t>
  </si>
  <si>
    <t>Est. unit production cost (Hike Bike)</t>
  </si>
  <si>
    <t>Note</t>
  </si>
  <si>
    <t>Interpolation not applied — uses nearest published column. Re-paste table if Workspace updates.</t>
  </si>
  <si>
    <t>Room for additional brands (paste when priced)</t>
  </si>
  <si>
    <t>100</t>
  </si>
  <si>
    <t>250</t>
  </si>
  <si>
    <t>500</t>
  </si>
  <si>
    <t>1000</t>
  </si>
  <si>
    <t>5000</t>
  </si>
  <si>
    <t>10000</t>
  </si>
  <si>
    <t>Demand Projection — Current &amp; Next Quarter</t>
  </si>
  <si>
    <t>Formula: Demand = units per salesperson × # sales people. Feeds Manufacturing OC / Pricing / Cost_of_Production. Detail: demand-projection-background.md · Yellow = changeable.</t>
  </si>
  <si>
    <t>Q2 tip: conservative — ~30–70 units/SP; safe ~40. Q3 tip: ~40–80 units/SP; start ~60. Stock-out ill-will: next Q demand cut by half of unmet %.</t>
  </si>
  <si>
    <t>This Quarter (Projected) vs Last Quarter (Actual)</t>
  </si>
  <si>
    <t>Last Q — Sales People</t>
  </si>
  <si>
    <t>Last Q — Demand/SP</t>
  </si>
  <si>
    <t>Last Q — Total Demand</t>
  </si>
  <si>
    <t>This Q — Sales People</t>
  </si>
  <si>
    <t>This Q — Demand/SP</t>
  </si>
  <si>
    <t>This Q — Total Demand</t>
  </si>
  <si>
    <t>Stores</t>
  </si>
  <si>
    <t>Web Sales Center</t>
  </si>
  <si>
    <t>Scenario multiplier (lean stress-test)</t>
  </si>
  <si>
    <t>1.0 = base; 0.5 = half; 1.5 = +50%</t>
  </si>
  <si>
    <t>Total forecasted demand (adjusted) — Manufacturing link</t>
  </si>
  <si>
    <t>Total forecasted demand (adjusted)</t>
  </si>
  <si>
    <t>← Manufacturing!B31 and Cost_of_Production lookup use this cell</t>
  </si>
  <si>
    <t>Changeable this Q: E7/E8 people (linked; override OK) · F7/F8 demand per SP · brand demands below · B10 multiplier</t>
  </si>
  <si>
    <t>Brand Demand Projections</t>
  </si>
  <si>
    <t>Last Q Demand</t>
  </si>
  <si>
    <t>Last Q %</t>
  </si>
  <si>
    <t>This Q Demand</t>
  </si>
  <si>
    <t>This Q %</t>
  </si>
  <si>
    <t>Capacity Required (units)</t>
  </si>
  <si>
    <t>n/a</t>
  </si>
  <si>
    <t>Primary; replace D17 formula with fixed units if splitting brands</t>
  </si>
  <si>
    <t>Optional brand 2</t>
  </si>
  <si>
    <t>Optional brand 3</t>
  </si>
  <si>
    <t>Should equal 100% of B12</t>
  </si>
  <si>
    <t>Brand sum matches total?</t>
  </si>
  <si>
    <t>Operating capacity required to satisfy projected demand</t>
  </si>
  <si>
    <t>Units / Quarter</t>
  </si>
  <si>
    <t>Units / Day</t>
  </si>
  <si>
    <t>Operating capacity required (raw demand)</t>
  </si>
  <si>
    <t>Workspace-style: demand ÷ 65 workdays</t>
  </si>
  <si>
    <t>Min daily OC with productivity pad</t>
  </si>
  <si>
    <t>Use this when scheduling OC (Manufacturing lecture)</t>
  </si>
  <si>
    <t>Fixed capacity / day available</t>
  </si>
  <si>
    <t>Headroom (fixed − padded daily OC)</t>
  </si>
  <si>
    <t>Demand Projection — Next Quarter (for fixed capacity / printers)</t>
  </si>
  <si>
    <t>This Q — Outlets</t>
  </si>
  <si>
    <t>This Q — People</t>
  </si>
  <si>
    <t>This Q — Total</t>
  </si>
  <si>
    <t>Next Q — Outlets</t>
  </si>
  <si>
    <t>Next Q — People</t>
  </si>
  <si>
    <t>Next Q — Demand/SP</t>
  </si>
  <si>
    <t>Next Q — Total</t>
  </si>
  <si>
    <t>Next Q total demand (for printer planning)</t>
  </si>
  <si>
    <t>Link hint: also paste into Sales_Ops Q3 demand / Manufacturing capacity add</t>
  </si>
  <si>
    <t>Next Q min daily OC (w/ productivity pad)</t>
  </si>
  <si>
    <t>If &gt; fixed 24/day, order printers this Q</t>
  </si>
  <si>
    <t>Changeable next Q: F32/F33 outlets · G32/G33 people · H32/H33 demand per SP</t>
  </si>
  <si>
    <t>Ill-will reminder</t>
  </si>
  <si>
    <t>Unmet demand % this Q → next Q demand reduced by half that %. Prefer slight OC buffer / overtime safety net over chronic stock-outs.</t>
  </si>
  <si>
    <t>Workspace — Demand Projection (current + next quarter)</t>
  </si>
  <si>
    <t>Brand Pricing — Q2</t>
  </si>
  <si>
    <t>Decide list price for each brand on sale. Compare to WTP ceiling and estimated unit production cost at expected volume.</t>
  </si>
  <si>
    <t>Priority</t>
  </si>
  <si>
    <t>WTP ceiling</t>
  </si>
  <si>
    <t>Est. unit prod. cost</t>
  </si>
  <si>
    <t>List price (decision)</t>
  </si>
  <si>
    <t>vs WTP</t>
  </si>
  <si>
    <t>Gross vs prod. cost</t>
  </si>
  <si>
    <t>Gross margin %</t>
  </si>
  <si>
    <t>OPEN — set list price</t>
  </si>
  <si>
    <t>Pricing notes</t>
  </si>
  <si>
    <t>Mountain WTP ceiling (ideal brand)</t>
  </si>
  <si>
    <t>Alumni ballpark (advisory only)</t>
  </si>
  <si>
    <t>~$1,260–$1,500</t>
  </si>
  <si>
    <t>At 100 units, COGS ≈ $924 → price must clear this + other opex</t>
  </si>
  <si>
    <t>At 250 units, COGS ≈ $675; at 500 ≈ $550 — volume drops unit cost sharply</t>
  </si>
  <si>
    <t>Decision tip: price near WTP if Brand/Ad Judgment lead; slightly under if fighting for share</t>
  </si>
  <si>
    <t>Team decision (yellow F5). Do not lock until majority vote.</t>
  </si>
  <si>
    <t>Scenario scratch (optional)</t>
  </si>
  <si>
    <t>Trial price</t>
  </si>
  <si>
    <t>Assumed volume</t>
  </si>
  <si>
    <t>Nearest cost column</t>
  </si>
  <si>
    <t>Unit cost at trial volume</t>
  </si>
  <si>
    <t>Unit contribution (price − cost)</t>
  </si>
  <si>
    <t>Media Preference</t>
  </si>
  <si>
    <t>One-time report prepared for your company (Workspace). Higher score = stronger preference for that medium in the segment.</t>
  </si>
  <si>
    <t>Use to prioritize major media placement for Mountain (primary), then Speed / Rec. Yellow = placement decisions (not locked).</t>
  </si>
  <si>
    <t>Medium</t>
  </si>
  <si>
    <t>Mtn rank</t>
  </si>
  <si>
    <t>Leisure &amp; Entertainment</t>
  </si>
  <si>
    <t>Health &amp; Fitness Magazines</t>
  </si>
  <si>
    <t>Biking Magazines</t>
  </si>
  <si>
    <t>Sport Magazines</t>
  </si>
  <si>
    <t>Business Magazines</t>
  </si>
  <si>
    <t>New Venture Magazines</t>
  </si>
  <si>
    <t>General News Magazines</t>
  </si>
  <si>
    <t>Mountain priority (by score)</t>
  </si>
  <si>
    <t>1st</t>
  </si>
  <si>
    <t>Biking Magazines (134)</t>
  </si>
  <si>
    <t>2nd</t>
  </si>
  <si>
    <t>Sport Magazines (123)</t>
  </si>
  <si>
    <t>3rd</t>
  </si>
  <si>
    <t>General News Magazines (122)</t>
  </si>
  <si>
    <t>Avoid / low for Mountain</t>
  </si>
  <si>
    <t>Leisure &amp; Entertainment (60) — Rec-skewed</t>
  </si>
  <si>
    <t>Speed priority (by score)</t>
  </si>
  <si>
    <t>Biking Magazines (133)</t>
  </si>
  <si>
    <t>Business Magazines (125)</t>
  </si>
  <si>
    <t>Sport Magazines (117)</t>
  </si>
  <si>
    <t>Recreation priority (by score)</t>
  </si>
  <si>
    <t>Leisure &amp; Entertainment (143)</t>
  </si>
  <si>
    <t>Health &amp; Fitness Magazines (127)</t>
  </si>
  <si>
    <t>General News Magazines (111)</t>
  </si>
  <si>
    <t>Major media placement (OPEN — team decision)</t>
  </si>
  <si>
    <t>Ad name / focus</t>
  </si>
  <si>
    <t>Primary medium</t>
  </si>
  <si>
    <t>Inserts / spend</t>
  </si>
  <si>
    <t>Secondary medium</t>
  </si>
  <si>
    <t>Geo / notes</t>
  </si>
  <si>
    <t>Hike Bike — Mountain primary</t>
  </si>
  <si>
    <t>AMS + web audience</t>
  </si>
  <si>
    <t>OPEN</t>
  </si>
  <si>
    <t>Secondary segment ad (TBD)</t>
  </si>
  <si>
    <t>Company / corporate ad (optional)</t>
  </si>
  <si>
    <t>Budget / constraints</t>
  </si>
  <si>
    <t>Total traditional media budget (this Q)</t>
  </si>
  <si>
    <t>yellow = decision; keep Cash+CD ≥ $300k</t>
  </si>
  <si>
    <t>Web media / SEM budget (this Q)</t>
  </si>
  <si>
    <t>Workspace — Media Preference (one-time report)</t>
  </si>
  <si>
    <t>Guidance</t>
  </si>
  <si>
    <t>Primary spend should follow Mountain prefs (Biking → Sport → General News). Leisure is Rec-primary — use only if Rec ad launched.</t>
  </si>
  <si>
    <t>Internet Marketing / Organic SEM — Web Pages</t>
  </si>
  <si>
    <t>Q2: build marketing site from ads; assign segment (keywords follow); check to run. Organic first — slow ramp. Yellow = decisions (not locked). Detail: seo-internet-marketing-background.md</t>
  </si>
  <si>
    <t>SERP tip: only first 3 ad benefits show in search results — rank carefully. No deceptive claims (match Hike Bike specs).</t>
  </si>
  <si>
    <t>Background summary</t>
  </si>
  <si>
    <t>Focus</t>
  </si>
  <si>
    <t>Organic SEM this quarter; paid SEM later</t>
  </si>
  <si>
    <t>Content source</t>
  </si>
  <si>
    <t>Convert media ads → web layout (same message)</t>
  </si>
  <si>
    <t>Keywords</t>
  </si>
  <si>
    <t>Agency set per segment — chosen when you pick segment (≠ ad benefits)</t>
  </si>
  <si>
    <t>Expectation</t>
  </si>
  <si>
    <t>Modest early traffic; support with traditional ads that list brand + URL</t>
  </si>
  <si>
    <t>Localize</t>
  </si>
  <si>
    <t>Pages translated / country-tagged for markets with outlets</t>
  </si>
  <si>
    <t>Fee</t>
  </si>
  <si>
    <t>yellow = paste modest web-page design fee from Workspace</t>
  </si>
  <si>
    <t>Web Page Content tracker (from ads)</t>
  </si>
  <si>
    <t>Ad name</t>
  </si>
  <si>
    <t>Brand emphasized</t>
  </si>
  <si>
    <t>Segment + keywords</t>
  </si>
  <si>
    <t>Status (Inactive/Run)</t>
  </si>
  <si>
    <t>SERP top-3 benefits OK?</t>
  </si>
  <si>
    <t>Deceptive flag?</t>
  </si>
  <si>
    <t>Design fee</t>
  </si>
  <si>
    <t>TBD — Mountain primary ad</t>
  </si>
  <si>
    <t>Mountain (agency keywords)</t>
  </si>
  <si>
    <t>Inactive</t>
  </si>
  <si>
    <t>Primary; steep-trail / adventure pool</t>
  </si>
  <si>
    <t>TBD — Secondary segment ad</t>
  </si>
  <si>
    <t>Speed or Rec if launched</t>
  </si>
  <si>
    <t>TBD — Company ad (optional)</t>
  </si>
  <si>
    <t>WeBike (company)</t>
  </si>
  <si>
    <t>No brand emphasize</t>
  </si>
  <si>
    <t>Segment keyword reminder</t>
  </si>
  <si>
    <t>Keywords (paste from Workspace when assigned)</t>
  </si>
  <si>
    <t>Primary use</t>
  </si>
  <si>
    <t>Hike Bike / primary Q2</t>
  </si>
  <si>
    <t>If Speed ad/page launched</t>
  </si>
  <si>
    <t>If Rec ad/page launched</t>
  </si>
  <si>
    <t>Organic support checklist</t>
  </si>
  <si>
    <t>Traditional ads list brand + web URL</t>
  </si>
  <si>
    <t>Yes/No — helps discovery</t>
  </si>
  <si>
    <t>Deceptive review cleared</t>
  </si>
  <si>
    <t>Cash+CD still ≥ $300k after page fees</t>
  </si>
  <si>
    <t>Workspace — Internet marketing / Web Page Content / organic SEM</t>
  </si>
  <si>
    <t>Do not expect</t>
  </si>
  <si>
    <t>Large Q2 demand from organic alone. Pair with media placement + strong top-3 benefits.</t>
  </si>
  <si>
    <t>Sales Channel Ops — Staffing Planner + Regional Summary</t>
  </si>
  <si>
    <t>Plan per-location headcount and specialty training (Service / Recreation / Mountain / Speed). Yellow = inputs. Paste Workspace unit costs into rate table. Test tip: ≤7 people per city; ≥1 service. Detail: sales-channel-background.md</t>
  </si>
  <si>
    <t>Training counts need not equal total headcount — unassigned sell to all segments equally. Prior Q = 0 (no sales staff in Q1 setup).</t>
  </si>
  <si>
    <t>Unit cost rates (paste from Workspace — yellow)</t>
  </si>
  <si>
    <t>Cost item</t>
  </si>
  <si>
    <t>Unit / basis</t>
  </si>
  <si>
    <t>$ this quarter</t>
  </si>
  <si>
    <t>Hiring expense</t>
  </si>
  <si>
    <t>per person hired</t>
  </si>
  <si>
    <t>One-time when headcount rises</t>
  </si>
  <si>
    <t>Layoff expense</t>
  </si>
  <si>
    <t>per person laid off</t>
  </si>
  <si>
    <t>One-time when headcount falls</t>
  </si>
  <si>
    <t>Salary + training — Service</t>
  </si>
  <si>
    <t>per person assigned</t>
  </si>
  <si>
    <t>Specialty training cost</t>
  </si>
  <si>
    <t>Salary + training — Recreation</t>
  </si>
  <si>
    <t>Salary + training — Mountain</t>
  </si>
  <si>
    <t>Primary segment</t>
  </si>
  <si>
    <t>Salary + training — Speed</t>
  </si>
  <si>
    <t>Salary + training — Unassigned / general</t>
  </si>
  <si>
    <t>per unassigned person</t>
  </si>
  <si>
    <t>No specialty; optional rate</t>
  </si>
  <si>
    <t>Rate keys (for formulas): Hire=C7 Layoff=C8 Svc=C9 Rec=C10 Mtn=C11 Spd=C12 Unass=C13</t>
  </si>
  <si>
    <t>Per-location staffing &amp; specialized training</t>
  </si>
  <si>
    <t>Location</t>
  </si>
  <si>
    <t>Total sales+service</t>
  </si>
  <si>
    <t>Service</t>
  </si>
  <si>
    <t>Unassigned (calc)</t>
  </si>
  <si>
    <t>Specialty sum</t>
  </si>
  <si>
    <t>≤7 tip / notes</t>
  </si>
  <si>
    <t>Physical store — Hike Bike primary</t>
  </si>
  <si>
    <t>World Web</t>
  </si>
  <si>
    <t>Total linked to Web Personnel E55 (C55+D55)</t>
  </si>
  <si>
    <t>City #2 (next Q)</t>
  </si>
  <si>
    <t>PLANNING</t>
  </si>
  <si>
    <t>Opens next quarter if scheduled</t>
  </si>
  <si>
    <t>Other / TBD</t>
  </si>
  <si>
    <t>—</t>
  </si>
  <si>
    <t>Optional</t>
  </si>
  <si>
    <t>Checks</t>
  </si>
  <si>
    <t>AMS total ≤7?</t>
  </si>
  <si>
    <t>AMS service ≥1?</t>
  </si>
  <si>
    <t>Specialty ≤ total (all rows)?</t>
  </si>
  <si>
    <t>Estimated salary &amp; training cost by location (uses rates above)</t>
  </si>
  <si>
    <t>Service $</t>
  </si>
  <si>
    <t>Rec $</t>
  </si>
  <si>
    <t>Mountain $</t>
  </si>
  <si>
    <t>Speed $</t>
  </si>
  <si>
    <t>Unassigned $ + Total</t>
  </si>
  <si>
    <t>Total salary &amp; training (all locations)</t>
  </si>
  <si>
    <t>Regional Summary (Workspace mirror — strategic planning)</t>
  </si>
  <si>
    <t>Total Number of Sales and Service People</t>
  </si>
  <si>
    <t>Prior Quarter</t>
  </si>
  <si>
    <t>Q1 had no sales staff</t>
  </si>
  <si>
    <t>Current Quarter</t>
  </si>
  <si>
    <t>Sum of location totals</t>
  </si>
  <si>
    <t>Net Change</t>
  </si>
  <si>
    <t>Costs This Quarter</t>
  </si>
  <si>
    <t>Hiring expenses</t>
  </si>
  <si>
    <t>Net hires × hiring rate (simple; refine if mix hire/layoff)</t>
  </si>
  <si>
    <t>Lay off expenses</t>
  </si>
  <si>
    <t>Net layoffs × layoff rate</t>
  </si>
  <si>
    <t>Salary and Training Costs</t>
  </si>
  <si>
    <t>From specialty assignments × rates</t>
  </si>
  <si>
    <t>TOTAL people costs (hire + layoff + salary/training)</t>
  </si>
  <si>
    <t>Specialty mix — current quarter (all locations)</t>
  </si>
  <si>
    <t>Unassigned</t>
  </si>
  <si>
    <t>Web Personnel (Workspace — World Market)</t>
  </si>
  <si>
    <t>Changeable: Web Sales headcount · Web Support headcount. Annual compensation shown is industry-sales package baseline ($19,310) until our Comp_Industry package is locked — then update.</t>
  </si>
  <si>
    <t>Annual Compensation</t>
  </si>
  <si>
    <t>Web Sales</t>
  </si>
  <si>
    <t>Web Support</t>
  </si>
  <si>
    <t>Total Sales People</t>
  </si>
  <si>
    <t>Bangalore, World Market</t>
  </si>
  <si>
    <t>Compensation source</t>
  </si>
  <si>
    <t>Prefer Comp_Industry total when set; B55 is the $ used for employ-cost calc</t>
  </si>
  <si>
    <t>Use Comp_Industry sales total for B55?</t>
  </si>
  <si>
    <t>Paste or set B55 = Comp_Industry!C42 when package decided</t>
  </si>
  <si>
    <t>Sync tip</t>
  </si>
  <si>
    <t>Set row 20 (World Web) Total ≈ E55. Specialty columns on row 20 are optional for web; Web Sales vs Web Support is the Workspace split.</t>
  </si>
  <si>
    <t>World Web row20 Total vs Web Personnel Total</t>
  </si>
  <si>
    <t>0 = synced</t>
  </si>
  <si>
    <t>Web Personnel Summary</t>
  </si>
  <si>
    <t>Total number of web personnel in the prior quarter</t>
  </si>
  <si>
    <t>Q1: web center opening, no staff yet</t>
  </si>
  <si>
    <t>Total number of web personnel in the current quarter</t>
  </si>
  <si>
    <t>Net change in number of web personnel</t>
  </si>
  <si>
    <t>Cost to hire new web personnel</t>
  </si>
  <si>
    <t>Uses Hiring expense rate C7 (paste from Workspace)</t>
  </si>
  <si>
    <t>Cost to lay off web personnel</t>
  </si>
  <si>
    <t>Uses Layoff expense rate C8</t>
  </si>
  <si>
    <t>Cost to employ web personnel for the quarter</t>
  </si>
  <si>
    <t>Assumes annual package ÷ 4 × headcount (adjust if Workspace uses different timing)</t>
  </si>
  <si>
    <t>TOTAL web people costs (hire + layoff + employ)</t>
  </si>
  <si>
    <t>Elements that can be changed</t>
  </si>
  <si>
    <t>Web Sales (C55) · Web Support (D55) · Annual compensation (B55) · Hire/layoff rates (C7/C8)</t>
  </si>
  <si>
    <t>Web productivity tactics — see sheet Web_Productivity</t>
  </si>
  <si>
    <t>Active cash this Q (linked)</t>
  </si>
  <si>
    <t>Edit Start/Budget on Web_Productivity sheet</t>
  </si>
  <si>
    <t>Quarters to full effect</t>
  </si>
  <si>
    <t>Toll-free default</t>
  </si>
  <si>
    <t>Setup $3,000 · Quarterly $3,000</t>
  </si>
  <si>
    <t>Page upgrades default</t>
  </si>
  <si>
    <t>Setup $6,000 · Quarterly $6,000</t>
  </si>
  <si>
    <t>Curve insight</t>
  </si>
  <si>
    <t>Toll-free &gt;&gt; page upgrades on % improvement; diminishing returns after ~$10k</t>
  </si>
  <si>
    <t>Total web tactics budget (linked)</t>
  </si>
  <si>
    <t>New sales outlet for NEXT quarter (city #2)</t>
  </si>
  <si>
    <t>Open a new store?</t>
  </si>
  <si>
    <t>Yes/No — takes full quarter to open</t>
  </si>
  <si>
    <t>City candidate</t>
  </si>
  <si>
    <t>Strategy bias: NYC; also set row 21 headcount for opening staff</t>
  </si>
  <si>
    <t>Setup cost (hint)</t>
  </si>
  <si>
    <t>Quarterly lease (hint)</t>
  </si>
  <si>
    <t>Demand forecast bridge</t>
  </si>
  <si>
    <t>Q2 total demand</t>
  </si>
  <si>
    <t>Q3 demand projection</t>
  </si>
  <si>
    <t>Naive AMS Mountain /4 (context only)</t>
  </si>
  <si>
    <t>Cash reminder</t>
  </si>
  <si>
    <t>Ending Cash+CD ≥ $300,000 after store + web people costs, tactics, leases, optional store setup.</t>
  </si>
  <si>
    <t>Web Productivity — Purchase Probability Tactics</t>
  </si>
  <si>
    <t>Workspace: Options to Improve the Probability of Purchase. Start this quarter; full effect over a few quarters; diminishing returns on budget. Detail: web-productivity-background.md · Yellow = decisions (not locked).</t>
  </si>
  <si>
    <t>You can Stop a service anytime. Chart points are approximate read-offs from Workspace graph.</t>
  </si>
  <si>
    <t>Options to Improve the Probability of Purchase</t>
  </si>
  <si>
    <t>Activity</t>
  </si>
  <si>
    <t>Start (Y/N)</t>
  </si>
  <si>
    <t>Stop (Y/N)</t>
  </si>
  <si>
    <t>Setup Cost</t>
  </si>
  <si>
    <t>Quarterly Budget</t>
  </si>
  <si>
    <t>Est. Potential Improvement %</t>
  </si>
  <si>
    <t>Setup due this Q?</t>
  </si>
  <si>
    <t>Cash hit this Q</t>
  </si>
  <si>
    <t>Toll-free phone number for advising customers in the decision making process and for handling service calls</t>
  </si>
  <si>
    <t>Continuous upgrading of the product description, pricing, and order entry pages to improve content, visual appeal and navigation</t>
  </si>
  <si>
    <t>TOTAL web productivity cash this quarter</t>
  </si>
  <si>
    <t>Sum of active tactics (setup if flagged + quarterly budget)</t>
  </si>
  <si>
    <t>Planning notes</t>
  </si>
  <si>
    <t>Default Workspace budgets sit on the steep part of both curves (efficient).</t>
  </si>
  <si>
    <t>Toll-free dominates page upgrades on improvement % at every budget on the chart.</t>
  </si>
  <si>
    <t>Most incremental gain is earned by ~$10k; $10k→$30k adds only ~5 points.</t>
  </si>
  <si>
    <t>Effects take a few quarters to fully mature — don’t expect full % in Q2 alone.</t>
  </si>
  <si>
    <t>Elements that can be changed: Start/Stop · Quarterly Budget · Setup-due flag</t>
  </si>
  <si>
    <t>Potential Improvement [%] vs Quarterly Budget (approx chart read-off)</t>
  </si>
  <si>
    <t>Toll-free phone %</t>
  </si>
  <si>
    <t>Page upgrades %</t>
  </si>
  <si>
    <t>Workspace Web Sales Center + Potential Improvement chart (Q2)</t>
  </si>
  <si>
    <t>Cash rule</t>
  </si>
  <si>
    <t>Keep ending Cash+CD ≥ $300,000 after web productivity + personnel + other Q2 spends.</t>
  </si>
  <si>
    <t>Needs Snapshot — linked to Needs sheet</t>
  </si>
  <si>
    <t>After entering scores on Needs, filter each block where Flag = IMPORTANT, or sort Score descending (copy-paste values if needed).</t>
  </si>
  <si>
    <t>Recreation priorities</t>
  </si>
  <si>
    <t>Mountain priorities</t>
  </si>
  <si>
    <t>Speed priorities</t>
  </si>
  <si>
    <t>Need</t>
  </si>
  <si>
    <t>Score</t>
  </si>
  <si>
    <t>Flag</t>
  </si>
  <si>
    <t>Growth Room vs Classmates (1–5 scores)</t>
  </si>
  <si>
    <t>Gap index = Attractiveness + Serveability − Crowding (higher = more room for growth). Yellow = inputs.</t>
  </si>
  <si>
    <t>City / Channel</t>
  </si>
  <si>
    <t>Attractiveness (1–5)</t>
  </si>
  <si>
    <t>Expected crowding (1–5)</t>
  </si>
  <si>
    <t>Our serveability (1–5)</t>
  </si>
  <si>
    <t>Gap index</t>
  </si>
  <si>
    <t>Why peers may leave it</t>
  </si>
  <si>
    <t>Priority (H/M/L)</t>
  </si>
  <si>
    <t>New York</t>
  </si>
  <si>
    <t>Web</t>
  </si>
  <si>
    <t>Competitor (Classmate) Tracker</t>
  </si>
  <si>
    <t>Q2+: enter firm names and metrics from results / purchased research. Competitor-first buy priority.</t>
  </si>
  <si>
    <t>Firm</t>
  </si>
  <si>
    <t>Quarter</t>
  </si>
  <si>
    <t>Segments</t>
  </si>
  <si>
    <t>Cities / Web</t>
  </si>
  <si>
    <t>Brand Judgment notes</t>
  </si>
  <si>
    <t>Ad Judgment notes</t>
  </si>
  <si>
    <t>Price posture</t>
  </si>
  <si>
    <t>Share / demand served</t>
  </si>
  <si>
    <t>Weakness / gap for us</t>
  </si>
  <si>
    <t>Our response</t>
  </si>
  <si>
    <t>Research purchase log (competitor-first)</t>
  </si>
  <si>
    <t>Report bought</t>
  </si>
  <si>
    <t>Cost</t>
  </si>
  <si>
    <t>Key competitor insight</t>
  </si>
  <si>
    <t>Action</t>
  </si>
  <si>
    <t>Compensation &amp; Productivity Planner (Q2)</t>
  </si>
  <si>
    <t>Team goal: pay ABOVE average. Interactive planning: try packages → estimate productivity. Importance early: Salary → Health → Vacation → Pension. Detail: compensation-background.md</t>
  </si>
  <si>
    <t>Projected productivity starts ~70%. Last-quarter industry averages appear from Q3. Yellow = our decisions (not locked).</t>
  </si>
  <si>
    <t>Sales people</t>
  </si>
  <si>
    <t>Component</t>
  </si>
  <si>
    <t>Industry setting</t>
  </si>
  <si>
    <t>Importance of further improvement</t>
  </si>
  <si>
    <t>Salary</t>
  </si>
  <si>
    <t>Health benefits</t>
  </si>
  <si>
    <t>Minimum</t>
  </si>
  <si>
    <t>Vacation</t>
  </si>
  <si>
    <t>1 week</t>
  </si>
  <si>
    <t>Pension</t>
  </si>
  <si>
    <t>1%</t>
  </si>
  <si>
    <t>TOTAL yearly cost</t>
  </si>
  <si>
    <t>Production workers</t>
  </si>
  <si>
    <t>2%</t>
  </si>
  <si>
    <t>Benefit cost menus — Sales (Workspace)</t>
  </si>
  <si>
    <t>Health tier</t>
  </si>
  <si>
    <t>Vacation weeks</t>
  </si>
  <si>
    <t>Total cost</t>
  </si>
  <si>
    <t>vs Industry</t>
  </si>
  <si>
    <t>No health benefits</t>
  </si>
  <si>
    <t>Expanded</t>
  </si>
  <si>
    <t>Full coverage</t>
  </si>
  <si>
    <t>Comprehensive</t>
  </si>
  <si>
    <t>Note: Production health/vacation $ may differ — confirm in Workspace (Q1 ind. Min health $1,400 / 1 wk $363).</t>
  </si>
  <si>
    <t>Pension cost = Salary × (Pension % / 100). Salary $ = cost $.</t>
  </si>
  <si>
    <t>OUR SALES PACKAGE (interactive — yellow)</t>
  </si>
  <si>
    <t>Our choice</t>
  </si>
  <si>
    <t>Cost $</t>
  </si>
  <si>
    <t>Industry</t>
  </si>
  <si>
    <t>vs Industry $</t>
  </si>
  <si>
    <t>Importance</t>
  </si>
  <si>
    <t>Annual salary</t>
  </si>
  <si>
    <t>Health (type tier name or paste cost)</t>
  </si>
  <si>
    <t>Pension %</t>
  </si>
  <si>
    <t>TOTAL yearly cost / person</t>
  </si>
  <si>
    <t>Estimated sales productivity %</t>
  </si>
  <si>
    <t>Norm ~70%; raise if package clearly above industry / peers</t>
  </si>
  <si>
    <t>Above industry total?</t>
  </si>
  <si>
    <t>OUR PRODUCTION PACKAGE (interactive — yellow)</t>
  </si>
  <si>
    <t>Health cost (paste from Workspace)</t>
  </si>
  <si>
    <t>Vacation weeks / cost</t>
  </si>
  <si>
    <t>Estimated production productivity %</t>
  </si>
  <si>
    <t>Feeds Manufacturing!B32 — keep in sync when locked</t>
  </si>
  <si>
    <t>Link tip</t>
  </si>
  <si>
    <t>When production productivity is set, copy to Manufacturing worker productivity (OC pad).</t>
  </si>
  <si>
    <t>Scenario scratch (optional what-ifs)</t>
  </si>
  <si>
    <t>Scenario name</t>
  </si>
  <si>
    <t>Role</t>
  </si>
  <si>
    <t>Total $/person</t>
  </si>
  <si>
    <t>Est. productivity %</t>
  </si>
  <si>
    <t>$ per productivity point</t>
  </si>
  <si>
    <t>Q3 note</t>
  </si>
  <si>
    <t>Paste last-quarter industry average packages here when available; re-benchmark.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</si>
</sst>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5" x14ac:knownFonts="1">
    <font>
      <sz val="11"/>
      <color theme="1"/>
      <name val="Calibri"/>
      <family val="2"/>
      <scheme val="minor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b/>
      <sz val="14"/>
      <color rgb="FF1F4E79"/>
      <name val="Calibri"/>
      <family val="2"/>
    </font>
    <font>
      <b/>
      <sz val="11"/>
      <name val="Calibri"/>
      <family val="2"/>
    </font>
    <font>
      <b/>
      <sz val="11"/>
      <color rgb="FF1F4E79"/>
      <name val="Calibri"/>
      <family val="2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b/>
      <sz val="11"/>
      <color rgb="FFFFFFFF"/>
      <name val="Calibri"/>
      <family val="2"/>
    </font>
    <font>
      <i/>
      <sz val="9"/>
      <color rgb="FF666666"/>
      <name val="Calibri"/>
      <family val="2"/>
    </font>
    <font>
      <b/>
      <sz val="11"/>
      <color rgb="FF006100"/>
      <name val="Calibri"/>
      <family val="2"/>
    </font>
    <font>
      <b/>
      <sz val="14"/>
      <color rgb="FF1F4E79"/>
      <name val="Calibri"/>
      <family val="2"/>
    </font>
    <font>
      <b/>
      <sz val="11"/>
      <color rgb="FF1F4E79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color rgb="FF1F4E79"/>
      <name val="Calibri"/>
      <family val="2"/>
    </font>
    <font>
      <i/>
      <sz val="9"/>
      <color rgb="FF666666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C00000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FFFFFF"/>
        <bgColor indexed="64"/>
      </patternFill>
    </fill>
    <fill>
      <patternFill patternType="solid">
        <fgColor rgb="FFD7E9F8"/>
        <bgColor indexed="64"/>
      </patternFill>
    </fill>
    <fill>
      <patternFill patternType="solid">
        <fgColor rgb="FFF1F8FD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DDEBF7"/>
      </patternFill>
    </fill>
  </fills>
  <borders count="1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medium">
        <color rgb="FFD1D1D1"/>
      </right>
      <top style="medium">
        <color rgb="FFE7E7E7"/>
      </top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  <border>
      <left/>
      <right/>
      <top style="thin">
        <color rgb="FFB0B0B0"/>
      </top>
      <bottom/>
      <diagonal/>
    </border>
    <border>
      <left style="thin">
        <color rgb="FFB0B0B0"/>
      </left>
      <right/>
      <top/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 style="thin">
        <color rgb="FFB0B0B0"/>
      </right>
      <top/>
      <bottom/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2">
    <xf numFmtId="0" fontId="0" fillId="0" borderId="11"/>
    <xf numFmtId="0" fontId="7" fillId="9" borderId="11"/>
  </cellStyleXfs>
  <cellXfs count="129">
    <xf numFmtId="0" fontId="0" fillId="0" borderId="0" xfId="0" applyBorder="1"/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Border="1"/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/>
    <xf numFmtId="0" fontId="0" fillId="4" borderId="1" xfId="0" applyFill="1" applyBorder="1"/>
    <xf numFmtId="164" fontId="0" fillId="0" borderId="0" xfId="0" applyNumberFormat="1" applyBorder="1"/>
    <xf numFmtId="0" fontId="0" fillId="3" borderId="1" xfId="0" applyFill="1" applyBorder="1"/>
    <xf numFmtId="0" fontId="5" fillId="0" borderId="0" xfId="0" applyFont="1" applyBorder="1"/>
    <xf numFmtId="0" fontId="0" fillId="0" borderId="1" xfId="0" applyBorder="1"/>
    <xf numFmtId="0" fontId="4" fillId="0" borderId="0" xfId="0" applyFont="1" applyBorder="1"/>
    <xf numFmtId="0" fontId="6" fillId="6" borderId="2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righ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righ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righ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right" vertical="center" wrapText="1"/>
    </xf>
    <xf numFmtId="3" fontId="6" fillId="7" borderId="3" xfId="0" applyNumberFormat="1" applyFont="1" applyFill="1" applyBorder="1" applyAlignment="1">
      <alignment horizontal="right" vertical="center" wrapText="1"/>
    </xf>
    <xf numFmtId="3" fontId="6" fillId="5" borderId="3" xfId="0" applyNumberFormat="1" applyFont="1" applyFill="1" applyBorder="1" applyAlignment="1">
      <alignment horizontal="right" vertical="center" wrapText="1"/>
    </xf>
    <xf numFmtId="3" fontId="6" fillId="6" borderId="3" xfId="0" applyNumberFormat="1" applyFont="1" applyFill="1" applyBorder="1" applyAlignment="1">
      <alignment horizontal="right" vertical="center" wrapText="1"/>
    </xf>
    <xf numFmtId="0" fontId="7" fillId="9" borderId="1" xfId="1" applyBorder="1"/>
    <xf numFmtId="0" fontId="0" fillId="10" borderId="0" xfId="0" applyFill="1" applyBorder="1"/>
    <xf numFmtId="0" fontId="8" fillId="0" borderId="0" xfId="0" applyFont="1" applyBorder="1"/>
    <xf numFmtId="0" fontId="9" fillId="11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/>
    <xf numFmtId="0" fontId="0" fillId="0" borderId="11" xfId="0"/>
    <xf numFmtId="0" fontId="10" fillId="0" borderId="11" xfId="0" applyFont="1"/>
    <xf numFmtId="0" fontId="11" fillId="0" borderId="11" xfId="0" applyFont="1"/>
    <xf numFmtId="0" fontId="10" fillId="0" borderId="0" xfId="0" applyFont="1" applyBorder="1"/>
    <xf numFmtId="0" fontId="12" fillId="0" borderId="0" xfId="0" applyFont="1" applyBorder="1"/>
    <xf numFmtId="0" fontId="13" fillId="0" borderId="0" xfId="0" applyFont="1" applyBorder="1"/>
    <xf numFmtId="0" fontId="0" fillId="0" borderId="12" xfId="0" applyBorder="1" applyAlignment="1">
      <alignment horizontal="center" vertical="center" wrapText="1"/>
    </xf>
    <xf numFmtId="0" fontId="0" fillId="12" borderId="12" xfId="0" applyFill="1" applyBorder="1" applyAlignment="1">
      <alignment horizontal="left" vertical="center" wrapText="1"/>
    </xf>
    <xf numFmtId="0" fontId="0" fillId="12" borderId="12" xfId="0" applyFill="1" applyBorder="1" applyAlignment="1">
      <alignment horizontal="center" vertical="center" wrapText="1"/>
    </xf>
    <xf numFmtId="0" fontId="0" fillId="13" borderId="12" xfId="0" applyFill="1" applyBorder="1" applyAlignment="1">
      <alignment horizontal="left" vertical="center" wrapText="1"/>
    </xf>
    <xf numFmtId="0" fontId="0" fillId="13" borderId="12" xfId="0" applyFill="1" applyBorder="1"/>
    <xf numFmtId="0" fontId="14" fillId="0" borderId="0" xfId="0" applyFont="1" applyBorder="1"/>
    <xf numFmtId="0" fontId="0" fillId="14" borderId="12" xfId="0" applyFill="1" applyBorder="1"/>
    <xf numFmtId="0" fontId="15" fillId="0" borderId="11" xfId="0" applyFont="1"/>
    <xf numFmtId="0" fontId="16" fillId="0" borderId="12" xfId="0" applyFont="1" applyBorder="1"/>
    <xf numFmtId="0" fontId="1" fillId="0" borderId="13" xfId="0" applyFont="1" applyBorder="1"/>
    <xf numFmtId="0" fontId="0" fillId="0" borderId="13" xfId="0" applyBorder="1"/>
    <xf numFmtId="0" fontId="17" fillId="0" borderId="0" xfId="0" applyFont="1" applyBorder="1"/>
    <xf numFmtId="0" fontId="18" fillId="0" borderId="0" xfId="0" applyFont="1" applyBorder="1"/>
    <xf numFmtId="0" fontId="20" fillId="15" borderId="13" xfId="0" applyFont="1" applyFill="1" applyBorder="1" applyAlignment="1">
      <alignment horizontal="center" vertical="center" wrapText="1"/>
    </xf>
    <xf numFmtId="0" fontId="0" fillId="16" borderId="13" xfId="0" applyFill="1" applyBorder="1"/>
    <xf numFmtId="0" fontId="0" fillId="18" borderId="13" xfId="0" applyFill="1" applyBorder="1"/>
    <xf numFmtId="0" fontId="19" fillId="0" borderId="0" xfId="0" applyFont="1" applyBorder="1"/>
    <xf numFmtId="0" fontId="0" fillId="17" borderId="13" xfId="0" applyFill="1" applyBorder="1"/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16" borderId="13" xfId="0" applyFill="1" applyBorder="1" applyAlignment="1">
      <alignment horizontal="center" vertical="center" wrapText="1"/>
    </xf>
    <xf numFmtId="0" fontId="0" fillId="16" borderId="13" xfId="0" applyFill="1" applyBorder="1" applyAlignment="1">
      <alignment horizontal="left" vertical="center" wrapText="1"/>
    </xf>
    <xf numFmtId="0" fontId="0" fillId="17" borderId="13" xfId="0" applyFill="1" applyBorder="1" applyAlignment="1">
      <alignment horizontal="center" vertical="center" wrapText="1"/>
    </xf>
    <xf numFmtId="0" fontId="0" fillId="17" borderId="13" xfId="0" applyFill="1" applyBorder="1" applyAlignment="1">
      <alignment horizontal="left" vertical="center" wrapText="1"/>
    </xf>
    <xf numFmtId="0" fontId="21" fillId="0" borderId="0" xfId="0" applyFont="1" applyBorder="1"/>
    <xf numFmtId="0" fontId="0" fillId="10" borderId="13" xfId="0" applyFill="1" applyBorder="1"/>
    <xf numFmtId="0" fontId="22" fillId="0" borderId="0" xfId="0" applyFont="1" applyBorder="1"/>
    <xf numFmtId="0" fontId="0" fillId="19" borderId="0" xfId="0" applyFill="1" applyBorder="1"/>
    <xf numFmtId="164" fontId="0" fillId="19" borderId="0" xfId="0" applyNumberFormat="1" applyFill="1" applyBorder="1"/>
    <xf numFmtId="0" fontId="23" fillId="0" borderId="0" xfId="0" applyFont="1" applyBorder="1"/>
    <xf numFmtId="0" fontId="24" fillId="20" borderId="14" xfId="0" applyFont="1" applyFill="1" applyBorder="1"/>
    <xf numFmtId="0" fontId="0" fillId="21" borderId="14" xfId="0" applyFill="1" applyBorder="1"/>
    <xf numFmtId="3" fontId="0" fillId="0" borderId="14" xfId="0" applyNumberFormat="1" applyBorder="1"/>
    <xf numFmtId="3" fontId="0" fillId="0" borderId="0" xfId="0" applyNumberFormat="1" applyBorder="1"/>
    <xf numFmtId="0" fontId="0" fillId="19" borderId="14" xfId="0" applyFill="1" applyBorder="1"/>
    <xf numFmtId="3" fontId="0" fillId="19" borderId="14" xfId="0" applyNumberFormat="1" applyFill="1" applyBorder="1"/>
    <xf numFmtId="3" fontId="0" fillId="19" borderId="0" xfId="0" applyNumberFormat="1" applyFill="1" applyBorder="1"/>
    <xf numFmtId="0" fontId="0" fillId="0" borderId="14" xfId="0" applyBorder="1"/>
    <xf numFmtId="0" fontId="0" fillId="22" borderId="14" xfId="0" applyFill="1" applyBorder="1"/>
    <xf numFmtId="0" fontId="24" fillId="20" borderId="14" xfId="0" applyFont="1" applyFill="1" applyBorder="1" applyAlignment="1">
      <alignment horizontal="center" vertical="center" wrapText="1"/>
    </xf>
    <xf numFmtId="3" fontId="0" fillId="13" borderId="14" xfId="0" applyNumberFormat="1" applyFill="1" applyBorder="1"/>
    <xf numFmtId="0" fontId="0" fillId="13" borderId="14" xfId="0" applyFill="1" applyBorder="1"/>
    <xf numFmtId="165" fontId="0" fillId="19" borderId="0" xfId="0" applyNumberFormat="1" applyFill="1" applyBorder="1"/>
    <xf numFmtId="0" fontId="24" fillId="0" borderId="0" xfId="0" applyFont="1" applyBorder="1"/>
    <xf numFmtId="3" fontId="24" fillId="0" borderId="0" xfId="0" applyNumberFormat="1" applyFont="1" applyBorder="1"/>
    <xf numFmtId="3" fontId="0" fillId="22" borderId="0" xfId="0" applyNumberFormat="1" applyFill="1" applyBorder="1"/>
    <xf numFmtId="3" fontId="0" fillId="23" borderId="0" xfId="0" applyNumberFormat="1" applyFill="1" applyBorder="1"/>
    <xf numFmtId="0" fontId="0" fillId="23" borderId="0" xfId="0" applyFill="1" applyBorder="1"/>
    <xf numFmtId="0" fontId="0" fillId="23" borderId="14" xfId="0" applyFill="1" applyBorder="1"/>
    <xf numFmtId="0" fontId="22" fillId="0" borderId="15" xfId="0" applyFont="1" applyBorder="1"/>
    <xf numFmtId="0" fontId="0" fillId="0" borderId="15" xfId="0" applyBorder="1"/>
    <xf numFmtId="0" fontId="24" fillId="0" borderId="15" xfId="0" applyFont="1" applyBorder="1"/>
    <xf numFmtId="3" fontId="0" fillId="0" borderId="15" xfId="0" applyNumberFormat="1" applyBorder="1"/>
    <xf numFmtId="0" fontId="0" fillId="23" borderId="15" xfId="0" applyFill="1" applyBorder="1"/>
    <xf numFmtId="3" fontId="0" fillId="23" borderId="15" xfId="0" applyNumberFormat="1" applyFill="1" applyBorder="1"/>
    <xf numFmtId="3" fontId="24" fillId="0" borderId="15" xfId="0" applyNumberFormat="1" applyFont="1" applyBorder="1"/>
    <xf numFmtId="3" fontId="24" fillId="20" borderId="14" xfId="0" applyNumberFormat="1" applyFont="1" applyFill="1" applyBorder="1"/>
    <xf numFmtId="164" fontId="0" fillId="0" borderId="14" xfId="0" applyNumberFormat="1" applyBorder="1"/>
    <xf numFmtId="3" fontId="0" fillId="23" borderId="14" xfId="0" applyNumberFormat="1" applyFill="1" applyBorder="1"/>
    <xf numFmtId="3" fontId="24" fillId="22" borderId="0" xfId="0" applyNumberFormat="1" applyFont="1" applyFill="1" applyBorder="1"/>
    <xf numFmtId="2" fontId="0" fillId="19" borderId="14" xfId="0" applyNumberFormat="1" applyFill="1" applyBorder="1"/>
    <xf numFmtId="0" fontId="24" fillId="0" borderId="14" xfId="0" applyFont="1" applyBorder="1"/>
    <xf numFmtId="3" fontId="24" fillId="23" borderId="14" xfId="0" applyNumberFormat="1" applyFont="1" applyFill="1" applyBorder="1"/>
    <xf numFmtId="164" fontId="0" fillId="23" borderId="14" xfId="0" applyNumberFormat="1" applyFill="1" applyBorder="1"/>
    <xf numFmtId="2" fontId="0" fillId="0" borderId="0" xfId="0" applyNumberFormat="1" applyBorder="1"/>
    <xf numFmtId="0" fontId="24" fillId="23" borderId="14" xfId="0" applyFont="1" applyFill="1" applyBorder="1"/>
    <xf numFmtId="0" fontId="23" fillId="0" borderId="15" xfId="0" applyFont="1" applyBorder="1"/>
    <xf numFmtId="164" fontId="0" fillId="19" borderId="14" xfId="0" applyNumberFormat="1" applyFill="1" applyBorder="1"/>
    <xf numFmtId="164" fontId="0" fillId="0" borderId="15" xfId="0" applyNumberFormat="1" applyBorder="1"/>
    <xf numFmtId="2" fontId="0" fillId="23" borderId="14" xfId="0" applyNumberFormat="1" applyFill="1" applyBorder="1"/>
    <xf numFmtId="4" fontId="0" fillId="23" borderId="14" xfId="0" applyNumberFormat="1" applyFill="1" applyBorder="1"/>
    <xf numFmtId="4" fontId="0" fillId="22" borderId="14" xfId="0" applyNumberFormat="1" applyFill="1" applyBorder="1"/>
    <xf numFmtId="164" fontId="0" fillId="23" borderId="0" xfId="0" applyNumberFormat="1" applyFill="1" applyBorder="1"/>
    <xf numFmtId="4" fontId="0" fillId="23" borderId="0" xfId="0" applyNumberFormat="1" applyFill="1" applyBorder="1"/>
    <xf numFmtId="9" fontId="0" fillId="19" borderId="14" xfId="0" applyNumberFormat="1" applyFill="1" applyBorder="1"/>
    <xf numFmtId="3" fontId="0" fillId="22" borderId="14" xfId="0" applyNumberFormat="1" applyFill="1" applyBorder="1"/>
    <xf numFmtId="164" fontId="0" fillId="22" borderId="0" xfId="0" applyNumberFormat="1" applyFill="1" applyBorder="1"/>
    <xf numFmtId="2" fontId="0" fillId="23" borderId="0" xfId="0" applyNumberFormat="1" applyFill="1" applyBorder="1"/>
    <xf numFmtId="4" fontId="0" fillId="0" borderId="0" xfId="0" applyNumberFormat="1" applyBorder="1"/>
    <xf numFmtId="0" fontId="18" fillId="0" borderId="11" xfId="0" applyFont="1"/>
    <xf numFmtId="0" fontId="0" fillId="0" borderId="0" xfId="0" applyBorder="1"/>
    <xf numFmtId="0" fontId="0" fillId="3" borderId="13" xfId="0" applyFill="1" applyBorder="1" applyAlignment="1">
      <alignment vertical="top" wrapText="1"/>
    </xf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/>
    <xf numFmtId="0" fontId="10" fillId="0" borderId="11" xfId="0" applyFont="1"/>
  </cellXfs>
  <cellStyles count="2">
    <cellStyle name="20% - Accent1" xfId="1" builtinId="30"/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Operating Capacity Costs per Unit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Manufacturing!$B$56</c:f>
              <c:strCache>
                <c:ptCount val="1"/>
                <c:pt idx="0">
                  <c:v>Labor $/unit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Manufacturing!$A$57:$A$71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</c:numCache>
            </c:numRef>
          </c:cat>
          <c:val>
            <c:numRef>
              <c:f>Manufacturing!$B$57:$B$71</c:f>
              <c:numCache>
                <c:formatCode>#,##0</c:formatCode>
                <c:ptCount val="15"/>
                <c:pt idx="0">
                  <c:v>1200</c:v>
                </c:pt>
                <c:pt idx="1">
                  <c:v>380</c:v>
                </c:pt>
                <c:pt idx="2">
                  <c:v>220</c:v>
                </c:pt>
                <c:pt idx="3">
                  <c:v>190</c:v>
                </c:pt>
                <c:pt idx="4">
                  <c:v>170</c:v>
                </c:pt>
                <c:pt idx="5">
                  <c:v>155</c:v>
                </c:pt>
                <c:pt idx="6">
                  <c:v>145</c:v>
                </c:pt>
                <c:pt idx="7">
                  <c:v>135</c:v>
                </c:pt>
                <c:pt idx="8">
                  <c:v>125</c:v>
                </c:pt>
                <c:pt idx="9">
                  <c:v>115</c:v>
                </c:pt>
                <c:pt idx="10">
                  <c:v>110</c:v>
                </c:pt>
                <c:pt idx="11">
                  <c:v>120</c:v>
                </c:pt>
                <c:pt idx="12">
                  <c:v>190</c:v>
                </c:pt>
                <c:pt idx="13">
                  <c:v>300</c:v>
                </c:pt>
                <c:pt idx="14">
                  <c:v>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FD-41FA-97CF-4DF08036B95D}"/>
            </c:ext>
          </c:extLst>
        </c:ser>
        <c:ser>
          <c:idx val="1"/>
          <c:order val="1"/>
          <c:tx>
            <c:strRef>
              <c:f>Manufacturing!$C$56</c:f>
              <c:strCache>
                <c:ptCount val="1"/>
                <c:pt idx="0">
                  <c:v>Overhead $/unit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Manufacturing!$A$57:$A$71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</c:numCache>
            </c:numRef>
          </c:cat>
          <c:val>
            <c:numRef>
              <c:f>Manufacturing!$C$57:$C$71</c:f>
              <c:numCache>
                <c:formatCode>#,##0</c:formatCode>
                <c:ptCount val="15"/>
                <c:pt idx="0">
                  <c:v>1400</c:v>
                </c:pt>
                <c:pt idx="1">
                  <c:v>350</c:v>
                </c:pt>
                <c:pt idx="2">
                  <c:v>180</c:v>
                </c:pt>
                <c:pt idx="3">
                  <c:v>130</c:v>
                </c:pt>
                <c:pt idx="4">
                  <c:v>95</c:v>
                </c:pt>
                <c:pt idx="5">
                  <c:v>80</c:v>
                </c:pt>
                <c:pt idx="6">
                  <c:v>70</c:v>
                </c:pt>
                <c:pt idx="7">
                  <c:v>60</c:v>
                </c:pt>
                <c:pt idx="8">
                  <c:v>55</c:v>
                </c:pt>
                <c:pt idx="9">
                  <c:v>50</c:v>
                </c:pt>
                <c:pt idx="10">
                  <c:v>48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FD-41FA-97CF-4DF08036B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Operating Capacity (units/day)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per unit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Projected Change in Worker Productivity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Manufacturing!$B$100</c:f>
              <c:strCache>
                <c:ptCount val="1"/>
                <c:pt idx="0">
                  <c:v>Productivity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Manufacturing!$A$101:$A$105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Manufacturing!$B$101:$B$105</c:f>
              <c:numCache>
                <c:formatCode>0.0%</c:formatCode>
                <c:ptCount val="5"/>
                <c:pt idx="0">
                  <c:v>0.7</c:v>
                </c:pt>
                <c:pt idx="1">
                  <c:v>0.69299999999999995</c:v>
                </c:pt>
                <c:pt idx="2">
                  <c:v>0.68</c:v>
                </c:pt>
                <c:pt idx="3">
                  <c:v>0.66400000000000003</c:v>
                </c:pt>
                <c:pt idx="4">
                  <c:v>0.64400000000000002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63-4D78-BE9D-456AF6EB2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Overtime Hours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Productivity %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Hike Bike unit cost vs volume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Cost_of_Production!$B$5</c:f>
              <c:strCache>
                <c:ptCount val="1"/>
                <c:pt idx="0">
                  <c:v>100 units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Cost_of_Production!$B$8:$G$8</c:f>
              <c:numCache>
                <c:formatCode>General</c:formatCode>
                <c:ptCount val="6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</c:numCache>
            </c:numRef>
          </c:cat>
          <c:val>
            <c:numRef>
              <c:f>Cost_of_Production!$C$5:$G$5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E9-4ADC-BB5D-5ED0519847B8}"/>
            </c:ext>
          </c:extLst>
        </c:ser>
        <c:ser>
          <c:idx val="1"/>
          <c:order val="1"/>
          <c:tx>
            <c:strRef>
              <c:f>Cost_of_Production!$B$6</c:f>
              <c:strCache>
                <c:ptCount val="1"/>
                <c:pt idx="0">
                  <c:v>924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Cost_of_Production!$B$8:$G$8</c:f>
              <c:numCache>
                <c:formatCode>General</c:formatCode>
                <c:ptCount val="6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</c:numCache>
            </c:numRef>
          </c:cat>
          <c:val>
            <c:numRef>
              <c:f>Cost_of_Production!$C$6:$G$6</c:f>
              <c:numCache>
                <c:formatCode>#,##0</c:formatCode>
                <c:ptCount val="5"/>
                <c:pt idx="0">
                  <c:v>675</c:v>
                </c:pt>
                <c:pt idx="1">
                  <c:v>550</c:v>
                </c:pt>
                <c:pt idx="2">
                  <c:v>495</c:v>
                </c:pt>
                <c:pt idx="3">
                  <c:v>405</c:v>
                </c:pt>
                <c:pt idx="4">
                  <c:v>363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E9-4ADC-BB5D-5ED051984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 (all brands)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 cost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Media preference by segment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Media_Preference!$B$5</c:f>
              <c:strCache>
                <c:ptCount val="1"/>
                <c:pt idx="0">
                  <c:v>Recreation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Media_Preference!$A$6:$A$12</c:f>
              <c:strCache>
                <c:ptCount val="7"/>
                <c:pt idx="0">
                  <c:v>Leisure &amp; Entertainment</c:v>
                </c:pt>
                <c:pt idx="1">
                  <c:v>Health &amp; Fitness Magazines</c:v>
                </c:pt>
                <c:pt idx="2">
                  <c:v>Biking Magazines</c:v>
                </c:pt>
                <c:pt idx="3">
                  <c:v>Sport Magazines</c:v>
                </c:pt>
                <c:pt idx="4">
                  <c:v>Business Magazines</c:v>
                </c:pt>
                <c:pt idx="5">
                  <c:v>New Venture Magazines</c:v>
                </c:pt>
                <c:pt idx="6">
                  <c:v>General News Magazines</c:v>
                </c:pt>
              </c:strCache>
            </c:strRef>
          </c:cat>
          <c:val>
            <c:numRef>
              <c:f>Media_Preference!$B$6:$B$12</c:f>
              <c:numCache>
                <c:formatCode>General</c:formatCode>
                <c:ptCount val="7"/>
                <c:pt idx="0">
                  <c:v>143</c:v>
                </c:pt>
                <c:pt idx="1">
                  <c:v>127</c:v>
                </c:pt>
                <c:pt idx="2">
                  <c:v>51</c:v>
                </c:pt>
                <c:pt idx="3">
                  <c:v>84</c:v>
                </c:pt>
                <c:pt idx="4">
                  <c:v>90</c:v>
                </c:pt>
                <c:pt idx="5">
                  <c:v>81</c:v>
                </c:pt>
                <c:pt idx="6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7-4A05-AE1D-014BCC6402FE}"/>
            </c:ext>
          </c:extLst>
        </c:ser>
        <c:ser>
          <c:idx val="1"/>
          <c:order val="1"/>
          <c:tx>
            <c:strRef>
              <c:f>Media_Preference!$C$5</c:f>
              <c:strCache>
                <c:ptCount val="1"/>
                <c:pt idx="0">
                  <c:v>Mountain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Media_Preference!$A$6:$A$12</c:f>
              <c:strCache>
                <c:ptCount val="7"/>
                <c:pt idx="0">
                  <c:v>Leisure &amp; Entertainment</c:v>
                </c:pt>
                <c:pt idx="1">
                  <c:v>Health &amp; Fitness Magazines</c:v>
                </c:pt>
                <c:pt idx="2">
                  <c:v>Biking Magazines</c:v>
                </c:pt>
                <c:pt idx="3">
                  <c:v>Sport Magazines</c:v>
                </c:pt>
                <c:pt idx="4">
                  <c:v>Business Magazines</c:v>
                </c:pt>
                <c:pt idx="5">
                  <c:v>New Venture Magazines</c:v>
                </c:pt>
                <c:pt idx="6">
                  <c:v>General News Magazines</c:v>
                </c:pt>
              </c:strCache>
            </c:strRef>
          </c:cat>
          <c:val>
            <c:numRef>
              <c:f>Media_Preference!$C$6:$C$12</c:f>
              <c:numCache>
                <c:formatCode>General</c:formatCode>
                <c:ptCount val="7"/>
                <c:pt idx="0">
                  <c:v>60</c:v>
                </c:pt>
                <c:pt idx="1">
                  <c:v>104</c:v>
                </c:pt>
                <c:pt idx="2">
                  <c:v>134</c:v>
                </c:pt>
                <c:pt idx="3">
                  <c:v>123</c:v>
                </c:pt>
                <c:pt idx="4">
                  <c:v>93</c:v>
                </c:pt>
                <c:pt idx="5">
                  <c:v>94</c:v>
                </c:pt>
                <c:pt idx="6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C7-4A05-AE1D-014BCC6402FE}"/>
            </c:ext>
          </c:extLst>
        </c:ser>
        <c:ser>
          <c:idx val="2"/>
          <c:order val="2"/>
          <c:tx>
            <c:strRef>
              <c:f>Media_Preference!$D$5</c:f>
              <c:strCache>
                <c:ptCount val="1"/>
                <c:pt idx="0">
                  <c:v>Speed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Media_Preference!$A$6:$A$12</c:f>
              <c:strCache>
                <c:ptCount val="7"/>
                <c:pt idx="0">
                  <c:v>Leisure &amp; Entertainment</c:v>
                </c:pt>
                <c:pt idx="1">
                  <c:v>Health &amp; Fitness Magazines</c:v>
                </c:pt>
                <c:pt idx="2">
                  <c:v>Biking Magazines</c:v>
                </c:pt>
                <c:pt idx="3">
                  <c:v>Sport Magazines</c:v>
                </c:pt>
                <c:pt idx="4">
                  <c:v>Business Magazines</c:v>
                </c:pt>
                <c:pt idx="5">
                  <c:v>New Venture Magazines</c:v>
                </c:pt>
                <c:pt idx="6">
                  <c:v>General News Magazines</c:v>
                </c:pt>
              </c:strCache>
            </c:strRef>
          </c:cat>
          <c:val>
            <c:numRef>
              <c:f>Media_Preference!$D$6:$D$12</c:f>
              <c:numCache>
                <c:formatCode>General</c:formatCode>
                <c:ptCount val="7"/>
                <c:pt idx="0">
                  <c:v>51</c:v>
                </c:pt>
                <c:pt idx="1">
                  <c:v>100</c:v>
                </c:pt>
                <c:pt idx="2">
                  <c:v>133</c:v>
                </c:pt>
                <c:pt idx="3">
                  <c:v>117</c:v>
                </c:pt>
                <c:pt idx="4">
                  <c:v>125</c:v>
                </c:pt>
                <c:pt idx="5">
                  <c:v>114</c:v>
                </c:pt>
                <c:pt idx="6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C7-4A05-AE1D-014BCC640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Medium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Preference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Potential Improvement [%] vs Quarterly Budget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Web_Productivity!$B$20</c:f>
              <c:strCache>
                <c:ptCount val="1"/>
                <c:pt idx="0">
                  <c:v>Toll-free phone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Web_Productivity!$A$21:$A$27</c:f>
              <c:numCache>
                <c:formatCode>#,##0</c:formatCode>
                <c:ptCount val="7"/>
                <c:pt idx="0">
                  <c:v>0</c:v>
                </c:pt>
                <c:pt idx="1">
                  <c:v>3000</c:v>
                </c:pt>
                <c:pt idx="2">
                  <c:v>5000</c:v>
                </c:pt>
                <c:pt idx="3">
                  <c:v>10000</c:v>
                </c:pt>
                <c:pt idx="4">
                  <c:v>15000</c:v>
                </c:pt>
                <c:pt idx="5">
                  <c:v>20000</c:v>
                </c:pt>
                <c:pt idx="6">
                  <c:v>30000</c:v>
                </c:pt>
              </c:numCache>
            </c:numRef>
          </c:cat>
          <c:val>
            <c:numRef>
              <c:f>Web_Productivity!$B$21:$B$27</c:f>
              <c:numCache>
                <c:formatCode>0.0%</c:formatCode>
                <c:ptCount val="7"/>
                <c:pt idx="0">
                  <c:v>0</c:v>
                </c:pt>
                <c:pt idx="1">
                  <c:v>0.31</c:v>
                </c:pt>
                <c:pt idx="2">
                  <c:v>0.35</c:v>
                </c:pt>
                <c:pt idx="3">
                  <c:v>0.41499999999999998</c:v>
                </c:pt>
                <c:pt idx="4">
                  <c:v>0.44</c:v>
                </c:pt>
                <c:pt idx="5">
                  <c:v>0.45</c:v>
                </c:pt>
                <c:pt idx="6">
                  <c:v>0.46500000000000002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7F-43D1-B9ED-3953D679E688}"/>
            </c:ext>
          </c:extLst>
        </c:ser>
        <c:ser>
          <c:idx val="1"/>
          <c:order val="1"/>
          <c:tx>
            <c:strRef>
              <c:f>Web_Productivity!$C$20</c:f>
              <c:strCache>
                <c:ptCount val="1"/>
                <c:pt idx="0">
                  <c:v>Page upgrades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Web_Productivity!$A$21:$A$27</c:f>
              <c:numCache>
                <c:formatCode>#,##0</c:formatCode>
                <c:ptCount val="7"/>
                <c:pt idx="0">
                  <c:v>0</c:v>
                </c:pt>
                <c:pt idx="1">
                  <c:v>3000</c:v>
                </c:pt>
                <c:pt idx="2">
                  <c:v>5000</c:v>
                </c:pt>
                <c:pt idx="3">
                  <c:v>10000</c:v>
                </c:pt>
                <c:pt idx="4">
                  <c:v>15000</c:v>
                </c:pt>
                <c:pt idx="5">
                  <c:v>20000</c:v>
                </c:pt>
                <c:pt idx="6">
                  <c:v>30000</c:v>
                </c:pt>
              </c:numCache>
            </c:numRef>
          </c:cat>
          <c:val>
            <c:numRef>
              <c:f>Web_Productivity!$C$21:$C$27</c:f>
              <c:numCache>
                <c:formatCode>0.0%</c:formatCode>
                <c:ptCount val="7"/>
                <c:pt idx="0">
                  <c:v>0</c:v>
                </c:pt>
                <c:pt idx="1">
                  <c:v>0.16</c:v>
                </c:pt>
                <c:pt idx="2">
                  <c:v>0.185</c:v>
                </c:pt>
                <c:pt idx="3">
                  <c:v>0.23499999999999999</c:v>
                </c:pt>
                <c:pt idx="4">
                  <c:v>0.26</c:v>
                </c:pt>
                <c:pt idx="5">
                  <c:v>0.27500000000000002</c:v>
                </c:pt>
                <c:pt idx="6">
                  <c:v>0.29499999999999998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97F-43D1-B9ED-3953D679E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Quarterly Budget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 Improvement %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54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98</xdr:row>
      <xdr:rowOff>0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18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selection activeCell="B26" sqref="B26"/>
    </sheetView>
  </sheetViews>
  <sheetFormatPr defaultRowHeight="14.5" x14ac:dyDescent="0.35"/>
  <cols>
    <col min="1" max="1" width="18" customWidth="1"/>
    <col min="2" max="2" width="48" customWidth="1"/>
    <col min="3" max="3" width="40" customWidth="1"/>
  </cols>
  <sheetData>
    <row r="1" spans="1:3" ht="21" customHeight="1" x14ac:dyDescent="0.5">
      <c r="A1" s="28" t="s">
        <v>104</v>
      </c>
    </row>
    <row r="2" spans="1:3" x14ac:dyDescent="0.35">
      <c r="A2" s="1" t="s">
        <v>105</v>
      </c>
    </row>
    <row r="4" spans="1:3" x14ac:dyDescent="0.35">
      <c r="A4" s="29" t="s">
        <v>106</v>
      </c>
      <c r="B4" s="29" t="s">
        <v>107</v>
      </c>
      <c r="C4" s="29" t="s">
        <v>108</v>
      </c>
    </row>
    <row r="5" spans="1:3" ht="29" x14ac:dyDescent="0.35">
      <c r="A5" s="30" t="s">
        <v>109</v>
      </c>
      <c r="B5" s="30" t="s">
        <v>110</v>
      </c>
      <c r="C5" s="30" t="s">
        <v>111</v>
      </c>
    </row>
    <row r="6" spans="1:3" x14ac:dyDescent="0.35">
      <c r="A6" s="30" t="s">
        <v>112</v>
      </c>
      <c r="B6" s="30" t="s">
        <v>113</v>
      </c>
      <c r="C6" s="30" t="s">
        <v>114</v>
      </c>
    </row>
    <row r="7" spans="1:3" x14ac:dyDescent="0.35">
      <c r="A7" s="30" t="s">
        <v>115</v>
      </c>
      <c r="B7" s="30" t="s">
        <v>116</v>
      </c>
      <c r="C7" s="30" t="s">
        <v>117</v>
      </c>
    </row>
    <row r="8" spans="1:3" x14ac:dyDescent="0.35">
      <c r="A8" s="30" t="s">
        <v>118</v>
      </c>
      <c r="B8" s="30" t="s">
        <v>119</v>
      </c>
      <c r="C8" s="30" t="s">
        <v>120</v>
      </c>
    </row>
    <row r="9" spans="1:3" x14ac:dyDescent="0.35">
      <c r="A9" s="30" t="s">
        <v>121</v>
      </c>
      <c r="B9" s="30" t="s">
        <v>122</v>
      </c>
      <c r="C9" s="30" t="s">
        <v>123</v>
      </c>
    </row>
    <row r="10" spans="1:3" x14ac:dyDescent="0.35">
      <c r="A10" s="30" t="s">
        <v>124</v>
      </c>
      <c r="B10" s="30" t="s">
        <v>125</v>
      </c>
      <c r="C10" s="30" t="s">
        <v>126</v>
      </c>
    </row>
    <row r="11" spans="1:3" x14ac:dyDescent="0.35">
      <c r="A11" s="30" t="s">
        <v>127</v>
      </c>
      <c r="B11" s="30" t="s">
        <v>128</v>
      </c>
      <c r="C11" s="30" t="s">
        <v>129</v>
      </c>
    </row>
    <row r="12" spans="1:3" x14ac:dyDescent="0.35">
      <c r="A12" s="31" t="s">
        <v>130</v>
      </c>
      <c r="B12" s="31" t="s">
        <v>131</v>
      </c>
      <c r="C12" s="31" t="s">
        <v>132</v>
      </c>
    </row>
    <row r="13" spans="1:3" x14ac:dyDescent="0.35">
      <c r="A13" s="46" t="s">
        <v>133</v>
      </c>
      <c r="B13" s="31" t="s">
        <v>134</v>
      </c>
      <c r="C13" s="31" t="s">
        <v>135</v>
      </c>
    </row>
    <row r="14" spans="1:3" x14ac:dyDescent="0.35">
      <c r="A14" s="45" t="s">
        <v>136</v>
      </c>
      <c r="B14" s="32" t="s">
        <v>137</v>
      </c>
      <c r="C14" s="32" t="s">
        <v>138</v>
      </c>
    </row>
    <row r="15" spans="1:3" x14ac:dyDescent="0.35">
      <c r="A15" s="32" t="s">
        <v>139</v>
      </c>
      <c r="B15" s="32" t="s">
        <v>140</v>
      </c>
      <c r="C15" s="32" t="s">
        <v>141</v>
      </c>
    </row>
    <row r="16" spans="1:3" x14ac:dyDescent="0.35">
      <c r="A16" s="33" t="s">
        <v>142</v>
      </c>
      <c r="B16" s="32" t="s">
        <v>143</v>
      </c>
      <c r="C16" s="32" t="s">
        <v>144</v>
      </c>
    </row>
    <row r="17" spans="1:3" x14ac:dyDescent="0.35">
      <c r="A17" s="34" t="s">
        <v>145</v>
      </c>
      <c r="B17" s="32" t="s">
        <v>146</v>
      </c>
      <c r="C17" s="32" t="s">
        <v>147</v>
      </c>
    </row>
    <row r="18" spans="1:3" x14ac:dyDescent="0.35">
      <c r="A18" s="32" t="s">
        <v>148</v>
      </c>
      <c r="B18" s="32" t="s">
        <v>149</v>
      </c>
      <c r="C18" s="32" t="s">
        <v>150</v>
      </c>
    </row>
    <row r="19" spans="1:3" x14ac:dyDescent="0.35">
      <c r="A19" s="47" t="s">
        <v>151</v>
      </c>
      <c r="B19" s="48" t="s">
        <v>152</v>
      </c>
      <c r="C19" s="48" t="s">
        <v>153</v>
      </c>
    </row>
    <row r="20" spans="1:3" x14ac:dyDescent="0.35">
      <c r="A20" s="48" t="s">
        <v>154</v>
      </c>
      <c r="B20" s="48" t="s">
        <v>155</v>
      </c>
      <c r="C20" s="48" t="s">
        <v>156</v>
      </c>
    </row>
    <row r="21" spans="1:3" x14ac:dyDescent="0.35">
      <c r="A21" t="s">
        <v>157</v>
      </c>
      <c r="B21" t="s">
        <v>158</v>
      </c>
      <c r="C21" t="s">
        <v>159</v>
      </c>
    </row>
    <row r="22" spans="1:3" x14ac:dyDescent="0.35">
      <c r="A22" t="s">
        <v>160</v>
      </c>
      <c r="B22" t="s">
        <v>161</v>
      </c>
      <c r="C22" t="s">
        <v>162</v>
      </c>
    </row>
    <row r="23" spans="1:3" x14ac:dyDescent="0.35">
      <c r="A23" t="s">
        <v>163</v>
      </c>
      <c r="B23" t="s">
        <v>164</v>
      </c>
      <c r="C23" t="s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topLeftCell="B11" zoomScale="114" zoomScaleNormal="85" workbookViewId="0">
      <selection activeCell="G47" sqref="G47"/>
    </sheetView>
  </sheetViews>
  <sheetFormatPr defaultRowHeight="14.5" x14ac:dyDescent="0.35"/>
  <cols>
    <col min="1" max="1" width="36" customWidth="1"/>
    <col min="2" max="4" width="12" customWidth="1"/>
    <col min="5" max="5" width="8" customWidth="1"/>
    <col min="6" max="8" width="12" customWidth="1"/>
    <col min="9" max="9" width="18" customWidth="1"/>
    <col min="10" max="10" width="40" customWidth="1"/>
  </cols>
  <sheetData>
    <row r="1" spans="1:10" ht="18.5" customHeight="1" x14ac:dyDescent="0.45">
      <c r="A1" s="4" t="s">
        <v>166</v>
      </c>
    </row>
    <row r="2" spans="1:10" x14ac:dyDescent="0.35">
      <c r="A2" s="1" t="s">
        <v>167</v>
      </c>
    </row>
    <row r="4" spans="1:10" ht="29.5" customHeight="1" thickBot="1" x14ac:dyDescent="0.4">
      <c r="A4" s="2" t="s">
        <v>168</v>
      </c>
      <c r="B4" s="2" t="s">
        <v>169</v>
      </c>
      <c r="C4" s="2" t="s">
        <v>170</v>
      </c>
      <c r="D4" s="2" t="s">
        <v>171</v>
      </c>
      <c r="E4" s="2" t="s">
        <v>172</v>
      </c>
      <c r="F4" s="2" t="s">
        <v>173</v>
      </c>
      <c r="G4" s="2" t="s">
        <v>174</v>
      </c>
      <c r="H4" s="2" t="s">
        <v>175</v>
      </c>
      <c r="I4" s="2" t="s">
        <v>176</v>
      </c>
      <c r="J4" s="2" t="s">
        <v>12</v>
      </c>
    </row>
    <row r="5" spans="1:10" ht="15" customHeight="1" thickBot="1" x14ac:dyDescent="0.4">
      <c r="A5" s="15" t="s">
        <v>177</v>
      </c>
      <c r="B5" s="16">
        <v>116</v>
      </c>
      <c r="C5" s="16">
        <v>120</v>
      </c>
      <c r="D5" s="16">
        <v>109</v>
      </c>
      <c r="E5" s="7">
        <f t="shared" ref="E5:E40" si="0">IF(COUNT(B5:D5)=0,"",MAX(B5:D5))</f>
        <v>120</v>
      </c>
      <c r="F5" s="7" t="str">
        <f t="shared" ref="F5:F40" si="1">IF(B5="","",IF(B5&gt;=110,"IMPORTANT",IF(B5&lt;100,"CAUTION","")))</f>
        <v>IMPORTANT</v>
      </c>
      <c r="G5" s="7" t="str">
        <f t="shared" ref="G5:G40" si="2">IF(C5="","",IF(C5&gt;=110,"IMPORTANT",IF(C5&lt;100,"CAUTION","")))</f>
        <v>IMPORTANT</v>
      </c>
      <c r="H5" s="7" t="str">
        <f t="shared" ref="H5:H40" si="3">IF(D5="","",IF(D5&gt;=110,"IMPORTANT",IF(D5&lt;100,"CAUTION","")))</f>
        <v/>
      </c>
      <c r="I5" s="6"/>
      <c r="J5" s="6"/>
    </row>
    <row r="6" spans="1:10" ht="15" customHeight="1" thickBot="1" x14ac:dyDescent="0.4">
      <c r="A6" s="17" t="s">
        <v>178</v>
      </c>
      <c r="B6" s="18">
        <v>116</v>
      </c>
      <c r="C6" s="18">
        <v>113</v>
      </c>
      <c r="D6" s="18">
        <v>116</v>
      </c>
      <c r="E6" s="7">
        <f t="shared" si="0"/>
        <v>116</v>
      </c>
      <c r="F6" s="7" t="str">
        <f t="shared" si="1"/>
        <v>IMPORTANT</v>
      </c>
      <c r="G6" s="7" t="str">
        <f t="shared" si="2"/>
        <v>IMPORTANT</v>
      </c>
      <c r="H6" s="7" t="str">
        <f t="shared" si="3"/>
        <v>IMPORTANT</v>
      </c>
      <c r="I6" s="6"/>
      <c r="J6" s="6"/>
    </row>
    <row r="7" spans="1:10" ht="15" customHeight="1" thickBot="1" x14ac:dyDescent="0.4">
      <c r="A7" s="19" t="s">
        <v>179</v>
      </c>
      <c r="B7" s="20">
        <v>121</v>
      </c>
      <c r="C7" s="20">
        <v>102</v>
      </c>
      <c r="D7" s="20">
        <v>69</v>
      </c>
      <c r="E7" s="7">
        <f t="shared" si="0"/>
        <v>121</v>
      </c>
      <c r="F7" s="7" t="str">
        <f t="shared" si="1"/>
        <v>IMPORTANT</v>
      </c>
      <c r="G7" s="7" t="str">
        <f t="shared" si="2"/>
        <v/>
      </c>
      <c r="H7" s="7" t="str">
        <f t="shared" si="3"/>
        <v>CAUTION</v>
      </c>
      <c r="I7" s="6"/>
      <c r="J7" s="6"/>
    </row>
    <row r="8" spans="1:10" ht="15" customHeight="1" thickBot="1" x14ac:dyDescent="0.4">
      <c r="A8" s="17" t="s">
        <v>180</v>
      </c>
      <c r="B8" s="18">
        <v>121</v>
      </c>
      <c r="C8" s="18">
        <v>112</v>
      </c>
      <c r="D8" s="18">
        <v>113</v>
      </c>
      <c r="E8" s="7">
        <f t="shared" si="0"/>
        <v>121</v>
      </c>
      <c r="F8" s="7" t="str">
        <f t="shared" si="1"/>
        <v>IMPORTANT</v>
      </c>
      <c r="G8" s="7" t="str">
        <f t="shared" si="2"/>
        <v>IMPORTANT</v>
      </c>
      <c r="H8" s="7" t="str">
        <f t="shared" si="3"/>
        <v>IMPORTANT</v>
      </c>
      <c r="I8" s="6"/>
      <c r="J8" s="6"/>
    </row>
    <row r="9" spans="1:10" ht="15" customHeight="1" thickBot="1" x14ac:dyDescent="0.4">
      <c r="A9" s="19" t="s">
        <v>181</v>
      </c>
      <c r="B9" s="20">
        <v>117</v>
      </c>
      <c r="C9" s="20">
        <v>98</v>
      </c>
      <c r="D9" s="20">
        <v>70</v>
      </c>
      <c r="E9" s="7">
        <f t="shared" si="0"/>
        <v>117</v>
      </c>
      <c r="F9" s="7" t="str">
        <f t="shared" si="1"/>
        <v>IMPORTANT</v>
      </c>
      <c r="G9" s="7" t="str">
        <f t="shared" si="2"/>
        <v>CAUTION</v>
      </c>
      <c r="H9" s="7" t="str">
        <f t="shared" si="3"/>
        <v>CAUTION</v>
      </c>
      <c r="I9" s="6"/>
      <c r="J9" s="6"/>
    </row>
    <row r="10" spans="1:10" ht="15" customHeight="1" thickBot="1" x14ac:dyDescent="0.4">
      <c r="A10" s="17" t="s">
        <v>182</v>
      </c>
      <c r="B10" s="18">
        <v>104</v>
      </c>
      <c r="C10" s="18">
        <v>83</v>
      </c>
      <c r="D10" s="18">
        <v>119</v>
      </c>
      <c r="E10" s="7">
        <f t="shared" si="0"/>
        <v>119</v>
      </c>
      <c r="F10" s="7" t="str">
        <f t="shared" si="1"/>
        <v/>
      </c>
      <c r="G10" s="7" t="str">
        <f t="shared" si="2"/>
        <v>CAUTION</v>
      </c>
      <c r="H10" s="7" t="str">
        <f t="shared" si="3"/>
        <v>IMPORTANT</v>
      </c>
      <c r="I10" s="6"/>
      <c r="J10" s="6"/>
    </row>
    <row r="11" spans="1:10" ht="15" customHeight="1" thickBot="1" x14ac:dyDescent="0.4">
      <c r="A11" s="19" t="s">
        <v>183</v>
      </c>
      <c r="B11" s="20">
        <v>111</v>
      </c>
      <c r="C11" s="20">
        <v>118</v>
      </c>
      <c r="D11" s="20">
        <v>116</v>
      </c>
      <c r="E11" s="7">
        <f t="shared" si="0"/>
        <v>118</v>
      </c>
      <c r="F11" s="7" t="str">
        <f t="shared" si="1"/>
        <v>IMPORTANT</v>
      </c>
      <c r="G11" s="7" t="str">
        <f t="shared" si="2"/>
        <v>IMPORTANT</v>
      </c>
      <c r="H11" s="7" t="str">
        <f t="shared" si="3"/>
        <v>IMPORTANT</v>
      </c>
      <c r="I11" s="6"/>
      <c r="J11" s="6"/>
    </row>
    <row r="12" spans="1:10" ht="15" customHeight="1" thickBot="1" x14ac:dyDescent="0.4">
      <c r="A12" s="17" t="s">
        <v>184</v>
      </c>
      <c r="B12" s="18">
        <v>124</v>
      </c>
      <c r="C12" s="18">
        <v>100</v>
      </c>
      <c r="D12" s="18">
        <v>102</v>
      </c>
      <c r="E12" s="7">
        <f t="shared" si="0"/>
        <v>124</v>
      </c>
      <c r="F12" s="7" t="str">
        <f t="shared" si="1"/>
        <v>IMPORTANT</v>
      </c>
      <c r="G12" s="7" t="str">
        <f t="shared" si="2"/>
        <v/>
      </c>
      <c r="H12" s="7" t="str">
        <f t="shared" si="3"/>
        <v/>
      </c>
      <c r="I12" s="6"/>
      <c r="J12" s="6"/>
    </row>
    <row r="13" spans="1:10" ht="15" customHeight="1" thickBot="1" x14ac:dyDescent="0.4">
      <c r="A13" s="19" t="s">
        <v>185</v>
      </c>
      <c r="B13" s="20">
        <v>124</v>
      </c>
      <c r="C13" s="20">
        <v>95</v>
      </c>
      <c r="D13" s="20">
        <v>101</v>
      </c>
      <c r="E13" s="7">
        <f t="shared" si="0"/>
        <v>124</v>
      </c>
      <c r="F13" s="7" t="str">
        <f t="shared" si="1"/>
        <v>IMPORTANT</v>
      </c>
      <c r="G13" s="7" t="str">
        <f t="shared" si="2"/>
        <v>CAUTION</v>
      </c>
      <c r="H13" s="7" t="str">
        <f t="shared" si="3"/>
        <v/>
      </c>
      <c r="I13" s="6"/>
      <c r="J13" s="6"/>
    </row>
    <row r="14" spans="1:10" ht="15" customHeight="1" thickBot="1" x14ac:dyDescent="0.4">
      <c r="A14" s="17" t="s">
        <v>186</v>
      </c>
      <c r="B14" s="18">
        <v>115</v>
      </c>
      <c r="C14" s="18">
        <v>89</v>
      </c>
      <c r="D14" s="18">
        <v>87</v>
      </c>
      <c r="E14" s="7">
        <f t="shared" si="0"/>
        <v>115</v>
      </c>
      <c r="F14" s="7" t="str">
        <f t="shared" si="1"/>
        <v>IMPORTANT</v>
      </c>
      <c r="G14" s="7" t="str">
        <f t="shared" si="2"/>
        <v>CAUTION</v>
      </c>
      <c r="H14" s="7" t="str">
        <f t="shared" si="3"/>
        <v>CAUTION</v>
      </c>
      <c r="I14" s="6"/>
      <c r="J14" s="6"/>
    </row>
    <row r="15" spans="1:10" ht="15" customHeight="1" thickBot="1" x14ac:dyDescent="0.4">
      <c r="A15" s="19" t="s">
        <v>187</v>
      </c>
      <c r="B15" s="20">
        <v>119</v>
      </c>
      <c r="C15" s="20">
        <v>121</v>
      </c>
      <c r="D15" s="20">
        <v>120</v>
      </c>
      <c r="E15" s="7">
        <f t="shared" si="0"/>
        <v>121</v>
      </c>
      <c r="F15" s="7" t="str">
        <f t="shared" si="1"/>
        <v>IMPORTANT</v>
      </c>
      <c r="G15" s="7" t="str">
        <f t="shared" si="2"/>
        <v>IMPORTANT</v>
      </c>
      <c r="H15" s="7" t="str">
        <f t="shared" si="3"/>
        <v>IMPORTANT</v>
      </c>
      <c r="I15" s="6"/>
      <c r="J15" s="6"/>
    </row>
    <row r="16" spans="1:10" ht="15" customHeight="1" thickBot="1" x14ac:dyDescent="0.4">
      <c r="A16" s="17" t="s">
        <v>188</v>
      </c>
      <c r="B16" s="18">
        <v>111</v>
      </c>
      <c r="C16" s="18">
        <v>128</v>
      </c>
      <c r="D16" s="18">
        <v>82</v>
      </c>
      <c r="E16" s="7">
        <f t="shared" si="0"/>
        <v>128</v>
      </c>
      <c r="F16" s="7" t="str">
        <f t="shared" si="1"/>
        <v>IMPORTANT</v>
      </c>
      <c r="G16" s="7" t="str">
        <f t="shared" si="2"/>
        <v>IMPORTANT</v>
      </c>
      <c r="H16" s="7" t="str">
        <f t="shared" si="3"/>
        <v>CAUTION</v>
      </c>
      <c r="I16" s="6"/>
      <c r="J16" s="6"/>
    </row>
    <row r="17" spans="1:10" ht="15" customHeight="1" thickBot="1" x14ac:dyDescent="0.4">
      <c r="A17" s="19" t="s">
        <v>189</v>
      </c>
      <c r="B17" s="20">
        <v>114</v>
      </c>
      <c r="C17" s="20">
        <v>123</v>
      </c>
      <c r="D17" s="20">
        <v>110</v>
      </c>
      <c r="E17" s="7">
        <f t="shared" si="0"/>
        <v>123</v>
      </c>
      <c r="F17" s="7" t="str">
        <f t="shared" si="1"/>
        <v>IMPORTANT</v>
      </c>
      <c r="G17" s="7" t="str">
        <f t="shared" si="2"/>
        <v>IMPORTANT</v>
      </c>
      <c r="H17" s="7" t="str">
        <f t="shared" si="3"/>
        <v>IMPORTANT</v>
      </c>
      <c r="I17" s="6"/>
      <c r="J17" s="6"/>
    </row>
    <row r="18" spans="1:10" ht="15" customHeight="1" thickBot="1" x14ac:dyDescent="0.4">
      <c r="A18" s="17" t="s">
        <v>190</v>
      </c>
      <c r="B18" s="18">
        <v>103</v>
      </c>
      <c r="C18" s="18">
        <v>106</v>
      </c>
      <c r="D18" s="18">
        <v>117</v>
      </c>
      <c r="E18" s="7">
        <f t="shared" si="0"/>
        <v>117</v>
      </c>
      <c r="F18" s="7" t="str">
        <f t="shared" si="1"/>
        <v/>
      </c>
      <c r="G18" s="7" t="str">
        <f t="shared" si="2"/>
        <v/>
      </c>
      <c r="H18" s="7" t="str">
        <f t="shared" si="3"/>
        <v>IMPORTANT</v>
      </c>
      <c r="I18" s="6"/>
      <c r="J18" s="6"/>
    </row>
    <row r="19" spans="1:10" ht="15" customHeight="1" thickBot="1" x14ac:dyDescent="0.4">
      <c r="A19" s="19" t="s">
        <v>191</v>
      </c>
      <c r="B19" s="20">
        <v>114</v>
      </c>
      <c r="C19" s="20">
        <v>95</v>
      </c>
      <c r="D19" s="20">
        <v>69</v>
      </c>
      <c r="E19" s="7">
        <f t="shared" si="0"/>
        <v>114</v>
      </c>
      <c r="F19" s="7" t="str">
        <f t="shared" si="1"/>
        <v>IMPORTANT</v>
      </c>
      <c r="G19" s="7" t="str">
        <f t="shared" si="2"/>
        <v>CAUTION</v>
      </c>
      <c r="H19" s="7" t="str">
        <f t="shared" si="3"/>
        <v>CAUTION</v>
      </c>
      <c r="I19" s="6"/>
      <c r="J19" s="6"/>
    </row>
    <row r="20" spans="1:10" ht="15" customHeight="1" thickBot="1" x14ac:dyDescent="0.4">
      <c r="A20" s="17" t="s">
        <v>192</v>
      </c>
      <c r="B20" s="18">
        <v>117</v>
      </c>
      <c r="C20" s="18">
        <v>104</v>
      </c>
      <c r="D20" s="18">
        <v>69</v>
      </c>
      <c r="E20" s="7">
        <f t="shared" si="0"/>
        <v>117</v>
      </c>
      <c r="F20" s="7" t="str">
        <f t="shared" si="1"/>
        <v>IMPORTANT</v>
      </c>
      <c r="G20" s="7" t="str">
        <f t="shared" si="2"/>
        <v/>
      </c>
      <c r="H20" s="7" t="str">
        <f t="shared" si="3"/>
        <v>CAUTION</v>
      </c>
      <c r="I20" s="6"/>
      <c r="J20" s="6"/>
    </row>
    <row r="21" spans="1:10" ht="15" customHeight="1" thickBot="1" x14ac:dyDescent="0.4">
      <c r="A21" s="19" t="s">
        <v>193</v>
      </c>
      <c r="B21" s="20">
        <v>108</v>
      </c>
      <c r="C21" s="20">
        <v>127</v>
      </c>
      <c r="D21" s="20">
        <v>117</v>
      </c>
      <c r="E21" s="7">
        <f t="shared" si="0"/>
        <v>127</v>
      </c>
      <c r="F21" s="7" t="str">
        <f t="shared" si="1"/>
        <v/>
      </c>
      <c r="G21" s="7" t="str">
        <f t="shared" si="2"/>
        <v>IMPORTANT</v>
      </c>
      <c r="H21" s="7" t="str">
        <f t="shared" si="3"/>
        <v>IMPORTANT</v>
      </c>
      <c r="I21" s="6"/>
      <c r="J21" s="6"/>
    </row>
    <row r="22" spans="1:10" ht="15" customHeight="1" thickBot="1" x14ac:dyDescent="0.4">
      <c r="A22" s="17" t="s">
        <v>194</v>
      </c>
      <c r="B22" s="18">
        <v>120</v>
      </c>
      <c r="C22" s="18">
        <v>115</v>
      </c>
      <c r="D22" s="18">
        <v>117</v>
      </c>
      <c r="E22" s="7">
        <f t="shared" si="0"/>
        <v>120</v>
      </c>
      <c r="F22" s="7" t="str">
        <f t="shared" si="1"/>
        <v>IMPORTANT</v>
      </c>
      <c r="G22" s="7" t="str">
        <f t="shared" si="2"/>
        <v>IMPORTANT</v>
      </c>
      <c r="H22" s="7" t="str">
        <f t="shared" si="3"/>
        <v>IMPORTANT</v>
      </c>
      <c r="I22" s="6"/>
      <c r="J22" s="6"/>
    </row>
    <row r="23" spans="1:10" ht="15" customHeight="1" thickBot="1" x14ac:dyDescent="0.4">
      <c r="A23" s="19" t="s">
        <v>195</v>
      </c>
      <c r="B23" s="20">
        <v>113</v>
      </c>
      <c r="C23" s="20">
        <v>124</v>
      </c>
      <c r="D23" s="20">
        <v>115</v>
      </c>
      <c r="E23" s="7">
        <f t="shared" si="0"/>
        <v>124</v>
      </c>
      <c r="F23" s="7" t="str">
        <f t="shared" si="1"/>
        <v>IMPORTANT</v>
      </c>
      <c r="G23" s="7" t="str">
        <f t="shared" si="2"/>
        <v>IMPORTANT</v>
      </c>
      <c r="H23" s="7" t="str">
        <f t="shared" si="3"/>
        <v>IMPORTANT</v>
      </c>
      <c r="I23" s="6"/>
      <c r="J23" s="6"/>
    </row>
    <row r="24" spans="1:10" ht="15" customHeight="1" thickBot="1" x14ac:dyDescent="0.4">
      <c r="A24" s="17" t="s">
        <v>196</v>
      </c>
      <c r="B24" s="18">
        <v>115</v>
      </c>
      <c r="C24" s="18">
        <v>121</v>
      </c>
      <c r="D24" s="18">
        <v>133</v>
      </c>
      <c r="E24" s="7">
        <f t="shared" si="0"/>
        <v>133</v>
      </c>
      <c r="F24" s="7" t="str">
        <f t="shared" si="1"/>
        <v>IMPORTANT</v>
      </c>
      <c r="G24" s="7" t="str">
        <f t="shared" si="2"/>
        <v>IMPORTANT</v>
      </c>
      <c r="H24" s="7" t="str">
        <f t="shared" si="3"/>
        <v>IMPORTANT</v>
      </c>
      <c r="I24" s="6"/>
      <c r="J24" s="6"/>
    </row>
    <row r="25" spans="1:10" ht="15" customHeight="1" thickBot="1" x14ac:dyDescent="0.4">
      <c r="A25" s="19" t="s">
        <v>197</v>
      </c>
      <c r="B25" s="20">
        <v>117</v>
      </c>
      <c r="C25" s="20">
        <v>103</v>
      </c>
      <c r="D25" s="20">
        <v>119</v>
      </c>
      <c r="E25" s="7">
        <f t="shared" si="0"/>
        <v>119</v>
      </c>
      <c r="F25" s="7" t="str">
        <f t="shared" si="1"/>
        <v>IMPORTANT</v>
      </c>
      <c r="G25" s="7" t="str">
        <f t="shared" si="2"/>
        <v/>
      </c>
      <c r="H25" s="7" t="str">
        <f t="shared" si="3"/>
        <v>IMPORTANT</v>
      </c>
      <c r="I25" s="6"/>
      <c r="J25" s="6"/>
    </row>
    <row r="26" spans="1:10" ht="15" customHeight="1" thickBot="1" x14ac:dyDescent="0.4">
      <c r="A26" s="17" t="s">
        <v>198</v>
      </c>
      <c r="B26" s="18">
        <v>107</v>
      </c>
      <c r="C26" s="18">
        <v>131</v>
      </c>
      <c r="D26" s="18">
        <v>113</v>
      </c>
      <c r="E26" s="7">
        <f t="shared" si="0"/>
        <v>131</v>
      </c>
      <c r="F26" s="7" t="str">
        <f t="shared" si="1"/>
        <v/>
      </c>
      <c r="G26" s="7" t="str">
        <f t="shared" si="2"/>
        <v>IMPORTANT</v>
      </c>
      <c r="H26" s="7" t="str">
        <f t="shared" si="3"/>
        <v>IMPORTANT</v>
      </c>
      <c r="I26" s="6"/>
      <c r="J26" s="6"/>
    </row>
    <row r="27" spans="1:10" ht="15" customHeight="1" thickBot="1" x14ac:dyDescent="0.4">
      <c r="A27" s="19" t="s">
        <v>171</v>
      </c>
      <c r="B27" s="20">
        <v>110</v>
      </c>
      <c r="C27" s="20">
        <v>109</v>
      </c>
      <c r="D27" s="20">
        <v>134</v>
      </c>
      <c r="E27" s="7">
        <f t="shared" si="0"/>
        <v>134</v>
      </c>
      <c r="F27" s="7" t="str">
        <f t="shared" si="1"/>
        <v>IMPORTANT</v>
      </c>
      <c r="G27" s="7" t="str">
        <f t="shared" si="2"/>
        <v/>
      </c>
      <c r="H27" s="7" t="str">
        <f t="shared" si="3"/>
        <v>IMPORTANT</v>
      </c>
      <c r="I27" s="6"/>
      <c r="J27" s="6"/>
    </row>
    <row r="28" spans="1:10" ht="15" customHeight="1" thickBot="1" x14ac:dyDescent="0.4">
      <c r="A28" s="17" t="s">
        <v>199</v>
      </c>
      <c r="B28" s="18">
        <v>118</v>
      </c>
      <c r="C28" s="18">
        <v>118</v>
      </c>
      <c r="D28" s="18">
        <v>118</v>
      </c>
      <c r="E28" s="7">
        <f t="shared" si="0"/>
        <v>118</v>
      </c>
      <c r="F28" s="7" t="str">
        <f t="shared" si="1"/>
        <v>IMPORTANT</v>
      </c>
      <c r="G28" s="7" t="str">
        <f t="shared" si="2"/>
        <v>IMPORTANT</v>
      </c>
      <c r="H28" s="7" t="str">
        <f t="shared" si="3"/>
        <v>IMPORTANT</v>
      </c>
      <c r="I28" s="6"/>
      <c r="J28" s="6"/>
    </row>
    <row r="29" spans="1:10" ht="15" customHeight="1" thickBot="1" x14ac:dyDescent="0.4">
      <c r="A29" s="19" t="s">
        <v>200</v>
      </c>
      <c r="B29" s="20">
        <v>98</v>
      </c>
      <c r="C29" s="20">
        <v>117</v>
      </c>
      <c r="D29" s="20">
        <v>124</v>
      </c>
      <c r="E29" s="7">
        <f t="shared" si="0"/>
        <v>124</v>
      </c>
      <c r="F29" s="7" t="str">
        <f t="shared" si="1"/>
        <v>CAUTION</v>
      </c>
      <c r="G29" s="7" t="str">
        <f t="shared" si="2"/>
        <v>IMPORTANT</v>
      </c>
      <c r="H29" s="7" t="str">
        <f t="shared" si="3"/>
        <v>IMPORTANT</v>
      </c>
      <c r="I29" s="6"/>
      <c r="J29" s="6"/>
    </row>
    <row r="30" spans="1:10" ht="15" customHeight="1" thickBot="1" x14ac:dyDescent="0.4">
      <c r="A30" s="17" t="s">
        <v>201</v>
      </c>
      <c r="B30" s="18">
        <v>80</v>
      </c>
      <c r="C30" s="18">
        <v>88</v>
      </c>
      <c r="D30" s="18">
        <v>122</v>
      </c>
      <c r="E30" s="7">
        <f t="shared" si="0"/>
        <v>122</v>
      </c>
      <c r="F30" s="7" t="str">
        <f t="shared" si="1"/>
        <v>CAUTION</v>
      </c>
      <c r="G30" s="7" t="str">
        <f t="shared" si="2"/>
        <v>CAUTION</v>
      </c>
      <c r="H30" s="7" t="str">
        <f t="shared" si="3"/>
        <v>IMPORTANT</v>
      </c>
      <c r="I30" s="6"/>
      <c r="J30" s="6"/>
    </row>
    <row r="31" spans="1:10" ht="15" customHeight="1" thickBot="1" x14ac:dyDescent="0.4">
      <c r="A31" s="19" t="s">
        <v>202</v>
      </c>
      <c r="B31" s="20">
        <v>103</v>
      </c>
      <c r="C31" s="20">
        <v>123</v>
      </c>
      <c r="D31" s="20">
        <v>126</v>
      </c>
      <c r="E31" s="7">
        <f t="shared" si="0"/>
        <v>126</v>
      </c>
      <c r="F31" s="7" t="str">
        <f t="shared" si="1"/>
        <v/>
      </c>
      <c r="G31" s="7" t="str">
        <f t="shared" si="2"/>
        <v>IMPORTANT</v>
      </c>
      <c r="H31" s="7" t="str">
        <f t="shared" si="3"/>
        <v>IMPORTANT</v>
      </c>
      <c r="I31" s="6"/>
      <c r="J31" s="6"/>
    </row>
    <row r="32" spans="1:10" ht="15" customHeight="1" thickBot="1" x14ac:dyDescent="0.4">
      <c r="A32" s="17" t="s">
        <v>203</v>
      </c>
      <c r="B32" s="18">
        <v>111</v>
      </c>
      <c r="C32" s="18">
        <v>121</v>
      </c>
      <c r="D32" s="18">
        <v>116</v>
      </c>
      <c r="E32" s="7">
        <f t="shared" si="0"/>
        <v>121</v>
      </c>
      <c r="F32" s="7" t="str">
        <f t="shared" si="1"/>
        <v>IMPORTANT</v>
      </c>
      <c r="G32" s="7" t="str">
        <f t="shared" si="2"/>
        <v>IMPORTANT</v>
      </c>
      <c r="H32" s="7" t="str">
        <f t="shared" si="3"/>
        <v>IMPORTANT</v>
      </c>
      <c r="I32" s="6"/>
      <c r="J32" s="6"/>
    </row>
    <row r="33" spans="1:10" ht="15" customHeight="1" thickBot="1" x14ac:dyDescent="0.4">
      <c r="A33" s="19" t="s">
        <v>204</v>
      </c>
      <c r="B33" s="20">
        <v>115</v>
      </c>
      <c r="C33" s="20">
        <v>117</v>
      </c>
      <c r="D33" s="20">
        <v>118</v>
      </c>
      <c r="E33" s="7">
        <f t="shared" si="0"/>
        <v>118</v>
      </c>
      <c r="F33" s="7" t="str">
        <f t="shared" si="1"/>
        <v>IMPORTANT</v>
      </c>
      <c r="G33" s="7" t="str">
        <f t="shared" si="2"/>
        <v>IMPORTANT</v>
      </c>
      <c r="H33" s="7" t="str">
        <f t="shared" si="3"/>
        <v>IMPORTANT</v>
      </c>
      <c r="I33" s="6"/>
      <c r="J33" s="6"/>
    </row>
    <row r="34" spans="1:10" ht="15" customHeight="1" thickBot="1" x14ac:dyDescent="0.4">
      <c r="A34" s="17" t="s">
        <v>205</v>
      </c>
      <c r="B34" s="18">
        <v>116</v>
      </c>
      <c r="C34" s="18">
        <v>124</v>
      </c>
      <c r="D34" s="18">
        <v>90</v>
      </c>
      <c r="E34" s="7">
        <f t="shared" si="0"/>
        <v>124</v>
      </c>
      <c r="F34" s="7" t="str">
        <f t="shared" si="1"/>
        <v>IMPORTANT</v>
      </c>
      <c r="G34" s="7" t="str">
        <f t="shared" si="2"/>
        <v>IMPORTANT</v>
      </c>
      <c r="H34" s="7" t="str">
        <f t="shared" si="3"/>
        <v>CAUTION</v>
      </c>
      <c r="I34" s="6"/>
      <c r="J34" s="6"/>
    </row>
    <row r="35" spans="1:10" ht="15" customHeight="1" thickBot="1" x14ac:dyDescent="0.4">
      <c r="A35" s="21" t="s">
        <v>206</v>
      </c>
      <c r="B35" s="22">
        <v>128</v>
      </c>
      <c r="C35" s="22">
        <v>118</v>
      </c>
      <c r="D35" s="22">
        <v>123</v>
      </c>
      <c r="E35" s="7">
        <f t="shared" si="0"/>
        <v>128</v>
      </c>
      <c r="F35" s="7" t="str">
        <f t="shared" si="1"/>
        <v>IMPORTANT</v>
      </c>
      <c r="G35" s="7" t="str">
        <f t="shared" si="2"/>
        <v>IMPORTANT</v>
      </c>
      <c r="H35" s="7" t="str">
        <f t="shared" si="3"/>
        <v>IMPORTANT</v>
      </c>
      <c r="I35" s="6"/>
      <c r="J35" s="6" t="s">
        <v>207</v>
      </c>
    </row>
    <row r="36" spans="1:10" ht="15" customHeight="1" thickBot="1" x14ac:dyDescent="0.4">
      <c r="A36" s="17" t="s">
        <v>208</v>
      </c>
      <c r="B36" s="18">
        <v>135</v>
      </c>
      <c r="C36" s="18">
        <v>123</v>
      </c>
      <c r="D36" s="18">
        <v>124</v>
      </c>
      <c r="E36" s="7">
        <f t="shared" si="0"/>
        <v>135</v>
      </c>
      <c r="F36" s="7" t="str">
        <f t="shared" si="1"/>
        <v>IMPORTANT</v>
      </c>
      <c r="G36" s="7" t="str">
        <f t="shared" si="2"/>
        <v>IMPORTANT</v>
      </c>
      <c r="H36" s="7" t="str">
        <f t="shared" si="3"/>
        <v>IMPORTANT</v>
      </c>
      <c r="I36" s="6"/>
      <c r="J36" s="6" t="s">
        <v>207</v>
      </c>
    </row>
    <row r="37" spans="1:10" ht="15" customHeight="1" thickBot="1" x14ac:dyDescent="0.4">
      <c r="A37" s="21" t="s">
        <v>209</v>
      </c>
      <c r="B37" s="22">
        <v>121</v>
      </c>
      <c r="C37" s="22">
        <v>122</v>
      </c>
      <c r="D37" s="22">
        <v>114</v>
      </c>
      <c r="E37" s="7">
        <f t="shared" si="0"/>
        <v>122</v>
      </c>
      <c r="F37" s="7" t="str">
        <f t="shared" si="1"/>
        <v>IMPORTANT</v>
      </c>
      <c r="G37" s="7" t="str">
        <f t="shared" si="2"/>
        <v>IMPORTANT</v>
      </c>
      <c r="H37" s="7" t="str">
        <f t="shared" si="3"/>
        <v>IMPORTANT</v>
      </c>
      <c r="I37" s="6"/>
      <c r="J37" s="6" t="s">
        <v>207</v>
      </c>
    </row>
    <row r="38" spans="1:10" ht="15" customHeight="1" thickBot="1" x14ac:dyDescent="0.4">
      <c r="A38" s="17" t="s">
        <v>210</v>
      </c>
      <c r="B38" s="18">
        <v>133</v>
      </c>
      <c r="C38" s="18">
        <v>122</v>
      </c>
      <c r="D38" s="18">
        <v>118</v>
      </c>
      <c r="E38" s="7">
        <f t="shared" si="0"/>
        <v>133</v>
      </c>
      <c r="F38" s="7" t="str">
        <f t="shared" si="1"/>
        <v>IMPORTANT</v>
      </c>
      <c r="G38" s="7" t="str">
        <f t="shared" si="2"/>
        <v>IMPORTANT</v>
      </c>
      <c r="H38" s="7" t="str">
        <f t="shared" si="3"/>
        <v>IMPORTANT</v>
      </c>
      <c r="I38" s="6"/>
      <c r="J38" s="6" t="s">
        <v>207</v>
      </c>
    </row>
    <row r="39" spans="1:10" ht="15" customHeight="1" thickBot="1" x14ac:dyDescent="0.4">
      <c r="A39" s="21" t="s">
        <v>211</v>
      </c>
      <c r="B39" s="22">
        <v>119</v>
      </c>
      <c r="C39" s="22">
        <v>124</v>
      </c>
      <c r="D39" s="22">
        <v>115</v>
      </c>
      <c r="E39" s="7">
        <f t="shared" si="0"/>
        <v>124</v>
      </c>
      <c r="F39" s="7" t="str">
        <f t="shared" si="1"/>
        <v>IMPORTANT</v>
      </c>
      <c r="G39" s="7" t="str">
        <f t="shared" si="2"/>
        <v>IMPORTANT</v>
      </c>
      <c r="H39" s="7" t="str">
        <f t="shared" si="3"/>
        <v>IMPORTANT</v>
      </c>
      <c r="I39" s="6"/>
      <c r="J39" s="6" t="s">
        <v>207</v>
      </c>
    </row>
    <row r="40" spans="1:10" ht="15" customHeight="1" thickBot="1" x14ac:dyDescent="0.4">
      <c r="A40" s="17" t="s">
        <v>212</v>
      </c>
      <c r="B40" s="18">
        <v>127</v>
      </c>
      <c r="C40" s="18">
        <v>113</v>
      </c>
      <c r="D40" s="18">
        <v>119</v>
      </c>
      <c r="E40" s="7">
        <f t="shared" si="0"/>
        <v>127</v>
      </c>
      <c r="F40" s="7" t="str">
        <f t="shared" si="1"/>
        <v>IMPORTANT</v>
      </c>
      <c r="G40" s="7" t="str">
        <f t="shared" si="2"/>
        <v>IMPORTANT</v>
      </c>
      <c r="H40" s="7" t="str">
        <f t="shared" si="3"/>
        <v>IMPORTANT</v>
      </c>
      <c r="I40" s="6"/>
      <c r="J40" s="6" t="s">
        <v>207</v>
      </c>
    </row>
    <row r="43" spans="1:10" x14ac:dyDescent="0.35">
      <c r="A43" t="s">
        <v>213</v>
      </c>
      <c r="B43" s="27">
        <f>_xlfn.FLOOR.MATH((IFERROR(AVERAGE(B5:B41),"")*1))</f>
        <v>115</v>
      </c>
      <c r="C43">
        <f>_xlfn.FLOOR.MATH((IFERROR(AVERAGE(C5:C41),"")*1))</f>
        <v>112</v>
      </c>
      <c r="D43">
        <f>_xlfn.FLOOR.MATH((IFERROR(AVERAGE(D5:D41),"")*1))</f>
        <v>109</v>
      </c>
    </row>
    <row r="44" spans="1:10" x14ac:dyDescent="0.35">
      <c r="A44" t="s">
        <v>214</v>
      </c>
      <c r="B44" s="27">
        <f>_xlfn.FLOOR.MATH(IFERROR(AVERAGE(B5:B34),""),1)</f>
        <v>112</v>
      </c>
      <c r="C44">
        <f>_xlfn.FLOOR.MATH(IFERROR(AVERAGE(C5:C34),""),1)</f>
        <v>111</v>
      </c>
      <c r="D44">
        <f>_xlfn.FLOOR.MATH(IFERROR(AVERAGE(D5:D34),""),1)</f>
        <v>107</v>
      </c>
    </row>
    <row r="45" spans="1:10" x14ac:dyDescent="0.35">
      <c r="A45" t="s">
        <v>215</v>
      </c>
      <c r="B45" s="27">
        <f>_xlfn.FLOOR.MATH(IFERROR(AVERAGE(B35:B40),""),1)</f>
        <v>127</v>
      </c>
      <c r="C45">
        <f>_xlfn.FLOOR.MATH(IFERROR(AVERAGE(C35:C40),""),1)</f>
        <v>120</v>
      </c>
      <c r="D45">
        <f>_xlfn.FLOOR.MATH(IFERROR(AVERAGE(D35:D40),""),1)</f>
        <v>118</v>
      </c>
    </row>
  </sheetData>
  <conditionalFormatting sqref="B5:B40">
    <cfRule type="top10" dxfId="4" priority="3" rank="10"/>
  </conditionalFormatting>
  <conditionalFormatting sqref="C5:C40">
    <cfRule type="top10" dxfId="3" priority="1" rank="10"/>
  </conditionalFormatting>
  <conditionalFormatting sqref="D5:D40">
    <cfRule type="top10" dxfId="2" priority="2" rank="10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>
      <selection activeCell="G14" sqref="G14"/>
    </sheetView>
  </sheetViews>
  <sheetFormatPr defaultRowHeight="14.5" x14ac:dyDescent="0.35"/>
  <cols>
    <col min="1" max="1" width="34" customWidth="1"/>
    <col min="2" max="4" width="12" customWidth="1"/>
    <col min="5" max="5" width="8" customWidth="1"/>
    <col min="6" max="8" width="12" customWidth="1"/>
    <col min="9" max="9" width="36" customWidth="1"/>
    <col min="10" max="10" width="14" customWidth="1"/>
  </cols>
  <sheetData>
    <row r="1" spans="1:10" ht="18.5" customHeight="1" x14ac:dyDescent="0.45">
      <c r="A1" s="4" t="s">
        <v>216</v>
      </c>
    </row>
    <row r="2" spans="1:10" x14ac:dyDescent="0.35">
      <c r="A2" s="1" t="s">
        <v>217</v>
      </c>
    </row>
    <row r="4" spans="1:10" ht="15" customHeight="1" thickBot="1" x14ac:dyDescent="0.4">
      <c r="A4" s="2" t="s">
        <v>218</v>
      </c>
      <c r="B4" s="2" t="s">
        <v>169</v>
      </c>
      <c r="C4" s="2" t="s">
        <v>170</v>
      </c>
      <c r="D4" s="2" t="s">
        <v>171</v>
      </c>
      <c r="E4" s="2" t="s">
        <v>172</v>
      </c>
      <c r="F4" s="2" t="s">
        <v>173</v>
      </c>
      <c r="G4" s="2" t="s">
        <v>174</v>
      </c>
      <c r="H4" s="2" t="s">
        <v>175</v>
      </c>
      <c r="I4" s="2" t="s">
        <v>219</v>
      </c>
      <c r="J4" s="2" t="s">
        <v>220</v>
      </c>
    </row>
    <row r="5" spans="1:10" ht="15" customHeight="1" thickBot="1" x14ac:dyDescent="0.4">
      <c r="A5" s="15" t="s">
        <v>169</v>
      </c>
      <c r="B5" s="16">
        <v>129</v>
      </c>
      <c r="C5" s="16">
        <v>115</v>
      </c>
      <c r="D5" s="16">
        <v>106</v>
      </c>
      <c r="E5" s="7">
        <f t="shared" ref="E5:E10" si="0">IF(COUNT(B5:D5)=0,"",MAX(B5:D5))</f>
        <v>129</v>
      </c>
      <c r="F5" s="7" t="str">
        <f t="shared" ref="F5:H10" si="1">IF(B5="","",IF(B5&gt;=110,"IMPORTANT",IF(B5&lt;100,"CAUTION","")))</f>
        <v>IMPORTANT</v>
      </c>
      <c r="G5" s="7" t="str">
        <f t="shared" si="1"/>
        <v>IMPORTANT</v>
      </c>
      <c r="H5" s="7" t="str">
        <f t="shared" si="1"/>
        <v/>
      </c>
      <c r="I5" s="6"/>
      <c r="J5" s="6"/>
    </row>
    <row r="6" spans="1:10" ht="15" customHeight="1" thickBot="1" x14ac:dyDescent="0.4">
      <c r="A6" s="17" t="s">
        <v>221</v>
      </c>
      <c r="B6" s="18">
        <v>115</v>
      </c>
      <c r="C6" s="18">
        <v>118</v>
      </c>
      <c r="D6" s="18">
        <v>121</v>
      </c>
      <c r="E6" s="7">
        <f t="shared" si="0"/>
        <v>121</v>
      </c>
      <c r="F6" s="7" t="str">
        <f t="shared" si="1"/>
        <v>IMPORTANT</v>
      </c>
      <c r="G6" s="7" t="str">
        <f t="shared" si="1"/>
        <v>IMPORTANT</v>
      </c>
      <c r="H6" s="7" t="str">
        <f t="shared" si="1"/>
        <v>IMPORTANT</v>
      </c>
      <c r="I6" s="6"/>
      <c r="J6" s="6"/>
    </row>
    <row r="7" spans="1:10" ht="15" customHeight="1" thickBot="1" x14ac:dyDescent="0.4">
      <c r="A7" s="19" t="s">
        <v>222</v>
      </c>
      <c r="B7" s="20">
        <v>122</v>
      </c>
      <c r="C7" s="20">
        <v>108</v>
      </c>
      <c r="D7" s="20">
        <v>102</v>
      </c>
      <c r="E7" s="7">
        <f t="shared" si="0"/>
        <v>122</v>
      </c>
      <c r="F7" s="7" t="str">
        <f t="shared" si="1"/>
        <v>IMPORTANT</v>
      </c>
      <c r="G7" s="7" t="str">
        <f t="shared" si="1"/>
        <v/>
      </c>
      <c r="H7" s="7" t="str">
        <f t="shared" si="1"/>
        <v/>
      </c>
      <c r="I7" s="6"/>
      <c r="J7" s="6"/>
    </row>
    <row r="8" spans="1:10" ht="15" customHeight="1" thickBot="1" x14ac:dyDescent="0.4">
      <c r="A8" s="17" t="s">
        <v>223</v>
      </c>
      <c r="B8" s="18">
        <v>123</v>
      </c>
      <c r="C8" s="18">
        <v>115</v>
      </c>
      <c r="D8" s="18">
        <v>102</v>
      </c>
      <c r="E8" s="7">
        <f t="shared" si="0"/>
        <v>123</v>
      </c>
      <c r="F8" s="7" t="str">
        <f t="shared" si="1"/>
        <v>IMPORTANT</v>
      </c>
      <c r="G8" s="7" t="str">
        <f t="shared" si="1"/>
        <v>IMPORTANT</v>
      </c>
      <c r="H8" s="7" t="str">
        <f t="shared" si="1"/>
        <v/>
      </c>
      <c r="I8" s="6"/>
      <c r="J8" s="6"/>
    </row>
    <row r="9" spans="1:10" ht="15" customHeight="1" thickBot="1" x14ac:dyDescent="0.4">
      <c r="A9" s="19" t="s">
        <v>224</v>
      </c>
      <c r="B9" s="20">
        <v>112</v>
      </c>
      <c r="C9" s="20">
        <v>129</v>
      </c>
      <c r="D9" s="20">
        <v>117</v>
      </c>
      <c r="E9" s="7">
        <f t="shared" si="0"/>
        <v>129</v>
      </c>
      <c r="F9" s="7" t="str">
        <f t="shared" si="1"/>
        <v>IMPORTANT</v>
      </c>
      <c r="G9" s="7" t="str">
        <f t="shared" si="1"/>
        <v>IMPORTANT</v>
      </c>
      <c r="H9" s="7" t="str">
        <f t="shared" si="1"/>
        <v>IMPORTANT</v>
      </c>
      <c r="I9" s="6"/>
      <c r="J9" s="6"/>
    </row>
    <row r="10" spans="1:10" ht="15" customHeight="1" thickBot="1" x14ac:dyDescent="0.4">
      <c r="A10" s="17" t="s">
        <v>225</v>
      </c>
      <c r="B10" s="18">
        <v>81</v>
      </c>
      <c r="C10" s="18">
        <v>115</v>
      </c>
      <c r="D10" s="18">
        <v>129</v>
      </c>
      <c r="E10" s="7">
        <f t="shared" si="0"/>
        <v>129</v>
      </c>
      <c r="F10" s="7" t="str">
        <f t="shared" si="1"/>
        <v>CAUTION</v>
      </c>
      <c r="G10" s="7" t="str">
        <f t="shared" si="1"/>
        <v>IMPORTANT</v>
      </c>
      <c r="H10" s="7" t="str">
        <f t="shared" si="1"/>
        <v>IMPORTANT</v>
      </c>
      <c r="I10" s="6"/>
      <c r="J10" s="6"/>
    </row>
    <row r="12" spans="1:10" x14ac:dyDescent="0.35">
      <c r="A12" t="s">
        <v>213</v>
      </c>
      <c r="B12">
        <f>_xlfn.FLOOR.MATH((IFERROR(AVERAGE(B5:B10),"")*1))</f>
        <v>113</v>
      </c>
      <c r="C12">
        <f>_xlfn.FLOOR.MATH((IFERROR(AVERAGE(C5:C10),"")*1))</f>
        <v>116</v>
      </c>
      <c r="D12">
        <f>_xlfn.FLOOR.MATH((IFERROR(AVERAGE(D5:D10),"")*1))</f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selection activeCell="J2" sqref="J2"/>
    </sheetView>
  </sheetViews>
  <sheetFormatPr defaultRowHeight="14.5" x14ac:dyDescent="0.35"/>
  <cols>
    <col min="1" max="1" width="14" customWidth="1"/>
    <col min="2" max="2" width="12" customWidth="1"/>
    <col min="3" max="3" width="10" customWidth="1"/>
    <col min="4" max="4" width="12" customWidth="1"/>
    <col min="5" max="5" width="36" customWidth="1"/>
    <col min="6" max="6" width="18" customWidth="1"/>
    <col min="7" max="7" width="36" customWidth="1"/>
  </cols>
  <sheetData>
    <row r="1" spans="1:7" ht="18.5" customHeight="1" x14ac:dyDescent="0.45">
      <c r="A1" s="4" t="s">
        <v>226</v>
      </c>
    </row>
    <row r="2" spans="1:7" x14ac:dyDescent="0.35">
      <c r="A2" s="1" t="s">
        <v>227</v>
      </c>
    </row>
    <row r="4" spans="1:7" ht="29" customHeight="1" x14ac:dyDescent="0.35">
      <c r="A4" s="2" t="s">
        <v>228</v>
      </c>
      <c r="B4" s="2" t="s">
        <v>229</v>
      </c>
      <c r="C4" s="2" t="s">
        <v>230</v>
      </c>
      <c r="D4" s="2" t="s">
        <v>231</v>
      </c>
      <c r="E4" s="2" t="s">
        <v>232</v>
      </c>
      <c r="F4" s="2" t="s">
        <v>233</v>
      </c>
      <c r="G4" s="2" t="s">
        <v>234</v>
      </c>
    </row>
    <row r="5" spans="1:7" x14ac:dyDescent="0.35">
      <c r="A5" s="3" t="s">
        <v>169</v>
      </c>
      <c r="B5" s="6">
        <v>1100</v>
      </c>
      <c r="C5" s="7">
        <f>IF(OR($B$5="",B5=""),"",B5-$B$5)</f>
        <v>0</v>
      </c>
      <c r="D5" s="7">
        <f>IF(OR($B$6="",B5=""),"",B5-$B$6)</f>
        <v>-265</v>
      </c>
      <c r="E5" s="6" t="s">
        <v>235</v>
      </c>
      <c r="F5" s="6" t="s">
        <v>236</v>
      </c>
      <c r="G5" s="6"/>
    </row>
    <row r="6" spans="1:7" x14ac:dyDescent="0.35">
      <c r="A6" s="3" t="s">
        <v>170</v>
      </c>
      <c r="B6" s="6">
        <v>1365</v>
      </c>
      <c r="C6" s="7">
        <f>IF(OR($B$5="",B6=""),"",B6-$B$5)</f>
        <v>265</v>
      </c>
      <c r="D6" s="7">
        <f>IF(OR($B$6="",B6=""),"",B6-$B$6)</f>
        <v>0</v>
      </c>
      <c r="E6" s="6" t="s">
        <v>237</v>
      </c>
      <c r="F6" s="6" t="s">
        <v>238</v>
      </c>
      <c r="G6" s="6"/>
    </row>
    <row r="7" spans="1:7" x14ac:dyDescent="0.35">
      <c r="A7" s="3" t="s">
        <v>171</v>
      </c>
      <c r="B7" s="6">
        <v>1580</v>
      </c>
      <c r="C7" s="7">
        <f>IF(OR($B$5="",B7=""),"",B7-$B$5)</f>
        <v>480</v>
      </c>
      <c r="D7" s="7">
        <f>IF(OR($B$6="",B7=""),"",B7-$B$6)</f>
        <v>215</v>
      </c>
      <c r="E7" s="6" t="s">
        <v>239</v>
      </c>
      <c r="F7" s="6" t="s">
        <v>240</v>
      </c>
      <c r="G7" s="6"/>
    </row>
    <row r="9" spans="1:7" x14ac:dyDescent="0.35">
      <c r="A9" t="s">
        <v>241</v>
      </c>
    </row>
    <row r="10" spans="1:7" x14ac:dyDescent="0.35">
      <c r="A10" s="119"/>
      <c r="B10" s="120"/>
      <c r="C10" s="120"/>
      <c r="D10" s="120"/>
      <c r="E10" s="120"/>
      <c r="F10" s="120"/>
      <c r="G10" s="121"/>
    </row>
    <row r="11" spans="1:7" x14ac:dyDescent="0.35">
      <c r="A11" s="122"/>
      <c r="B11" s="118"/>
      <c r="C11" s="118"/>
      <c r="D11" s="118"/>
      <c r="E11" s="118"/>
      <c r="F11" s="118"/>
      <c r="G11" s="123"/>
    </row>
    <row r="12" spans="1:7" x14ac:dyDescent="0.35">
      <c r="A12" s="124"/>
      <c r="B12" s="125"/>
      <c r="C12" s="125"/>
      <c r="D12" s="125"/>
      <c r="E12" s="125"/>
      <c r="F12" s="125"/>
      <c r="G12" s="126"/>
    </row>
  </sheetData>
  <mergeCells count="1">
    <mergeCell ref="A10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zoomScale="115" zoomScaleNormal="115" workbookViewId="0">
      <selection activeCell="F20" sqref="F20"/>
    </sheetView>
  </sheetViews>
  <sheetFormatPr defaultRowHeight="14.5" x14ac:dyDescent="0.35"/>
  <cols>
    <col min="1" max="1" width="18" customWidth="1"/>
    <col min="2" max="5" width="12" customWidth="1"/>
    <col min="6" max="6" width="16" customWidth="1"/>
    <col min="7" max="7" width="18" customWidth="1"/>
    <col min="8" max="8" width="40" customWidth="1"/>
  </cols>
  <sheetData>
    <row r="1" spans="1:8" ht="18.5" customHeight="1" x14ac:dyDescent="0.45">
      <c r="A1" s="4" t="s">
        <v>242</v>
      </c>
    </row>
    <row r="2" spans="1:8" x14ac:dyDescent="0.35">
      <c r="A2" s="1" t="s">
        <v>243</v>
      </c>
    </row>
    <row r="3" spans="1:8" x14ac:dyDescent="0.35">
      <c r="A3" s="35" t="s">
        <v>244</v>
      </c>
    </row>
    <row r="4" spans="1:8" ht="29.5" customHeight="1" thickBot="1" x14ac:dyDescent="0.4">
      <c r="A4" s="2" t="s">
        <v>245</v>
      </c>
      <c r="B4" s="2" t="s">
        <v>169</v>
      </c>
      <c r="C4" s="2" t="s">
        <v>170</v>
      </c>
      <c r="D4" s="2" t="s">
        <v>171</v>
      </c>
      <c r="E4" s="2" t="s">
        <v>246</v>
      </c>
      <c r="F4" s="2" t="s">
        <v>247</v>
      </c>
      <c r="G4" s="2" t="s">
        <v>248</v>
      </c>
      <c r="H4" s="2" t="s">
        <v>249</v>
      </c>
    </row>
    <row r="5" spans="1:8" ht="15" customHeight="1" thickBot="1" x14ac:dyDescent="0.4">
      <c r="A5" s="19" t="s">
        <v>250</v>
      </c>
      <c r="B5" s="23">
        <v>5114</v>
      </c>
      <c r="C5" s="23">
        <v>4757</v>
      </c>
      <c r="D5" s="23">
        <v>3826</v>
      </c>
      <c r="E5" s="7">
        <f>IF(COUNT(B5:D5)=0,"",SUM(B5:D5))</f>
        <v>13697</v>
      </c>
      <c r="F5" s="7">
        <f>IF(E5="","",E5/4)</f>
        <v>3424.25</v>
      </c>
      <c r="G5" s="6"/>
      <c r="H5" s="6"/>
    </row>
    <row r="6" spans="1:8" ht="15" customHeight="1" thickBot="1" x14ac:dyDescent="0.4">
      <c r="A6" s="17" t="s">
        <v>251</v>
      </c>
      <c r="B6" s="24">
        <v>4194</v>
      </c>
      <c r="C6" s="24">
        <v>3177</v>
      </c>
      <c r="D6" s="24">
        <v>1942</v>
      </c>
      <c r="E6" s="7">
        <f>IF(COUNT(B6:D6)=0,"",SUM(B6:D6))</f>
        <v>9313</v>
      </c>
      <c r="F6" s="7">
        <f>IF(E6="","",E6/4)</f>
        <v>2328.25</v>
      </c>
      <c r="G6" s="6"/>
      <c r="H6" s="6"/>
    </row>
    <row r="7" spans="1:8" ht="15" customHeight="1" thickBot="1" x14ac:dyDescent="0.4">
      <c r="A7" s="19" t="s">
        <v>252</v>
      </c>
      <c r="B7" s="23">
        <v>5468</v>
      </c>
      <c r="C7" s="23">
        <v>3447</v>
      </c>
      <c r="D7" s="23">
        <v>3659</v>
      </c>
      <c r="E7" s="7">
        <f>IF(COUNT(B7:D7)=0,"",SUM(B7:D7))</f>
        <v>12574</v>
      </c>
      <c r="F7" s="7">
        <f>IF(E7="","",E7/4)</f>
        <v>3143.5</v>
      </c>
      <c r="G7" s="6"/>
      <c r="H7" s="6"/>
    </row>
    <row r="8" spans="1:8" ht="15" customHeight="1" thickBot="1" x14ac:dyDescent="0.4">
      <c r="A8" s="15" t="s">
        <v>253</v>
      </c>
      <c r="B8" s="25">
        <v>3491</v>
      </c>
      <c r="C8" s="25">
        <v>2439</v>
      </c>
      <c r="D8" s="25">
        <v>2447</v>
      </c>
      <c r="E8" s="7">
        <f>IF(COUNT(B8:D8)=0,"",SUM(B8:D8))</f>
        <v>8377</v>
      </c>
      <c r="F8" s="7">
        <f>IF(E8="","",E8/4)</f>
        <v>2094.25</v>
      </c>
      <c r="G8" s="6"/>
      <c r="H8" s="6"/>
    </row>
    <row r="9" spans="1:8" x14ac:dyDescent="0.35">
      <c r="A9" s="8" t="s">
        <v>254</v>
      </c>
      <c r="B9" s="9">
        <f>IF(COUNT(B5:B8)=0,"",SUM(B5:B8))</f>
        <v>18267</v>
      </c>
      <c r="C9" s="9">
        <f>IF(COUNT(C5:C8)=0,"",SUM(C5:C8))</f>
        <v>13820</v>
      </c>
      <c r="D9" s="9">
        <f>IF(COUNT(D5:D8)=0,"",SUM(D5:D8))</f>
        <v>11874</v>
      </c>
      <c r="E9" s="9">
        <f>IF(COUNT(E5:E8)=0,"",SUM(E5:E8))</f>
        <v>43961</v>
      </c>
      <c r="F9" s="9">
        <f>IF(COUNT(F5:F8)=0,"",SUM(F5:F8))</f>
        <v>10990.25</v>
      </c>
      <c r="G9" s="9"/>
      <c r="H9" s="9"/>
    </row>
    <row r="11" spans="1:8" x14ac:dyDescent="0.35">
      <c r="A11" t="s">
        <v>255</v>
      </c>
      <c r="B11" s="10">
        <f>IF(OR(B9="",E9="",E9=0),"",B9/E9)</f>
        <v>0.41552739928573051</v>
      </c>
      <c r="C11" s="10">
        <f>IF(OR(C9="",E9="",E9=0),"",C9/E9)</f>
        <v>0.31436955483269263</v>
      </c>
      <c r="D11" s="10">
        <f>IF(OR(D9="",E9="",E9=0),"",D9/E9)</f>
        <v>0.27010304588157685</v>
      </c>
    </row>
    <row r="13" spans="1:8" x14ac:dyDescent="0.35">
      <c r="A13" t="s">
        <v>256</v>
      </c>
    </row>
    <row r="14" spans="1:8" x14ac:dyDescent="0.35">
      <c r="A14" t="s">
        <v>257</v>
      </c>
      <c r="B14" s="11"/>
    </row>
    <row r="15" spans="1:8" x14ac:dyDescent="0.35">
      <c r="A15" t="s">
        <v>258</v>
      </c>
      <c r="B15" s="11"/>
    </row>
    <row r="16" spans="1:8" x14ac:dyDescent="0.35">
      <c r="A16" t="s">
        <v>259</v>
      </c>
      <c r="B16" s="11"/>
    </row>
    <row r="17" spans="1:2" x14ac:dyDescent="0.35">
      <c r="A17" t="s">
        <v>260</v>
      </c>
      <c r="B17" s="1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0"/>
  <sheetViews>
    <sheetView workbookViewId="0">
      <selection activeCell="G6" sqref="G6"/>
    </sheetView>
  </sheetViews>
  <sheetFormatPr defaultRowHeight="14.5" x14ac:dyDescent="0.35"/>
  <cols>
    <col min="1" max="1" width="48" customWidth="1"/>
    <col min="2" max="2" width="50" customWidth="1"/>
    <col min="3" max="3" width="42" customWidth="1"/>
    <col min="4" max="4" width="28" customWidth="1"/>
    <col min="5" max="5" width="12" customWidth="1"/>
    <col min="6" max="6" width="18" customWidth="1"/>
    <col min="7" max="7" width="40" customWidth="1"/>
  </cols>
  <sheetData>
    <row r="1" spans="1:7" ht="18.5" customHeight="1" x14ac:dyDescent="0.45">
      <c r="A1" s="36" t="s">
        <v>261</v>
      </c>
    </row>
    <row r="2" spans="1:7" x14ac:dyDescent="0.35">
      <c r="A2" s="128" t="s">
        <v>262</v>
      </c>
      <c r="B2" s="118"/>
      <c r="C2" s="118"/>
      <c r="D2" s="118"/>
      <c r="E2" s="118"/>
      <c r="F2" s="118"/>
      <c r="G2" s="118"/>
    </row>
    <row r="4" spans="1:7" x14ac:dyDescent="0.35">
      <c r="A4" s="37" t="s">
        <v>263</v>
      </c>
    </row>
    <row r="5" spans="1:7" x14ac:dyDescent="0.35">
      <c r="A5" s="29" t="s">
        <v>245</v>
      </c>
      <c r="B5" s="29" t="s">
        <v>169</v>
      </c>
      <c r="C5" s="29" t="s">
        <v>170</v>
      </c>
      <c r="D5" s="29" t="s">
        <v>171</v>
      </c>
      <c r="E5" s="29" t="s">
        <v>246</v>
      </c>
      <c r="F5" s="29" t="s">
        <v>264</v>
      </c>
      <c r="G5" s="29" t="s">
        <v>265</v>
      </c>
    </row>
    <row r="6" spans="1:7" x14ac:dyDescent="0.35">
      <c r="A6" s="30" t="s">
        <v>250</v>
      </c>
      <c r="B6" s="38">
        <f>Market_Potential!B5</f>
        <v>5114</v>
      </c>
      <c r="C6" s="38">
        <f>Market_Potential!C5</f>
        <v>4757</v>
      </c>
      <c r="D6" s="38">
        <f>Market_Potential!D5</f>
        <v>3826</v>
      </c>
      <c r="E6" s="38">
        <f>SUM(B6:D6)</f>
        <v>13697</v>
      </c>
      <c r="F6" s="38" t="s">
        <v>266</v>
      </c>
      <c r="G6" s="38" t="s">
        <v>267</v>
      </c>
    </row>
    <row r="7" spans="1:7" x14ac:dyDescent="0.35">
      <c r="A7" s="30" t="s">
        <v>251</v>
      </c>
      <c r="B7" s="38">
        <f>Market_Potential!B6</f>
        <v>4194</v>
      </c>
      <c r="C7" s="38">
        <f>Market_Potential!C6</f>
        <v>3177</v>
      </c>
      <c r="D7" s="38">
        <f>Market_Potential!D6</f>
        <v>1942</v>
      </c>
      <c r="E7" s="38">
        <f>SUM(B7:D7)</f>
        <v>9313</v>
      </c>
      <c r="F7" s="38" t="s">
        <v>266</v>
      </c>
      <c r="G7" s="38" t="s">
        <v>268</v>
      </c>
    </row>
    <row r="8" spans="1:7" x14ac:dyDescent="0.35">
      <c r="A8" s="39" t="s">
        <v>252</v>
      </c>
      <c r="B8" s="40">
        <f>Market_Potential!B7</f>
        <v>5468</v>
      </c>
      <c r="C8" s="40">
        <f>Market_Potential!C7</f>
        <v>3447</v>
      </c>
      <c r="D8" s="40">
        <f>Market_Potential!D7</f>
        <v>3659</v>
      </c>
      <c r="E8" s="40">
        <f>SUM(B8:D8)</f>
        <v>12574</v>
      </c>
      <c r="F8" s="40" t="s">
        <v>269</v>
      </c>
      <c r="G8" s="40" t="s">
        <v>270</v>
      </c>
    </row>
    <row r="9" spans="1:7" x14ac:dyDescent="0.35">
      <c r="A9" s="30" t="s">
        <v>253</v>
      </c>
      <c r="B9" s="38">
        <f>Market_Potential!B8</f>
        <v>3491</v>
      </c>
      <c r="C9" s="38">
        <f>Market_Potential!C8</f>
        <v>2439</v>
      </c>
      <c r="D9" s="38">
        <f>Market_Potential!D8</f>
        <v>2447</v>
      </c>
      <c r="E9" s="38">
        <f>SUM(B9:D9)</f>
        <v>8377</v>
      </c>
      <c r="F9" s="38" t="s">
        <v>266</v>
      </c>
      <c r="G9" s="38" t="s">
        <v>271</v>
      </c>
    </row>
    <row r="11" spans="1:7" x14ac:dyDescent="0.35">
      <c r="A11" s="37" t="s">
        <v>272</v>
      </c>
    </row>
    <row r="12" spans="1:7" x14ac:dyDescent="0.35">
      <c r="A12" s="29" t="s">
        <v>273</v>
      </c>
      <c r="B12" s="29" t="s">
        <v>274</v>
      </c>
      <c r="C12" s="29" t="s">
        <v>275</v>
      </c>
      <c r="D12" s="29" t="s">
        <v>276</v>
      </c>
    </row>
    <row r="13" spans="1:7" ht="55" customHeight="1" x14ac:dyDescent="0.35">
      <c r="A13" s="30" t="s">
        <v>277</v>
      </c>
      <c r="B13" s="30" t="s">
        <v>278</v>
      </c>
      <c r="C13" s="30" t="s">
        <v>279</v>
      </c>
      <c r="D13" s="41" t="s">
        <v>280</v>
      </c>
    </row>
    <row r="14" spans="1:7" ht="55" customHeight="1" x14ac:dyDescent="0.35">
      <c r="A14" s="30" t="s">
        <v>281</v>
      </c>
      <c r="B14" s="30" t="s">
        <v>282</v>
      </c>
      <c r="C14" s="30" t="s">
        <v>283</v>
      </c>
      <c r="D14" s="41" t="s">
        <v>284</v>
      </c>
    </row>
    <row r="16" spans="1:7" x14ac:dyDescent="0.35">
      <c r="A16" s="37" t="s">
        <v>285</v>
      </c>
    </row>
    <row r="17" spans="1:4" x14ac:dyDescent="0.35">
      <c r="A17" s="127" t="s">
        <v>286</v>
      </c>
      <c r="B17" s="118"/>
      <c r="C17" s="118"/>
      <c r="D17" s="118"/>
    </row>
    <row r="18" spans="1:4" x14ac:dyDescent="0.35">
      <c r="A18" s="127" t="s">
        <v>287</v>
      </c>
      <c r="B18" s="118"/>
      <c r="C18" s="118"/>
      <c r="D18" s="118"/>
    </row>
    <row r="19" spans="1:4" x14ac:dyDescent="0.35">
      <c r="A19" s="127" t="s">
        <v>288</v>
      </c>
      <c r="B19" s="118"/>
      <c r="C19" s="118"/>
      <c r="D19" s="118"/>
    </row>
    <row r="20" spans="1:4" x14ac:dyDescent="0.35">
      <c r="A20" s="127" t="s">
        <v>289</v>
      </c>
      <c r="B20" s="118"/>
      <c r="C20" s="118"/>
      <c r="D20" s="118"/>
    </row>
    <row r="21" spans="1:4" x14ac:dyDescent="0.35">
      <c r="A21" s="127" t="s">
        <v>290</v>
      </c>
      <c r="B21" s="118"/>
      <c r="C21" s="118"/>
      <c r="D21" s="118"/>
    </row>
    <row r="22" spans="1:4" x14ac:dyDescent="0.35">
      <c r="A22" s="127" t="s">
        <v>291</v>
      </c>
      <c r="B22" s="118"/>
      <c r="C22" s="118"/>
      <c r="D22" s="118"/>
    </row>
    <row r="23" spans="1:4" x14ac:dyDescent="0.35">
      <c r="A23" s="127" t="s">
        <v>292</v>
      </c>
      <c r="B23" s="118"/>
      <c r="C23" s="118"/>
      <c r="D23" s="118"/>
    </row>
    <row r="24" spans="1:4" x14ac:dyDescent="0.35">
      <c r="A24" s="127" t="s">
        <v>293</v>
      </c>
      <c r="B24" s="118"/>
      <c r="C24" s="118"/>
      <c r="D24" s="118"/>
    </row>
    <row r="26" spans="1:4" x14ac:dyDescent="0.35">
      <c r="A26" s="37" t="s">
        <v>294</v>
      </c>
    </row>
    <row r="27" spans="1:4" x14ac:dyDescent="0.35">
      <c r="A27" s="127" t="s">
        <v>295</v>
      </c>
      <c r="B27" s="118"/>
      <c r="C27" s="118"/>
      <c r="D27" s="118"/>
    </row>
    <row r="28" spans="1:4" x14ac:dyDescent="0.35">
      <c r="A28" s="127" t="s">
        <v>296</v>
      </c>
      <c r="B28" s="118"/>
      <c r="C28" s="118"/>
      <c r="D28" s="118"/>
    </row>
    <row r="29" spans="1:4" x14ac:dyDescent="0.35">
      <c r="A29" s="127" t="s">
        <v>297</v>
      </c>
      <c r="B29" s="118"/>
      <c r="C29" s="118"/>
      <c r="D29" s="118"/>
    </row>
    <row r="30" spans="1:4" x14ac:dyDescent="0.35">
      <c r="A30" s="127" t="s">
        <v>298</v>
      </c>
      <c r="B30" s="118"/>
      <c r="C30" s="118"/>
      <c r="D30" s="118"/>
    </row>
    <row r="31" spans="1:4" x14ac:dyDescent="0.35">
      <c r="A31" s="127" t="s">
        <v>299</v>
      </c>
      <c r="B31" s="118"/>
      <c r="C31" s="118"/>
      <c r="D31" s="118"/>
    </row>
    <row r="33" spans="1:3" x14ac:dyDescent="0.35">
      <c r="A33" s="37" t="s">
        <v>300</v>
      </c>
    </row>
    <row r="34" spans="1:3" x14ac:dyDescent="0.35">
      <c r="A34" s="29" t="s">
        <v>301</v>
      </c>
      <c r="B34" s="29" t="s">
        <v>302</v>
      </c>
      <c r="C34" s="29" t="s">
        <v>303</v>
      </c>
    </row>
    <row r="35" spans="1:3" x14ac:dyDescent="0.35">
      <c r="A35" s="31" t="s">
        <v>304</v>
      </c>
      <c r="B35" s="42" t="s">
        <v>305</v>
      </c>
      <c r="C35" s="31" t="s">
        <v>118</v>
      </c>
    </row>
    <row r="36" spans="1:3" x14ac:dyDescent="0.35">
      <c r="A36" s="31" t="s">
        <v>306</v>
      </c>
      <c r="B36" s="42" t="s">
        <v>307</v>
      </c>
      <c r="C36" s="31" t="s">
        <v>308</v>
      </c>
    </row>
    <row r="37" spans="1:3" x14ac:dyDescent="0.35">
      <c r="A37" s="31" t="s">
        <v>309</v>
      </c>
      <c r="B37" s="42" t="s">
        <v>310</v>
      </c>
      <c r="C37" s="31" t="s">
        <v>311</v>
      </c>
    </row>
    <row r="38" spans="1:3" x14ac:dyDescent="0.35">
      <c r="A38" s="31" t="s">
        <v>312</v>
      </c>
      <c r="B38" s="42"/>
      <c r="C38" s="31" t="s">
        <v>313</v>
      </c>
    </row>
    <row r="39" spans="1:3" x14ac:dyDescent="0.35">
      <c r="A39" s="31" t="s">
        <v>314</v>
      </c>
      <c r="B39" s="42"/>
      <c r="C39" s="31" t="s">
        <v>315</v>
      </c>
    </row>
    <row r="40" spans="1:3" x14ac:dyDescent="0.35">
      <c r="A40" s="31" t="s">
        <v>316</v>
      </c>
      <c r="B40" s="42"/>
      <c r="C40" s="31" t="s">
        <v>317</v>
      </c>
    </row>
  </sheetData>
  <mergeCells count="14">
    <mergeCell ref="A2:G2"/>
    <mergeCell ref="A24:D24"/>
    <mergeCell ref="A19:D19"/>
    <mergeCell ref="A28:D28"/>
    <mergeCell ref="A17:D17"/>
    <mergeCell ref="A18:D18"/>
    <mergeCell ref="A27:D27"/>
    <mergeCell ref="A31:D31"/>
    <mergeCell ref="A23:D23"/>
    <mergeCell ref="A22:D22"/>
    <mergeCell ref="A20:D20"/>
    <mergeCell ref="A21:D21"/>
    <mergeCell ref="A30:D30"/>
    <mergeCell ref="A29:D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workbookViewId="0">
      <selection activeCell="K11" sqref="K11"/>
    </sheetView>
  </sheetViews>
  <sheetFormatPr defaultRowHeight="14.5" x14ac:dyDescent="0.35"/>
  <cols>
    <col min="1" max="1" width="28" customWidth="1"/>
    <col min="2" max="5" width="14" customWidth="1"/>
    <col min="6" max="7" width="18" customWidth="1"/>
    <col min="8" max="8" width="14" customWidth="1"/>
  </cols>
  <sheetData>
    <row r="1" spans="1:8" ht="18.5" customHeight="1" x14ac:dyDescent="0.45">
      <c r="A1" s="49" t="s">
        <v>318</v>
      </c>
    </row>
    <row r="2" spans="1:8" x14ac:dyDescent="0.35">
      <c r="A2" s="50" t="s">
        <v>319</v>
      </c>
    </row>
    <row r="4" spans="1:8" x14ac:dyDescent="0.35">
      <c r="A4" t="s">
        <v>320</v>
      </c>
    </row>
    <row r="5" spans="1:8" ht="29" customHeight="1" x14ac:dyDescent="0.35">
      <c r="A5" s="51" t="s">
        <v>245</v>
      </c>
      <c r="B5" s="51" t="s">
        <v>321</v>
      </c>
      <c r="C5" s="51" t="s">
        <v>322</v>
      </c>
      <c r="D5" s="51" t="s">
        <v>323</v>
      </c>
      <c r="E5" s="51" t="s">
        <v>324</v>
      </c>
      <c r="F5" s="51" t="s">
        <v>12</v>
      </c>
    </row>
    <row r="6" spans="1:8" x14ac:dyDescent="0.35">
      <c r="A6" s="48" t="s">
        <v>250</v>
      </c>
      <c r="B6" s="48" t="s">
        <v>325</v>
      </c>
      <c r="C6" s="48">
        <v>200000</v>
      </c>
      <c r="D6" s="48">
        <v>62000</v>
      </c>
      <c r="E6" s="48">
        <v>5114</v>
      </c>
      <c r="F6" s="48" t="s">
        <v>326</v>
      </c>
    </row>
    <row r="7" spans="1:8" x14ac:dyDescent="0.35">
      <c r="A7" s="48" t="s">
        <v>251</v>
      </c>
      <c r="B7" s="48" t="s">
        <v>325</v>
      </c>
      <c r="C7" s="48">
        <v>90000</v>
      </c>
      <c r="D7" s="48">
        <v>17000</v>
      </c>
      <c r="E7" s="48">
        <v>4194</v>
      </c>
      <c r="F7" s="48"/>
    </row>
    <row r="8" spans="1:8" x14ac:dyDescent="0.35">
      <c r="A8" s="52" t="s">
        <v>252</v>
      </c>
      <c r="B8" s="52" t="s">
        <v>327</v>
      </c>
      <c r="C8" s="52">
        <v>136000</v>
      </c>
      <c r="D8" s="52">
        <v>44000</v>
      </c>
      <c r="E8" s="52">
        <v>5468</v>
      </c>
      <c r="F8" s="52"/>
    </row>
    <row r="9" spans="1:8" x14ac:dyDescent="0.35">
      <c r="A9" s="48" t="s">
        <v>253</v>
      </c>
      <c r="B9" s="48" t="s">
        <v>325</v>
      </c>
      <c r="C9" s="48">
        <v>84000</v>
      </c>
      <c r="D9" s="48">
        <v>13000</v>
      </c>
      <c r="E9" s="48">
        <v>3491</v>
      </c>
      <c r="F9" s="48" t="s">
        <v>328</v>
      </c>
    </row>
    <row r="11" spans="1:8" x14ac:dyDescent="0.35">
      <c r="A11" t="s">
        <v>281</v>
      </c>
    </row>
    <row r="12" spans="1:8" ht="29" customHeight="1" x14ac:dyDescent="0.35">
      <c r="A12" s="51" t="s">
        <v>329</v>
      </c>
      <c r="B12" s="51" t="s">
        <v>245</v>
      </c>
      <c r="C12" s="51" t="s">
        <v>321</v>
      </c>
      <c r="D12" s="51" t="s">
        <v>322</v>
      </c>
      <c r="E12" s="51" t="s">
        <v>323</v>
      </c>
      <c r="F12" s="51" t="s">
        <v>12</v>
      </c>
    </row>
    <row r="13" spans="1:8" x14ac:dyDescent="0.35">
      <c r="A13" s="53" t="s">
        <v>330</v>
      </c>
      <c r="B13" s="53" t="s">
        <v>327</v>
      </c>
      <c r="C13" s="53" t="s">
        <v>325</v>
      </c>
      <c r="D13" s="53">
        <v>150000</v>
      </c>
      <c r="E13" s="53">
        <v>60000</v>
      </c>
      <c r="F13" s="53" t="s">
        <v>331</v>
      </c>
    </row>
    <row r="15" spans="1:8" x14ac:dyDescent="0.35">
      <c r="A15" s="54" t="s">
        <v>332</v>
      </c>
    </row>
    <row r="16" spans="1:8" ht="29" customHeight="1" x14ac:dyDescent="0.35">
      <c r="A16" s="51" t="s">
        <v>333</v>
      </c>
      <c r="B16" s="51" t="s">
        <v>334</v>
      </c>
      <c r="C16" s="51" t="s">
        <v>335</v>
      </c>
      <c r="D16" s="51" t="s">
        <v>336</v>
      </c>
      <c r="E16" s="51" t="s">
        <v>337</v>
      </c>
      <c r="F16" s="51" t="s">
        <v>338</v>
      </c>
      <c r="G16" s="51" t="s">
        <v>339</v>
      </c>
      <c r="H16" s="51" t="s">
        <v>340</v>
      </c>
    </row>
    <row r="17" spans="1:8" x14ac:dyDescent="0.35">
      <c r="A17" s="48" t="s">
        <v>341</v>
      </c>
      <c r="B17" s="48">
        <v>2</v>
      </c>
      <c r="C17" s="48">
        <v>480000</v>
      </c>
      <c r="D17" s="48">
        <v>136000</v>
      </c>
      <c r="E17" s="48">
        <v>0</v>
      </c>
      <c r="F17" s="48">
        <v>616000</v>
      </c>
      <c r="G17" s="48">
        <v>884000</v>
      </c>
      <c r="H17" s="52" t="s">
        <v>342</v>
      </c>
    </row>
    <row r="18" spans="1:8" x14ac:dyDescent="0.35">
      <c r="A18" s="48" t="s">
        <v>343</v>
      </c>
      <c r="B18" s="48">
        <v>3</v>
      </c>
      <c r="C18" s="48">
        <v>720000</v>
      </c>
      <c r="D18" s="48">
        <v>136000</v>
      </c>
      <c r="E18" s="48">
        <v>0</v>
      </c>
      <c r="F18" s="48">
        <v>856000</v>
      </c>
      <c r="G18" s="48">
        <v>644000</v>
      </c>
      <c r="H18" s="52" t="s">
        <v>342</v>
      </c>
    </row>
    <row r="19" spans="1:8" x14ac:dyDescent="0.35">
      <c r="A19" s="63" t="s">
        <v>344</v>
      </c>
      <c r="B19" s="63">
        <v>2</v>
      </c>
      <c r="C19" s="63">
        <v>480000</v>
      </c>
      <c r="D19" s="63">
        <v>136000</v>
      </c>
      <c r="E19" s="63">
        <v>150000</v>
      </c>
      <c r="F19" s="63">
        <v>766000</v>
      </c>
      <c r="G19" s="63">
        <v>734000</v>
      </c>
      <c r="H19" s="52" t="s">
        <v>342</v>
      </c>
    </row>
    <row r="20" spans="1:8" x14ac:dyDescent="0.35">
      <c r="A20" s="48" t="s">
        <v>345</v>
      </c>
      <c r="B20" s="48">
        <v>3</v>
      </c>
      <c r="C20" s="48">
        <v>720000</v>
      </c>
      <c r="D20" s="48">
        <v>136000</v>
      </c>
      <c r="E20" s="48">
        <v>150000</v>
      </c>
      <c r="F20" s="48">
        <v>1006000</v>
      </c>
      <c r="G20" s="48">
        <v>494000</v>
      </c>
      <c r="H20" s="52" t="s">
        <v>342</v>
      </c>
    </row>
    <row r="21" spans="1:8" x14ac:dyDescent="0.35">
      <c r="A21" s="48" t="s">
        <v>346</v>
      </c>
      <c r="B21" s="48">
        <v>5</v>
      </c>
      <c r="C21" s="48">
        <v>1200000</v>
      </c>
      <c r="D21" s="48">
        <v>136000</v>
      </c>
      <c r="E21" s="48">
        <v>0</v>
      </c>
      <c r="F21" s="48">
        <v>1336000</v>
      </c>
      <c r="G21" s="48">
        <v>164000</v>
      </c>
      <c r="H21" s="55" t="s">
        <v>347</v>
      </c>
    </row>
    <row r="22" spans="1:8" x14ac:dyDescent="0.35">
      <c r="A22" s="48" t="s">
        <v>348</v>
      </c>
      <c r="B22" s="48">
        <v>1</v>
      </c>
      <c r="C22" s="48">
        <v>240000</v>
      </c>
      <c r="D22" s="48">
        <v>136000</v>
      </c>
      <c r="E22" s="48">
        <v>150000</v>
      </c>
      <c r="F22" s="48">
        <v>526000</v>
      </c>
      <c r="G22" s="48">
        <v>974000</v>
      </c>
      <c r="H22" s="52" t="s">
        <v>342</v>
      </c>
    </row>
    <row r="25" spans="1:8" x14ac:dyDescent="0.35">
      <c r="A25" s="50" t="s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7"/>
  <sheetViews>
    <sheetView topLeftCell="A18" zoomScaleNormal="100" workbookViewId="0">
      <selection activeCell="E43" sqref="E43"/>
    </sheetView>
  </sheetViews>
  <sheetFormatPr defaultRowHeight="14.5" x14ac:dyDescent="0.35"/>
  <cols>
    <col min="1" max="1" width="58" customWidth="1"/>
    <col min="2" max="2" width="14" customWidth="1"/>
    <col min="3" max="3" width="16" customWidth="1"/>
    <col min="4" max="6" width="48" customWidth="1"/>
    <col min="7" max="7" width="36" customWidth="1"/>
  </cols>
  <sheetData>
    <row r="1" spans="1:8" ht="18.5" customHeight="1" x14ac:dyDescent="0.45">
      <c r="A1" s="49" t="s">
        <v>0</v>
      </c>
    </row>
    <row r="2" spans="1:8" x14ac:dyDescent="0.35">
      <c r="A2" s="117" t="s">
        <v>1</v>
      </c>
      <c r="B2" s="118"/>
      <c r="C2" s="118"/>
      <c r="D2" s="118"/>
      <c r="E2" s="118"/>
      <c r="F2" s="118"/>
      <c r="G2" s="118"/>
    </row>
    <row r="4" spans="1:8" x14ac:dyDescent="0.35">
      <c r="A4" s="54" t="s">
        <v>2</v>
      </c>
    </row>
    <row r="5" spans="1:8" x14ac:dyDescent="0.35">
      <c r="A5" t="s">
        <v>3</v>
      </c>
    </row>
    <row r="6" spans="1:8" x14ac:dyDescent="0.35">
      <c r="A6" t="s">
        <v>4</v>
      </c>
    </row>
    <row r="8" spans="1:8" x14ac:dyDescent="0.35">
      <c r="A8" t="s">
        <v>5</v>
      </c>
    </row>
    <row r="9" spans="1:8" x14ac:dyDescent="0.35">
      <c r="A9" s="51" t="s">
        <v>6</v>
      </c>
      <c r="B9" s="51" t="s">
        <v>7</v>
      </c>
      <c r="C9" s="51" t="s">
        <v>8</v>
      </c>
      <c r="D9" s="51" t="s">
        <v>9</v>
      </c>
      <c r="E9" s="51" t="s">
        <v>10</v>
      </c>
      <c r="F9" s="51" t="s">
        <v>11</v>
      </c>
      <c r="G9" s="51" t="s">
        <v>12</v>
      </c>
    </row>
    <row r="10" spans="1:8" x14ac:dyDescent="0.35">
      <c r="A10" s="56">
        <v>0</v>
      </c>
      <c r="B10" s="56">
        <v>0</v>
      </c>
      <c r="C10" s="56">
        <v>0</v>
      </c>
      <c r="D10" s="56">
        <v>0</v>
      </c>
      <c r="E10" s="56">
        <v>1500000</v>
      </c>
      <c r="F10" s="56">
        <v>1364000</v>
      </c>
      <c r="G10" s="57"/>
    </row>
    <row r="11" spans="1:8" x14ac:dyDescent="0.35">
      <c r="A11" s="56">
        <v>1</v>
      </c>
      <c r="B11" s="56">
        <v>8</v>
      </c>
      <c r="C11" s="56">
        <v>520</v>
      </c>
      <c r="D11" s="56">
        <v>240000</v>
      </c>
      <c r="E11" s="56">
        <v>1260000</v>
      </c>
      <c r="F11" s="56">
        <v>1124000</v>
      </c>
      <c r="G11" s="57"/>
    </row>
    <row r="12" spans="1:8" x14ac:dyDescent="0.35">
      <c r="A12" s="58">
        <v>2</v>
      </c>
      <c r="B12" s="58">
        <v>16</v>
      </c>
      <c r="C12" s="58">
        <v>1040</v>
      </c>
      <c r="D12" s="58">
        <v>480000</v>
      </c>
      <c r="E12" s="58">
        <v>1020000</v>
      </c>
      <c r="F12" s="58">
        <v>884000</v>
      </c>
      <c r="G12" s="59" t="s">
        <v>13</v>
      </c>
      <c r="H12" t="s">
        <v>14</v>
      </c>
    </row>
    <row r="13" spans="1:8" x14ac:dyDescent="0.35">
      <c r="A13" s="58">
        <v>3</v>
      </c>
      <c r="B13" s="58">
        <v>24</v>
      </c>
      <c r="C13" s="58">
        <v>1560</v>
      </c>
      <c r="D13" s="58">
        <v>720000</v>
      </c>
      <c r="E13" s="58">
        <v>780000</v>
      </c>
      <c r="F13" s="58">
        <v>644000</v>
      </c>
      <c r="G13" s="59" t="s">
        <v>13</v>
      </c>
      <c r="H13" t="s">
        <v>15</v>
      </c>
    </row>
    <row r="14" spans="1:8" x14ac:dyDescent="0.35">
      <c r="A14" s="56">
        <v>4</v>
      </c>
      <c r="B14" s="56">
        <v>32</v>
      </c>
      <c r="C14" s="56">
        <v>2080</v>
      </c>
      <c r="D14" s="56">
        <v>960000</v>
      </c>
      <c r="E14" s="56">
        <v>540000</v>
      </c>
      <c r="F14" s="56">
        <v>404000</v>
      </c>
      <c r="G14" s="57" t="s">
        <v>16</v>
      </c>
    </row>
    <row r="15" spans="1:8" x14ac:dyDescent="0.35">
      <c r="A15" s="60">
        <v>5</v>
      </c>
      <c r="B15" s="60">
        <v>40</v>
      </c>
      <c r="C15" s="60">
        <v>2600</v>
      </c>
      <c r="D15" s="60">
        <v>1200000</v>
      </c>
      <c r="E15" s="60">
        <v>300000</v>
      </c>
      <c r="F15" s="60">
        <v>164000</v>
      </c>
      <c r="G15" s="61" t="s">
        <v>17</v>
      </c>
    </row>
    <row r="16" spans="1:8" x14ac:dyDescent="0.35">
      <c r="A16" s="60">
        <v>7</v>
      </c>
      <c r="B16" s="60">
        <v>56</v>
      </c>
      <c r="C16" s="60">
        <v>3640</v>
      </c>
      <c r="D16" s="60">
        <v>1680000</v>
      </c>
      <c r="E16" s="60">
        <v>-180000</v>
      </c>
      <c r="F16" s="60">
        <v>-316000</v>
      </c>
      <c r="G16" s="61" t="s">
        <v>17</v>
      </c>
    </row>
    <row r="17" spans="1:11" x14ac:dyDescent="0.35">
      <c r="A17" s="60">
        <v>10</v>
      </c>
      <c r="B17" s="60">
        <v>80</v>
      </c>
      <c r="C17" s="60">
        <v>5200</v>
      </c>
      <c r="D17" s="60">
        <v>2400000</v>
      </c>
      <c r="E17" s="60">
        <v>-900000</v>
      </c>
      <c r="F17" s="60">
        <v>-1036000</v>
      </c>
      <c r="G17" s="61" t="s">
        <v>17</v>
      </c>
    </row>
    <row r="20" spans="1:11" x14ac:dyDescent="0.35">
      <c r="A20" s="50" t="s">
        <v>18</v>
      </c>
    </row>
    <row r="21" spans="1:11" x14ac:dyDescent="0.35">
      <c r="A21" s="62" t="s">
        <v>19</v>
      </c>
    </row>
    <row r="22" spans="1:11" x14ac:dyDescent="0.35">
      <c r="A22" t="s">
        <v>20</v>
      </c>
    </row>
    <row r="24" spans="1:11" ht="18.5" x14ac:dyDescent="0.45">
      <c r="A24" s="104" t="s">
        <v>21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</row>
    <row r="25" spans="1:11" x14ac:dyDescent="0.35">
      <c r="A25" s="88" t="s">
        <v>22</v>
      </c>
      <c r="B25" s="88">
        <v>24</v>
      </c>
      <c r="C25" s="88" t="s">
        <v>23</v>
      </c>
      <c r="D25" s="88"/>
      <c r="E25" s="88"/>
      <c r="F25" s="88"/>
      <c r="G25" s="88"/>
      <c r="H25" s="88"/>
      <c r="I25" s="88"/>
      <c r="J25" s="88"/>
      <c r="K25" s="88"/>
    </row>
    <row r="26" spans="1:11" x14ac:dyDescent="0.35">
      <c r="A26" s="88" t="s">
        <v>24</v>
      </c>
      <c r="B26" s="88">
        <f>B25*65</f>
        <v>1560</v>
      </c>
      <c r="C26" s="88" t="s">
        <v>25</v>
      </c>
      <c r="D26" s="88"/>
      <c r="E26" s="88"/>
      <c r="F26" s="88"/>
      <c r="G26" s="88"/>
      <c r="H26" s="88"/>
      <c r="I26" s="88"/>
      <c r="J26" s="88"/>
      <c r="K26" s="88"/>
    </row>
    <row r="27" spans="1:11" x14ac:dyDescent="0.35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</row>
    <row r="28" spans="1:11" x14ac:dyDescent="0.35">
      <c r="A28" s="87" t="s">
        <v>26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</row>
    <row r="29" spans="1:11" x14ac:dyDescent="0.35">
      <c r="A29" s="88" t="s">
        <v>27</v>
      </c>
      <c r="B29" s="90">
        <f>IF(Demand_Forecast!B12="","",Demand_Forecast!B12)</f>
        <v>0</v>
      </c>
      <c r="C29" s="88" t="s">
        <v>28</v>
      </c>
      <c r="D29" s="88"/>
      <c r="E29" s="88"/>
      <c r="F29" s="88"/>
      <c r="G29" s="88"/>
      <c r="H29" s="88"/>
      <c r="I29" s="88"/>
      <c r="J29" s="88"/>
      <c r="K29" s="88"/>
    </row>
    <row r="30" spans="1:11" x14ac:dyDescent="0.35">
      <c r="A30" s="87" t="s">
        <v>29</v>
      </c>
      <c r="B30" s="105">
        <v>0.7</v>
      </c>
      <c r="C30" s="88" t="s">
        <v>30</v>
      </c>
      <c r="D30" s="88"/>
      <c r="E30" s="88"/>
      <c r="F30" s="88"/>
      <c r="G30" s="88"/>
      <c r="H30" s="88"/>
      <c r="I30" s="88"/>
      <c r="J30" s="88"/>
      <c r="K30" s="88"/>
    </row>
    <row r="31" spans="1:11" x14ac:dyDescent="0.35">
      <c r="A31" s="88" t="s">
        <v>31</v>
      </c>
      <c r="B31" s="88">
        <f>B29</f>
        <v>0</v>
      </c>
      <c r="C31" s="88"/>
      <c r="D31" s="88"/>
      <c r="E31" s="88"/>
      <c r="F31" s="88"/>
      <c r="G31" s="88"/>
      <c r="H31" s="88"/>
      <c r="I31" s="88"/>
      <c r="J31" s="88"/>
      <c r="K31" s="88"/>
    </row>
    <row r="32" spans="1:11" x14ac:dyDescent="0.35">
      <c r="A32" s="88" t="s">
        <v>32</v>
      </c>
      <c r="B32" s="106">
        <f>B30</f>
        <v>0.7</v>
      </c>
      <c r="C32" s="88"/>
      <c r="D32" s="88"/>
      <c r="E32" s="88"/>
      <c r="F32" s="88"/>
      <c r="G32" s="88"/>
      <c r="H32" s="88"/>
      <c r="I32" s="88"/>
      <c r="J32" s="88"/>
      <c r="K32" s="88"/>
    </row>
    <row r="33" spans="1:11" x14ac:dyDescent="0.35">
      <c r="A33" s="88" t="s">
        <v>33</v>
      </c>
      <c r="B33" s="88">
        <f>IF(B30="","",1+(1-B30))</f>
        <v>1.3</v>
      </c>
      <c r="C33" s="88" t="s">
        <v>34</v>
      </c>
      <c r="D33" s="88"/>
      <c r="E33" s="88"/>
      <c r="F33" s="88"/>
      <c r="G33" s="88"/>
      <c r="H33" s="88"/>
      <c r="I33" s="88"/>
      <c r="J33" s="88"/>
      <c r="K33" s="88"/>
    </row>
    <row r="34" spans="1:11" x14ac:dyDescent="0.35">
      <c r="A34" s="87" t="s">
        <v>35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</row>
    <row r="35" spans="1:11" x14ac:dyDescent="0.35">
      <c r="A35" s="68" t="s">
        <v>36</v>
      </c>
      <c r="B35" s="68" t="s">
        <v>37</v>
      </c>
      <c r="C35" s="68" t="s">
        <v>38</v>
      </c>
      <c r="D35" s="68" t="s">
        <v>12</v>
      </c>
      <c r="E35" s="88"/>
      <c r="F35" s="88"/>
      <c r="G35" s="88"/>
      <c r="H35" s="88"/>
      <c r="I35" s="88"/>
      <c r="J35" s="88"/>
      <c r="K35" s="88"/>
    </row>
    <row r="36" spans="1:11" x14ac:dyDescent="0.35">
      <c r="A36" s="75" t="s">
        <v>39</v>
      </c>
      <c r="B36" s="86">
        <v>0</v>
      </c>
      <c r="C36" s="86">
        <v>0</v>
      </c>
      <c r="D36" s="75" t="s">
        <v>40</v>
      </c>
      <c r="E36" s="88"/>
      <c r="F36" s="88"/>
      <c r="G36" s="88"/>
      <c r="H36" s="88"/>
      <c r="I36" s="88"/>
      <c r="J36" s="88"/>
      <c r="K36" s="88"/>
    </row>
    <row r="37" spans="1:11" x14ac:dyDescent="0.35">
      <c r="A37" s="75" t="s">
        <v>41</v>
      </c>
      <c r="B37" s="86">
        <v>0</v>
      </c>
      <c r="C37" s="86">
        <v>0</v>
      </c>
      <c r="D37" s="75" t="s">
        <v>42</v>
      </c>
      <c r="E37" s="88"/>
      <c r="F37" s="88"/>
      <c r="G37" s="88"/>
      <c r="H37" s="88"/>
      <c r="I37" s="88"/>
      <c r="J37" s="88"/>
      <c r="K37" s="88"/>
    </row>
    <row r="38" spans="1:11" x14ac:dyDescent="0.35">
      <c r="A38" s="75" t="s">
        <v>43</v>
      </c>
      <c r="B38" s="86">
        <f>B25</f>
        <v>24</v>
      </c>
      <c r="C38" s="96">
        <f>B25*65</f>
        <v>1560</v>
      </c>
      <c r="D38" s="75" t="s">
        <v>44</v>
      </c>
    </row>
    <row r="39" spans="1:11" x14ac:dyDescent="0.35">
      <c r="A39" s="99" t="s">
        <v>45</v>
      </c>
      <c r="B39" s="72">
        <v>0</v>
      </c>
      <c r="C39" s="96">
        <f>IF(B39="","",B39*65)</f>
        <v>0</v>
      </c>
      <c r="D39" s="75" t="s">
        <v>46</v>
      </c>
    </row>
    <row r="40" spans="1:11" x14ac:dyDescent="0.35">
      <c r="A40" s="75" t="s">
        <v>47</v>
      </c>
      <c r="B40" s="107">
        <f>IF(OR(B39="",B30=""),"",B39*B30)</f>
        <v>0</v>
      </c>
      <c r="C40" s="96">
        <f>IF(B40="","",B40*65)</f>
        <v>0</v>
      </c>
      <c r="D40" s="75" t="s">
        <v>48</v>
      </c>
    </row>
    <row r="41" spans="1:11" x14ac:dyDescent="0.35">
      <c r="A41" s="75" t="s">
        <v>49</v>
      </c>
      <c r="B41" s="107">
        <f>IF(OR(B29="",B30=""),"",(B29/65)*(1+(1-B30)))</f>
        <v>0</v>
      </c>
      <c r="C41" s="96">
        <f>IF(OR(B29="",B30=""),"",B29*(1+(1-B30)))</f>
        <v>0</v>
      </c>
      <c r="D41" s="75" t="s">
        <v>50</v>
      </c>
    </row>
    <row r="42" spans="1:11" x14ac:dyDescent="0.35">
      <c r="A42" s="75" t="s">
        <v>51</v>
      </c>
      <c r="B42" s="101">
        <f>B30</f>
        <v>0.7</v>
      </c>
      <c r="C42" s="75"/>
      <c r="D42" s="75" t="s">
        <v>52</v>
      </c>
    </row>
    <row r="43" spans="1:11" x14ac:dyDescent="0.35">
      <c r="A43" s="75" t="s">
        <v>53</v>
      </c>
      <c r="B43" s="108"/>
      <c r="D43" s="75" t="s">
        <v>54</v>
      </c>
    </row>
    <row r="44" spans="1:11" x14ac:dyDescent="0.35">
      <c r="A44" s="75" t="s">
        <v>55</v>
      </c>
      <c r="B44" s="108"/>
      <c r="D44" s="75" t="s">
        <v>56</v>
      </c>
    </row>
    <row r="45" spans="1:11" x14ac:dyDescent="0.35">
      <c r="A45" s="75" t="s">
        <v>57</v>
      </c>
      <c r="B45" s="73">
        <v>0</v>
      </c>
      <c r="D45" s="75" t="s">
        <v>58</v>
      </c>
    </row>
    <row r="46" spans="1:11" x14ac:dyDescent="0.35">
      <c r="A46" s="75" t="s">
        <v>59</v>
      </c>
      <c r="B46" s="109" t="str">
        <f>IF(OR(B43="",B44=""),"",B43+B44)</f>
        <v/>
      </c>
    </row>
    <row r="47" spans="1:11" x14ac:dyDescent="0.35">
      <c r="A47" t="s">
        <v>60</v>
      </c>
      <c r="B47" t="str">
        <f>IF(OR(B39="",B41=""),"",IF(B39+0.001&gt;=B41,"OC ≥ needed","SHORT — raise OC or use OT"))</f>
        <v>OC ≥ needed</v>
      </c>
    </row>
    <row r="48" spans="1:11" x14ac:dyDescent="0.35">
      <c r="A48" t="s">
        <v>61</v>
      </c>
      <c r="B48" t="str">
        <f>IF(B39="","",IF(B39&gt;=23,"YES — labor U-curve rising; consider ~18–22","OK"))</f>
        <v>OK</v>
      </c>
    </row>
    <row r="50" spans="1:4" x14ac:dyDescent="0.35">
      <c r="A50" s="64" t="s">
        <v>62</v>
      </c>
    </row>
    <row r="51" spans="1:4" x14ac:dyDescent="0.35">
      <c r="A51" t="s">
        <v>63</v>
      </c>
      <c r="B51">
        <f>B41</f>
        <v>0</v>
      </c>
    </row>
    <row r="52" spans="1:4" x14ac:dyDescent="0.35">
      <c r="A52" t="s">
        <v>64</v>
      </c>
      <c r="B52">
        <f>B39</f>
        <v>0</v>
      </c>
    </row>
    <row r="53" spans="1:4" x14ac:dyDescent="0.35">
      <c r="A53" t="s">
        <v>65</v>
      </c>
      <c r="B53" s="72">
        <v>0</v>
      </c>
      <c r="C53" t="s">
        <v>66</v>
      </c>
    </row>
    <row r="55" spans="1:4" x14ac:dyDescent="0.35">
      <c r="A55" s="64" t="s">
        <v>67</v>
      </c>
    </row>
    <row r="56" spans="1:4" x14ac:dyDescent="0.35">
      <c r="A56" s="68" t="s">
        <v>68</v>
      </c>
      <c r="B56" s="68" t="s">
        <v>69</v>
      </c>
      <c r="C56" s="68" t="s">
        <v>70</v>
      </c>
      <c r="D56" s="68" t="s">
        <v>71</v>
      </c>
    </row>
    <row r="57" spans="1:4" x14ac:dyDescent="0.35">
      <c r="A57" s="75">
        <v>1</v>
      </c>
      <c r="B57" s="70">
        <v>1200</v>
      </c>
      <c r="C57" s="70">
        <v>1400</v>
      </c>
      <c r="D57" s="70">
        <f t="shared" ref="D57:D71" si="0">B57+C57</f>
        <v>2600</v>
      </c>
    </row>
    <row r="58" spans="1:4" x14ac:dyDescent="0.35">
      <c r="A58" s="75">
        <v>2</v>
      </c>
      <c r="B58" s="70">
        <v>380</v>
      </c>
      <c r="C58" s="70">
        <v>350</v>
      </c>
      <c r="D58" s="70">
        <f t="shared" si="0"/>
        <v>730</v>
      </c>
    </row>
    <row r="59" spans="1:4" x14ac:dyDescent="0.35">
      <c r="A59" s="75">
        <v>4</v>
      </c>
      <c r="B59" s="70">
        <v>220</v>
      </c>
      <c r="C59" s="70">
        <v>180</v>
      </c>
      <c r="D59" s="70">
        <f t="shared" si="0"/>
        <v>400</v>
      </c>
    </row>
    <row r="60" spans="1:4" x14ac:dyDescent="0.35">
      <c r="A60" s="75">
        <v>6</v>
      </c>
      <c r="B60" s="70">
        <v>190</v>
      </c>
      <c r="C60" s="70">
        <v>130</v>
      </c>
      <c r="D60" s="70">
        <f t="shared" si="0"/>
        <v>320</v>
      </c>
    </row>
    <row r="61" spans="1:4" x14ac:dyDescent="0.35">
      <c r="A61" s="75">
        <v>8</v>
      </c>
      <c r="B61" s="70">
        <v>170</v>
      </c>
      <c r="C61" s="70">
        <v>95</v>
      </c>
      <c r="D61" s="70">
        <f t="shared" si="0"/>
        <v>265</v>
      </c>
    </row>
    <row r="62" spans="1:4" x14ac:dyDescent="0.35">
      <c r="A62" s="75">
        <v>10</v>
      </c>
      <c r="B62" s="70">
        <v>155</v>
      </c>
      <c r="C62" s="70">
        <v>80</v>
      </c>
      <c r="D62" s="70">
        <f t="shared" si="0"/>
        <v>235</v>
      </c>
    </row>
    <row r="63" spans="1:4" x14ac:dyDescent="0.35">
      <c r="A63" s="75">
        <v>12</v>
      </c>
      <c r="B63" s="70">
        <v>145</v>
      </c>
      <c r="C63" s="70">
        <v>70</v>
      </c>
      <c r="D63" s="70">
        <f t="shared" si="0"/>
        <v>215</v>
      </c>
    </row>
    <row r="64" spans="1:4" x14ac:dyDescent="0.35">
      <c r="A64" s="75">
        <v>14</v>
      </c>
      <c r="B64" s="70">
        <v>135</v>
      </c>
      <c r="C64" s="70">
        <v>60</v>
      </c>
      <c r="D64" s="70">
        <f t="shared" si="0"/>
        <v>195</v>
      </c>
    </row>
    <row r="65" spans="1:4" x14ac:dyDescent="0.35">
      <c r="A65" s="75">
        <v>16</v>
      </c>
      <c r="B65" s="70">
        <v>125</v>
      </c>
      <c r="C65" s="70">
        <v>55</v>
      </c>
      <c r="D65" s="70">
        <f t="shared" si="0"/>
        <v>180</v>
      </c>
    </row>
    <row r="66" spans="1:4" x14ac:dyDescent="0.35">
      <c r="A66" s="75">
        <v>18</v>
      </c>
      <c r="B66" s="70">
        <v>115</v>
      </c>
      <c r="C66" s="70">
        <v>50</v>
      </c>
      <c r="D66" s="70">
        <f t="shared" si="0"/>
        <v>165</v>
      </c>
    </row>
    <row r="67" spans="1:4" x14ac:dyDescent="0.35">
      <c r="A67" s="75">
        <v>20</v>
      </c>
      <c r="B67" s="70">
        <v>110</v>
      </c>
      <c r="C67" s="70">
        <v>48</v>
      </c>
      <c r="D67" s="70">
        <f t="shared" si="0"/>
        <v>158</v>
      </c>
    </row>
    <row r="68" spans="1:4" x14ac:dyDescent="0.35">
      <c r="A68" s="75">
        <v>22</v>
      </c>
      <c r="B68" s="70">
        <v>120</v>
      </c>
      <c r="C68" s="70">
        <v>45</v>
      </c>
      <c r="D68" s="70">
        <f t="shared" si="0"/>
        <v>165</v>
      </c>
    </row>
    <row r="69" spans="1:4" x14ac:dyDescent="0.35">
      <c r="A69" s="75">
        <v>24</v>
      </c>
      <c r="B69" s="70">
        <v>190</v>
      </c>
      <c r="C69" s="70">
        <v>45</v>
      </c>
      <c r="D69" s="70">
        <f t="shared" si="0"/>
        <v>235</v>
      </c>
    </row>
    <row r="70" spans="1:4" x14ac:dyDescent="0.35">
      <c r="A70" s="75">
        <v>25</v>
      </c>
      <c r="B70" s="70">
        <v>300</v>
      </c>
      <c r="C70" s="70">
        <v>45</v>
      </c>
      <c r="D70" s="70">
        <f t="shared" si="0"/>
        <v>345</v>
      </c>
    </row>
    <row r="71" spans="1:4" x14ac:dyDescent="0.35">
      <c r="A71" s="75">
        <v>26</v>
      </c>
      <c r="B71" s="70">
        <v>400</v>
      </c>
      <c r="C71" s="70">
        <v>45</v>
      </c>
      <c r="D71" s="70">
        <f t="shared" si="0"/>
        <v>445</v>
      </c>
    </row>
    <row r="74" spans="1:4" x14ac:dyDescent="0.35">
      <c r="A74" t="s">
        <v>72</v>
      </c>
      <c r="B74" t="s">
        <v>73</v>
      </c>
    </row>
    <row r="75" spans="1:4" x14ac:dyDescent="0.35">
      <c r="A75" t="s">
        <v>74</v>
      </c>
      <c r="B75" s="72">
        <f>Production_Sim!B62</f>
        <v>0</v>
      </c>
      <c r="C75" t="s">
        <v>75</v>
      </c>
    </row>
    <row r="76" spans="1:4" x14ac:dyDescent="0.35">
      <c r="A76" t="s">
        <v>76</v>
      </c>
      <c r="B76">
        <v>3</v>
      </c>
    </row>
    <row r="78" spans="1:4" x14ac:dyDescent="0.35">
      <c r="A78" t="s">
        <v>77</v>
      </c>
      <c r="B78" t="s">
        <v>78</v>
      </c>
    </row>
    <row r="80" spans="1:4" x14ac:dyDescent="0.35">
      <c r="A80" t="s">
        <v>79</v>
      </c>
    </row>
    <row r="81" spans="1:4" x14ac:dyDescent="0.35">
      <c r="A81" t="s">
        <v>80</v>
      </c>
      <c r="B81">
        <f>B41</f>
        <v>0</v>
      </c>
    </row>
    <row r="82" spans="1:4" x14ac:dyDescent="0.35">
      <c r="A82" t="s">
        <v>81</v>
      </c>
      <c r="B82">
        <f>B39</f>
        <v>0</v>
      </c>
    </row>
    <row r="84" spans="1:4" x14ac:dyDescent="0.35">
      <c r="A84" s="64" t="s">
        <v>82</v>
      </c>
    </row>
    <row r="85" spans="1:4" x14ac:dyDescent="0.35">
      <c r="A85" s="68" t="s">
        <v>83</v>
      </c>
      <c r="B85" s="68" t="s">
        <v>84</v>
      </c>
      <c r="C85" s="68" t="s">
        <v>85</v>
      </c>
      <c r="D85" s="68" t="s">
        <v>86</v>
      </c>
    </row>
    <row r="86" spans="1:4" x14ac:dyDescent="0.35">
      <c r="A86" s="75" t="s">
        <v>87</v>
      </c>
      <c r="B86" s="70">
        <f>IF(OR($B$25="",$B$39=""),0,$B$25*(0/8)*65)</f>
        <v>0</v>
      </c>
      <c r="C86" s="95">
        <v>0.7</v>
      </c>
      <c r="D86" s="108">
        <f>IF($B$39="","",IF($B$43="",0,$B$43))</f>
        <v>0</v>
      </c>
    </row>
    <row r="87" spans="1:4" x14ac:dyDescent="0.35">
      <c r="A87" s="75" t="s">
        <v>88</v>
      </c>
      <c r="B87" s="70">
        <f>IF(OR($B$25="",$B$39=""),0,$B$25*(1/8)*65)</f>
        <v>195</v>
      </c>
      <c r="C87" s="95">
        <v>0.69299999999999995</v>
      </c>
      <c r="D87" s="108" t="str">
        <f>IF($B$39="","",IF($B$43="","", $B$43*(1+(1/8))))</f>
        <v/>
      </c>
    </row>
    <row r="88" spans="1:4" x14ac:dyDescent="0.35">
      <c r="A88" s="75" t="s">
        <v>89</v>
      </c>
      <c r="B88" s="70">
        <f>IF(OR($B$25="",$B$39=""),0,$B$25*(2/8)*65)</f>
        <v>390</v>
      </c>
      <c r="C88" s="95">
        <v>0.68</v>
      </c>
      <c r="D88" s="108" t="str">
        <f>IF($B$39="","",IF($B$43="","", $B$43*(1+(2/8))))</f>
        <v/>
      </c>
    </row>
    <row r="89" spans="1:4" x14ac:dyDescent="0.35">
      <c r="A89" s="75" t="s">
        <v>90</v>
      </c>
      <c r="B89" s="70">
        <f>IF(OR($B$25="",$B$39=""),0,$B$25*(3/8)*65)</f>
        <v>585</v>
      </c>
      <c r="C89" s="95">
        <v>0.66400000000000003</v>
      </c>
      <c r="D89" s="108" t="str">
        <f>IF($B$39="","",IF($B$43="","", $B$43*(1+(3/8))))</f>
        <v/>
      </c>
    </row>
    <row r="90" spans="1:4" x14ac:dyDescent="0.35">
      <c r="A90" s="75" t="s">
        <v>91</v>
      </c>
      <c r="B90" s="70">
        <f>IF(OR($B$25="",$B$39=""),0,$B$25*(4/8)*65)</f>
        <v>780</v>
      </c>
      <c r="C90" s="95">
        <v>0.64400000000000002</v>
      </c>
      <c r="D90" s="108" t="str">
        <f>IF($B$39="","",IF($B$43="","", $B$43*(1+(4/8))))</f>
        <v/>
      </c>
    </row>
    <row r="92" spans="1:4" x14ac:dyDescent="0.35">
      <c r="A92" s="64" t="s">
        <v>92</v>
      </c>
    </row>
    <row r="93" spans="1:4" x14ac:dyDescent="0.35">
      <c r="A93" t="s">
        <v>93</v>
      </c>
      <c r="B93" s="72">
        <f>B53</f>
        <v>0</v>
      </c>
      <c r="C93" t="s">
        <v>94</v>
      </c>
    </row>
    <row r="94" spans="1:4" x14ac:dyDescent="0.35">
      <c r="A94" t="s">
        <v>95</v>
      </c>
      <c r="B94" s="84">
        <f>IF(OR(B53="",B25=""),0,B25*(B53/8)*65)</f>
        <v>0</v>
      </c>
    </row>
    <row r="95" spans="1:4" x14ac:dyDescent="0.35">
      <c r="A95" t="s">
        <v>96</v>
      </c>
      <c r="B95" s="110">
        <f>IF(B53="","",IF(B53=0,0,IF(B53=1,0.7-0.693,IF(B53=2,0.7-0.68,IF(B53=3,0.7-0.664,IF(B53=4,0.7-0.644,0))))))</f>
        <v>0</v>
      </c>
    </row>
    <row r="96" spans="1:4" x14ac:dyDescent="0.35">
      <c r="A96" t="s">
        <v>97</v>
      </c>
      <c r="B96" s="111" t="str">
        <f>IF(OR(B53="",B43=""),"",IF(B53=0,0,B43*(B53/8)))</f>
        <v/>
      </c>
      <c r="C96" t="s">
        <v>98</v>
      </c>
    </row>
    <row r="97" spans="1:2" x14ac:dyDescent="0.35">
      <c r="A97" t="s">
        <v>99</v>
      </c>
      <c r="B97" s="110">
        <f>IF(B53="","",IF(B53=0,0.7,IF(B53=1,0.693,IF(B53=2,0.68,IF(B53=3,0.664,IF(B53=4,0.644,0.7))))))</f>
        <v>0.7</v>
      </c>
    </row>
    <row r="99" spans="1:2" x14ac:dyDescent="0.35">
      <c r="A99" s="64" t="s">
        <v>100</v>
      </c>
    </row>
    <row r="100" spans="1:2" x14ac:dyDescent="0.35">
      <c r="A100" s="68" t="s">
        <v>101</v>
      </c>
      <c r="B100" s="68" t="s">
        <v>102</v>
      </c>
    </row>
    <row r="101" spans="1:2" x14ac:dyDescent="0.35">
      <c r="A101" s="75">
        <v>0</v>
      </c>
      <c r="B101" s="95">
        <v>0.7</v>
      </c>
    </row>
    <row r="102" spans="1:2" x14ac:dyDescent="0.35">
      <c r="A102" s="75">
        <v>1</v>
      </c>
      <c r="B102" s="95">
        <v>0.69299999999999995</v>
      </c>
    </row>
    <row r="103" spans="1:2" x14ac:dyDescent="0.35">
      <c r="A103" s="75">
        <v>2</v>
      </c>
      <c r="B103" s="95">
        <v>0.68</v>
      </c>
    </row>
    <row r="104" spans="1:2" x14ac:dyDescent="0.35">
      <c r="A104" s="75">
        <v>3</v>
      </c>
      <c r="B104" s="95">
        <v>0.66400000000000003</v>
      </c>
    </row>
    <row r="105" spans="1:2" x14ac:dyDescent="0.35">
      <c r="A105" s="75">
        <v>4</v>
      </c>
      <c r="B105" s="95">
        <v>0.64400000000000002</v>
      </c>
    </row>
    <row r="107" spans="1:2" x14ac:dyDescent="0.35">
      <c r="A107" t="s">
        <v>77</v>
      </c>
      <c r="B107" t="s">
        <v>103</v>
      </c>
    </row>
  </sheetData>
  <mergeCells count="1">
    <mergeCell ref="A2:G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9"/>
  <sheetViews>
    <sheetView topLeftCell="A54" workbookViewId="0">
      <selection activeCell="G21" sqref="G21"/>
    </sheetView>
  </sheetViews>
  <sheetFormatPr defaultRowHeight="14.5" x14ac:dyDescent="0.35"/>
  <cols>
    <col min="1" max="1" width="48" customWidth="1"/>
    <col min="2" max="3" width="16" customWidth="1"/>
    <col min="4" max="4" width="18" customWidth="1"/>
    <col min="5" max="5" width="16" customWidth="1"/>
    <col min="6" max="6" width="14" customWidth="1"/>
    <col min="7" max="7" width="16" customWidth="1"/>
  </cols>
  <sheetData>
    <row r="1" spans="1:7" ht="18.5" x14ac:dyDescent="0.45">
      <c r="A1" s="67" t="s">
        <v>350</v>
      </c>
    </row>
    <row r="2" spans="1:7" x14ac:dyDescent="0.35">
      <c r="A2" t="s">
        <v>351</v>
      </c>
    </row>
    <row r="3" spans="1:7" x14ac:dyDescent="0.35">
      <c r="A3" t="s">
        <v>352</v>
      </c>
      <c r="B3" s="112">
        <v>1</v>
      </c>
      <c r="C3" t="s">
        <v>353</v>
      </c>
    </row>
    <row r="5" spans="1:7" x14ac:dyDescent="0.35">
      <c r="A5" s="64" t="s">
        <v>354</v>
      </c>
    </row>
    <row r="6" spans="1:7" x14ac:dyDescent="0.35">
      <c r="A6" s="68" t="s">
        <v>355</v>
      </c>
      <c r="B6" s="68" t="s">
        <v>356</v>
      </c>
      <c r="C6" s="68" t="s">
        <v>357</v>
      </c>
      <c r="D6" s="68" t="s">
        <v>358</v>
      </c>
      <c r="E6" s="68" t="s">
        <v>359</v>
      </c>
      <c r="F6" s="68" t="s">
        <v>360</v>
      </c>
      <c r="G6" s="68" t="s">
        <v>361</v>
      </c>
    </row>
    <row r="7" spans="1:7" x14ac:dyDescent="0.35">
      <c r="A7" s="75" t="s">
        <v>362</v>
      </c>
      <c r="B7" s="72" t="s">
        <v>363</v>
      </c>
      <c r="C7" s="75">
        <v>0</v>
      </c>
      <c r="D7" s="96">
        <f>IF(OR(UPPER(B7)="N",UPPER(B7)="NO"),0,IF(Demand_Forecast!D17="","",Demand_Forecast!D17*$B$3))</f>
        <v>0</v>
      </c>
      <c r="E7" s="96">
        <f>IF(Cost_of_Production!B15="","",Cost_of_Production!B15)</f>
        <v>924</v>
      </c>
      <c r="F7" s="73" t="str">
        <f>IF(Pricing!F5="","",Pricing!F5)</f>
        <v/>
      </c>
      <c r="G7" s="113" t="str">
        <f>IF(OR(F7="",E7=""),"",F7-E7)</f>
        <v/>
      </c>
    </row>
    <row r="9" spans="1:7" x14ac:dyDescent="0.35">
      <c r="A9" s="64" t="s">
        <v>364</v>
      </c>
    </row>
    <row r="10" spans="1:7" x14ac:dyDescent="0.35">
      <c r="A10" s="68" t="s">
        <v>36</v>
      </c>
      <c r="B10" s="68" t="s">
        <v>7</v>
      </c>
      <c r="C10" s="68" t="s">
        <v>8</v>
      </c>
    </row>
    <row r="11" spans="1:7" x14ac:dyDescent="0.35">
      <c r="A11" s="75" t="s">
        <v>43</v>
      </c>
      <c r="B11" s="107">
        <f>Manufacturing!B25</f>
        <v>24</v>
      </c>
      <c r="C11" s="96">
        <f>Manufacturing!B25*65</f>
        <v>1560</v>
      </c>
    </row>
    <row r="12" spans="1:7" x14ac:dyDescent="0.35">
      <c r="A12" s="75" t="s">
        <v>365</v>
      </c>
      <c r="B12" s="107">
        <f>Manufacturing!B39</f>
        <v>0</v>
      </c>
      <c r="C12" s="96">
        <f>IF(Manufacturing!B39="","",Manufacturing!B39*65)</f>
        <v>0</v>
      </c>
    </row>
    <row r="13" spans="1:7" x14ac:dyDescent="0.35">
      <c r="A13" s="75" t="s">
        <v>366</v>
      </c>
      <c r="B13" s="107">
        <f>Manufacturing!B40</f>
        <v>0</v>
      </c>
      <c r="C13" s="96">
        <f>Manufacturing!C40</f>
        <v>0</v>
      </c>
    </row>
    <row r="14" spans="1:7" x14ac:dyDescent="0.35">
      <c r="A14" s="75" t="s">
        <v>49</v>
      </c>
      <c r="B14" s="107">
        <f>Manufacturing!B41</f>
        <v>0</v>
      </c>
      <c r="C14" s="96">
        <f>Manufacturing!C41</f>
        <v>0</v>
      </c>
    </row>
    <row r="15" spans="1:7" x14ac:dyDescent="0.35">
      <c r="A15" t="s">
        <v>367</v>
      </c>
      <c r="B15" s="85">
        <f>Manufacturing!B53</f>
        <v>0</v>
      </c>
    </row>
    <row r="16" spans="1:7" x14ac:dyDescent="0.35">
      <c r="A16" t="s">
        <v>368</v>
      </c>
      <c r="B16" s="10">
        <f>Manufacturing!B30</f>
        <v>0.7</v>
      </c>
      <c r="C16" s="10">
        <f>Manufacturing!B97</f>
        <v>0.7</v>
      </c>
    </row>
    <row r="18" spans="1:7" x14ac:dyDescent="0.35">
      <c r="A18" s="64" t="s">
        <v>369</v>
      </c>
    </row>
    <row r="19" spans="1:7" x14ac:dyDescent="0.35">
      <c r="A19" s="68" t="s">
        <v>355</v>
      </c>
      <c r="B19" s="68" t="s">
        <v>370</v>
      </c>
      <c r="C19" s="68" t="s">
        <v>371</v>
      </c>
      <c r="D19" s="68" t="s">
        <v>372</v>
      </c>
    </row>
    <row r="20" spans="1:7" x14ac:dyDescent="0.35">
      <c r="A20" s="75" t="s">
        <v>362</v>
      </c>
      <c r="B20" s="96">
        <f>IF(OR(D7="",Manufacturing!B39=""),0,MIN(D7,Manufacturing!B39*IF(Manufacturing!B53=0,Manufacturing!B30,Manufacturing!B97)*65+Manufacturing!B25*(IF(Manufacturing!B53="",0,Manufacturing!B53)/8)*65))</f>
        <v>0</v>
      </c>
      <c r="C20" s="70">
        <f>D7</f>
        <v>0</v>
      </c>
      <c r="D20" s="96">
        <f>IF(OR(C20="",B20=""),0,MAX(0,C20-B20))</f>
        <v>0</v>
      </c>
    </row>
    <row r="21" spans="1:7" x14ac:dyDescent="0.35">
      <c r="A21" s="86" t="s">
        <v>373</v>
      </c>
      <c r="B21" s="96">
        <f>B20</f>
        <v>0</v>
      </c>
      <c r="C21" s="96">
        <f>C20</f>
        <v>0</v>
      </c>
      <c r="D21" s="96">
        <f>D20</f>
        <v>0</v>
      </c>
    </row>
    <row r="22" spans="1:7" x14ac:dyDescent="0.35">
      <c r="A22" t="s">
        <v>374</v>
      </c>
      <c r="B22" s="10" t="str">
        <f>IF(OR(C21="",C21=0),"",D21/C21)</f>
        <v/>
      </c>
    </row>
    <row r="23" spans="1:7" x14ac:dyDescent="0.35">
      <c r="A23" t="s">
        <v>375</v>
      </c>
      <c r="B23" s="114" t="str">
        <f>IF(B22="","",B22/2)</f>
        <v/>
      </c>
    </row>
    <row r="25" spans="1:7" x14ac:dyDescent="0.35">
      <c r="A25" s="64" t="s">
        <v>376</v>
      </c>
    </row>
    <row r="26" spans="1:7" x14ac:dyDescent="0.35">
      <c r="A26" s="68" t="s">
        <v>355</v>
      </c>
      <c r="B26" s="68" t="s">
        <v>370</v>
      </c>
      <c r="C26" s="68" t="s">
        <v>377</v>
      </c>
      <c r="D26" s="68" t="s">
        <v>378</v>
      </c>
      <c r="E26" s="68" t="s">
        <v>379</v>
      </c>
      <c r="F26" s="68" t="str">
        <f>"= Production Average"</f>
        <v>= Production Average</v>
      </c>
    </row>
    <row r="27" spans="1:7" x14ac:dyDescent="0.35">
      <c r="A27" s="75" t="s">
        <v>362</v>
      </c>
      <c r="B27" s="71">
        <f>B20</f>
        <v>0</v>
      </c>
      <c r="C27" s="73">
        <v>337</v>
      </c>
      <c r="D27" s="108" t="str">
        <f>IF(Manufacturing!B43="","",Manufacturing!B43+IF(Manufacturing!B96="",0,Manufacturing!B96))</f>
        <v/>
      </c>
      <c r="E27" s="108" t="str">
        <f>IF(Manufacturing!B44="","",Manufacturing!B44+IF(Manufacturing!B45="",0,Manufacturing!B45))</f>
        <v/>
      </c>
      <c r="F27" s="109">
        <f>IF(COUNT(C27:E27)&lt;1,"",SUM(C27:E27))</f>
        <v>337</v>
      </c>
      <c r="G27" t="s">
        <v>380</v>
      </c>
    </row>
    <row r="28" spans="1:7" x14ac:dyDescent="0.35">
      <c r="A28" t="s">
        <v>381</v>
      </c>
      <c r="B28">
        <f>IF(Cost_of_Production!B15="","",Cost_of_Production!B15)</f>
        <v>924</v>
      </c>
      <c r="C28" t="s">
        <v>382</v>
      </c>
    </row>
    <row r="30" spans="1:7" x14ac:dyDescent="0.35">
      <c r="A30" s="64" t="s">
        <v>383</v>
      </c>
    </row>
    <row r="31" spans="1:7" x14ac:dyDescent="0.35">
      <c r="A31" s="81" t="s">
        <v>83</v>
      </c>
    </row>
    <row r="32" spans="1:7" x14ac:dyDescent="0.35">
      <c r="A32" t="s">
        <v>384</v>
      </c>
      <c r="B32" s="115">
        <f>IF(OR(C20="",Manufacturing!B39=""),0,IF(C20&lt;=Manufacturing!B39*Manufacturing!B30*65,0,MIN(IF(Manufacturing!B53="",0,Manufacturing!B53),(C20-Manufacturing!B39*Manufacturing!B30*65)/(Manufacturing!B25*65/8))))</f>
        <v>0</v>
      </c>
      <c r="C32" t="s">
        <v>385</v>
      </c>
    </row>
    <row r="33" spans="1:2" x14ac:dyDescent="0.35">
      <c r="A33" t="s">
        <v>386</v>
      </c>
      <c r="B33" s="71">
        <f>Manufacturing!B94</f>
        <v>0</v>
      </c>
    </row>
    <row r="34" spans="1:2" x14ac:dyDescent="0.35">
      <c r="A34" t="s">
        <v>387</v>
      </c>
      <c r="B34" s="10">
        <f>Manufacturing!B30</f>
        <v>0.7</v>
      </c>
    </row>
    <row r="35" spans="1:2" x14ac:dyDescent="0.35">
      <c r="A35" t="s">
        <v>388</v>
      </c>
      <c r="B35" t="str">
        <f>IF(OR(Manufacturing!B53="",Manufacturing!B53=0),"N/A",Manufacturing!B97)</f>
        <v>N/A</v>
      </c>
    </row>
    <row r="36" spans="1:2" x14ac:dyDescent="0.35">
      <c r="A36" t="s">
        <v>389</v>
      </c>
      <c r="B36" s="116" t="str">
        <f>Manufacturing!B96</f>
        <v/>
      </c>
    </row>
    <row r="38" spans="1:2" x14ac:dyDescent="0.35">
      <c r="A38" s="81" t="s">
        <v>390</v>
      </c>
    </row>
    <row r="39" spans="1:2" x14ac:dyDescent="0.35">
      <c r="A39" t="s">
        <v>391</v>
      </c>
      <c r="B39" s="71">
        <f>IF(Manufacturing!B39="","",Manufacturing!B39*65)</f>
        <v>0</v>
      </c>
    </row>
    <row r="40" spans="1:2" x14ac:dyDescent="0.35">
      <c r="A40" t="s">
        <v>392</v>
      </c>
      <c r="B40" s="71">
        <f>IF(B39="","",B39+IF(B33="",0,B33))</f>
        <v>0</v>
      </c>
    </row>
    <row r="41" spans="1:2" x14ac:dyDescent="0.35">
      <c r="A41" t="s">
        <v>393</v>
      </c>
      <c r="B41" s="10">
        <f>IF(OR(Manufacturing!B53="",Manufacturing!B53=0),Manufacturing!B30,Manufacturing!B97)</f>
        <v>0.7</v>
      </c>
    </row>
    <row r="42" spans="1:2" x14ac:dyDescent="0.35">
      <c r="A42" t="s">
        <v>394</v>
      </c>
      <c r="B42" s="84">
        <f>IF(Manufacturing!B39="","",Manufacturing!B39*IF(Manufacturing!B53=0,Manufacturing!B30,Manufacturing!B97)*65+Manufacturing!B25*(IF(Manufacturing!B53="",0,Manufacturing!B53)/8)*65*IF(Manufacturing!B53=0,1,Manufacturing!B97))</f>
        <v>0</v>
      </c>
    </row>
    <row r="43" spans="1:2" x14ac:dyDescent="0.35">
      <c r="A43" t="s">
        <v>395</v>
      </c>
      <c r="B43" s="71">
        <f>B20</f>
        <v>0</v>
      </c>
    </row>
    <row r="44" spans="1:2" x14ac:dyDescent="0.35">
      <c r="A44" t="s">
        <v>396</v>
      </c>
      <c r="B44" s="10" t="str">
        <f>IF(OR(B42="",B42=0),"",B43/B42)</f>
        <v/>
      </c>
    </row>
    <row r="46" spans="1:2" x14ac:dyDescent="0.35">
      <c r="A46" s="81" t="s">
        <v>397</v>
      </c>
    </row>
    <row r="47" spans="1:2" x14ac:dyDescent="0.35">
      <c r="A47" t="s">
        <v>398</v>
      </c>
      <c r="B47" s="71">
        <f>IF(OR(B42="",B43=""),0,MAX(0,B42-B43))</f>
        <v>0</v>
      </c>
    </row>
    <row r="48" spans="1:2" x14ac:dyDescent="0.35">
      <c r="A48" t="s">
        <v>399</v>
      </c>
      <c r="B48" s="10" t="str">
        <f>IF(OR(B42="",B42=0),"",B47/B42)</f>
        <v/>
      </c>
    </row>
    <row r="49" spans="1:5" x14ac:dyDescent="0.35">
      <c r="A49" t="s">
        <v>400</v>
      </c>
      <c r="B49" s="71">
        <f>IF(OR(B47="",Manufacturing!B46=""),0,B47*Manufacturing!B46)</f>
        <v>0</v>
      </c>
      <c r="C49" t="s">
        <v>401</v>
      </c>
    </row>
    <row r="51" spans="1:5" x14ac:dyDescent="0.35">
      <c r="A51" s="64" t="s">
        <v>402</v>
      </c>
    </row>
    <row r="52" spans="1:5" x14ac:dyDescent="0.35">
      <c r="A52" s="68" t="s">
        <v>6</v>
      </c>
      <c r="B52" s="68" t="s">
        <v>7</v>
      </c>
      <c r="C52" s="68" t="s">
        <v>8</v>
      </c>
      <c r="D52" s="68" t="s">
        <v>9</v>
      </c>
      <c r="E52" s="68" t="s">
        <v>403</v>
      </c>
    </row>
    <row r="53" spans="1:5" x14ac:dyDescent="0.35">
      <c r="A53" s="75">
        <v>0</v>
      </c>
      <c r="B53" s="75">
        <v>0</v>
      </c>
      <c r="C53" s="70">
        <v>0</v>
      </c>
      <c r="D53" s="70">
        <v>0</v>
      </c>
      <c r="E53" s="72"/>
    </row>
    <row r="54" spans="1:5" x14ac:dyDescent="0.35">
      <c r="A54" s="75">
        <v>1</v>
      </c>
      <c r="B54" s="75">
        <v>8</v>
      </c>
      <c r="C54" s="70">
        <v>520</v>
      </c>
      <c r="D54" s="70">
        <v>240000</v>
      </c>
      <c r="E54" s="72"/>
    </row>
    <row r="55" spans="1:5" x14ac:dyDescent="0.35">
      <c r="A55" s="75">
        <v>2</v>
      </c>
      <c r="B55" s="75">
        <v>16</v>
      </c>
      <c r="C55" s="70">
        <v>1040</v>
      </c>
      <c r="D55" s="70">
        <v>480000</v>
      </c>
      <c r="E55" s="72"/>
    </row>
    <row r="56" spans="1:5" x14ac:dyDescent="0.35">
      <c r="A56" s="75">
        <v>3</v>
      </c>
      <c r="B56" s="75">
        <v>24</v>
      </c>
      <c r="C56" s="70">
        <v>1560</v>
      </c>
      <c r="D56" s="70">
        <v>720000</v>
      </c>
      <c r="E56" s="72"/>
    </row>
    <row r="57" spans="1:5" x14ac:dyDescent="0.35">
      <c r="A57" s="75">
        <v>4</v>
      </c>
      <c r="B57" s="75">
        <v>32</v>
      </c>
      <c r="C57" s="70">
        <v>2080</v>
      </c>
      <c r="D57" s="70">
        <v>960000</v>
      </c>
      <c r="E57" s="72"/>
    </row>
    <row r="58" spans="1:5" x14ac:dyDescent="0.35">
      <c r="A58" s="75">
        <v>5</v>
      </c>
      <c r="B58" s="75">
        <v>40</v>
      </c>
      <c r="C58" s="70">
        <v>2600</v>
      </c>
      <c r="D58" s="70">
        <v>1200000</v>
      </c>
      <c r="E58" s="72"/>
    </row>
    <row r="59" spans="1:5" x14ac:dyDescent="0.35">
      <c r="A59" s="75">
        <v>7</v>
      </c>
      <c r="B59" s="75">
        <v>56</v>
      </c>
      <c r="C59" s="70">
        <v>3640</v>
      </c>
      <c r="D59" s="70">
        <v>1680000</v>
      </c>
      <c r="E59" s="72"/>
    </row>
    <row r="60" spans="1:5" x14ac:dyDescent="0.35">
      <c r="A60" s="75">
        <v>10</v>
      </c>
      <c r="B60" s="75">
        <v>80</v>
      </c>
      <c r="C60" s="70">
        <v>5200</v>
      </c>
      <c r="D60" s="70">
        <v>2400000</v>
      </c>
      <c r="E60" s="72"/>
    </row>
    <row r="62" spans="1:5" x14ac:dyDescent="0.35">
      <c r="A62" t="s">
        <v>404</v>
      </c>
      <c r="B62" s="72">
        <v>0</v>
      </c>
      <c r="C62" t="s">
        <v>405</v>
      </c>
    </row>
    <row r="63" spans="1:5" x14ac:dyDescent="0.35">
      <c r="A63" t="s">
        <v>406</v>
      </c>
      <c r="B63" s="84">
        <f>IF(B62=0,0,IF(B62=1,240000,IF(B62=2,480000,IF(B62=3,720000,IF(B62=4,960000,IF(B62=5,1200000,IF(B62=7,1680000,IF(B62=10,2400000,"check"))))))))</f>
        <v>0</v>
      </c>
    </row>
    <row r="64" spans="1:5" x14ac:dyDescent="0.35">
      <c r="A64" t="s">
        <v>407</v>
      </c>
      <c r="B64">
        <f>B62</f>
        <v>0</v>
      </c>
      <c r="C64" t="s">
        <v>408</v>
      </c>
    </row>
    <row r="66" spans="1:3" x14ac:dyDescent="0.35">
      <c r="A66" s="64" t="s">
        <v>409</v>
      </c>
    </row>
    <row r="67" spans="1:3" x14ac:dyDescent="0.35">
      <c r="A67" s="68" t="s">
        <v>36</v>
      </c>
      <c r="B67" s="68" t="s">
        <v>7</v>
      </c>
      <c r="C67" s="68" t="s">
        <v>8</v>
      </c>
    </row>
    <row r="68" spans="1:3" x14ac:dyDescent="0.35">
      <c r="A68" s="75" t="s">
        <v>410</v>
      </c>
      <c r="B68" s="96">
        <v>24</v>
      </c>
      <c r="C68" s="96">
        <v>1560</v>
      </c>
    </row>
    <row r="69" spans="1:3" x14ac:dyDescent="0.35">
      <c r="A69" s="75" t="s">
        <v>411</v>
      </c>
      <c r="B69" s="96">
        <f>IF(B62=0,0,IF(B62=1,8,IF(B62=2,16,IF(B62=3,24,IF(B62=4,32,IF(B62=5,40,IF(B62=7,56,IF(B62=10,80,0))))))))</f>
        <v>0</v>
      </c>
      <c r="C69" s="96">
        <f>B69*65</f>
        <v>0</v>
      </c>
    </row>
    <row r="70" spans="1:3" x14ac:dyDescent="0.35">
      <c r="A70" s="75" t="s">
        <v>412</v>
      </c>
      <c r="B70" s="96">
        <f>B68+B69</f>
        <v>24</v>
      </c>
      <c r="C70" s="96">
        <f>C68+C69</f>
        <v>1560</v>
      </c>
    </row>
    <row r="72" spans="1:3" x14ac:dyDescent="0.35">
      <c r="A72" t="s">
        <v>413</v>
      </c>
      <c r="B72" t="str">
        <f>IF(Demand_Forecast!I34="","",Demand_Forecast!I34)</f>
        <v/>
      </c>
      <c r="C72" t="str">
        <f>IF(OR(B72="",C70=""),"",IF(C70&gt;=B72*(1+(1-Manufacturing!B30)),"Capacity OK for padded demand","May need more printers or OT"))</f>
        <v/>
      </c>
    </row>
    <row r="74" spans="1:3" x14ac:dyDescent="0.35">
      <c r="A74" s="64" t="s">
        <v>414</v>
      </c>
    </row>
    <row r="75" spans="1:3" x14ac:dyDescent="0.35">
      <c r="A75" t="s">
        <v>415</v>
      </c>
    </row>
    <row r="76" spans="1:3" x14ac:dyDescent="0.35">
      <c r="A76" t="s">
        <v>416</v>
      </c>
    </row>
    <row r="77" spans="1:3" x14ac:dyDescent="0.35">
      <c r="A77" t="s">
        <v>417</v>
      </c>
    </row>
    <row r="78" spans="1:3" x14ac:dyDescent="0.35">
      <c r="A78" t="s">
        <v>418</v>
      </c>
    </row>
    <row r="79" spans="1:3" x14ac:dyDescent="0.35">
      <c r="A79" t="s">
        <v>419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2"/>
  <sheetViews>
    <sheetView workbookViewId="0"/>
  </sheetViews>
  <sheetFormatPr defaultRowHeight="14.5" x14ac:dyDescent="0.35"/>
  <cols>
    <col min="1" max="1" width="22" customWidth="1"/>
    <col min="2" max="4" width="12" customWidth="1"/>
    <col min="5" max="7" width="14" customWidth="1"/>
  </cols>
  <sheetData>
    <row r="1" spans="1:7" ht="18.5" x14ac:dyDescent="0.45">
      <c r="A1" s="67" t="s">
        <v>420</v>
      </c>
    </row>
    <row r="2" spans="1:7" x14ac:dyDescent="0.35">
      <c r="A2" t="s">
        <v>421</v>
      </c>
    </row>
    <row r="3" spans="1:7" x14ac:dyDescent="0.35">
      <c r="A3" t="s">
        <v>422</v>
      </c>
    </row>
    <row r="5" spans="1:7" x14ac:dyDescent="0.35">
      <c r="A5" s="68" t="s">
        <v>355</v>
      </c>
      <c r="B5" s="68" t="s">
        <v>423</v>
      </c>
      <c r="C5" s="68" t="s">
        <v>424</v>
      </c>
      <c r="D5" s="68" t="s">
        <v>425</v>
      </c>
      <c r="E5" s="68" t="s">
        <v>426</v>
      </c>
      <c r="F5" s="68" t="s">
        <v>427</v>
      </c>
      <c r="G5" s="68" t="s">
        <v>428</v>
      </c>
    </row>
    <row r="6" spans="1:7" x14ac:dyDescent="0.35">
      <c r="A6" s="69" t="s">
        <v>362</v>
      </c>
      <c r="B6" s="70">
        <v>924</v>
      </c>
      <c r="C6" s="70">
        <v>675</v>
      </c>
      <c r="D6" s="70">
        <v>550</v>
      </c>
      <c r="E6" s="70">
        <v>495</v>
      </c>
      <c r="F6" s="70">
        <v>405</v>
      </c>
      <c r="G6" s="70">
        <v>363</v>
      </c>
    </row>
    <row r="8" spans="1:7" x14ac:dyDescent="0.35">
      <c r="A8" t="s">
        <v>429</v>
      </c>
      <c r="B8">
        <v>100</v>
      </c>
      <c r="C8">
        <v>250</v>
      </c>
      <c r="D8">
        <v>500</v>
      </c>
      <c r="E8">
        <v>1000</v>
      </c>
      <c r="F8">
        <v>5000</v>
      </c>
      <c r="G8">
        <v>10000</v>
      </c>
    </row>
    <row r="9" spans="1:7" x14ac:dyDescent="0.35">
      <c r="A9" t="s">
        <v>77</v>
      </c>
      <c r="B9" t="s">
        <v>430</v>
      </c>
    </row>
    <row r="10" spans="1:7" x14ac:dyDescent="0.35">
      <c r="A10" t="s">
        <v>431</v>
      </c>
      <c r="B10" s="65" t="s">
        <v>432</v>
      </c>
    </row>
    <row r="12" spans="1:7" x14ac:dyDescent="0.35">
      <c r="A12" s="64" t="s">
        <v>433</v>
      </c>
    </row>
    <row r="13" spans="1:7" x14ac:dyDescent="0.35">
      <c r="A13" t="s">
        <v>434</v>
      </c>
      <c r="B13" s="65">
        <f>IF(Demand_Forecast!B12="","",Demand_Forecast!B12)</f>
        <v>0</v>
      </c>
      <c r="C13" t="s">
        <v>435</v>
      </c>
    </row>
    <row r="14" spans="1:7" x14ac:dyDescent="0.35">
      <c r="A14" t="s">
        <v>436</v>
      </c>
      <c r="B14">
        <f>IF(B13="","",IF(B13&lt;=175,100,IF(B13&lt;=375,250,IF(B13&lt;=750,500,IF(B13&lt;=3000,1000,IF(B13&lt;=7500,5000,10000))))))</f>
        <v>100</v>
      </c>
    </row>
    <row r="15" spans="1:7" x14ac:dyDescent="0.35">
      <c r="A15" t="s">
        <v>437</v>
      </c>
      <c r="B15" s="71">
        <f>IF(B13="","",IF(B14=100,B6,IF(B14=250,C6,IF(B14=500,D6,IF(B14=1000,E6,IF(B14=5000,F6,G6))))))</f>
        <v>924</v>
      </c>
    </row>
    <row r="16" spans="1:7" x14ac:dyDescent="0.35">
      <c r="A16" t="s">
        <v>438</v>
      </c>
      <c r="B16" t="s">
        <v>439</v>
      </c>
    </row>
    <row r="18" spans="1:7" x14ac:dyDescent="0.35">
      <c r="A18" s="64" t="s">
        <v>440</v>
      </c>
    </row>
    <row r="19" spans="1:7" x14ac:dyDescent="0.35">
      <c r="A19" s="68" t="s">
        <v>355</v>
      </c>
      <c r="B19" s="68" t="s">
        <v>441</v>
      </c>
      <c r="C19" s="68" t="s">
        <v>442</v>
      </c>
      <c r="D19" s="68" t="s">
        <v>443</v>
      </c>
      <c r="E19" s="68" t="s">
        <v>444</v>
      </c>
      <c r="F19" s="68" t="s">
        <v>445</v>
      </c>
      <c r="G19" s="68" t="s">
        <v>446</v>
      </c>
    </row>
    <row r="20" spans="1:7" x14ac:dyDescent="0.35">
      <c r="A20" s="72"/>
      <c r="B20" s="72"/>
      <c r="C20" s="72"/>
      <c r="D20" s="72"/>
      <c r="E20" s="72"/>
      <c r="F20" s="72"/>
      <c r="G20" s="72"/>
    </row>
    <row r="21" spans="1:7" x14ac:dyDescent="0.35">
      <c r="A21" s="72"/>
      <c r="B21" s="72"/>
      <c r="C21" s="72"/>
      <c r="D21" s="72"/>
      <c r="E21" s="72"/>
      <c r="F21" s="72"/>
      <c r="G21" s="72"/>
    </row>
    <row r="22" spans="1:7" x14ac:dyDescent="0.35">
      <c r="A22" s="72"/>
      <c r="B22" s="72"/>
      <c r="C22" s="72"/>
      <c r="D22" s="72"/>
      <c r="E22" s="72"/>
      <c r="F22" s="72"/>
      <c r="G22" s="72"/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1"/>
  <sheetViews>
    <sheetView workbookViewId="0"/>
  </sheetViews>
  <sheetFormatPr defaultRowHeight="14.5" x14ac:dyDescent="0.35"/>
  <cols>
    <col min="1" max="1" width="42" customWidth="1"/>
    <col min="2" max="9" width="14" customWidth="1"/>
  </cols>
  <sheetData>
    <row r="1" spans="1:8" ht="18.5" x14ac:dyDescent="0.45">
      <c r="A1" s="67" t="s">
        <v>447</v>
      </c>
    </row>
    <row r="2" spans="1:8" x14ac:dyDescent="0.35">
      <c r="A2" t="s">
        <v>448</v>
      </c>
    </row>
    <row r="3" spans="1:8" x14ac:dyDescent="0.35">
      <c r="A3" t="s">
        <v>449</v>
      </c>
    </row>
    <row r="5" spans="1:8" x14ac:dyDescent="0.35">
      <c r="A5" s="64" t="s">
        <v>450</v>
      </c>
    </row>
    <row r="6" spans="1:8" x14ac:dyDescent="0.35">
      <c r="A6" s="68" t="s">
        <v>273</v>
      </c>
      <c r="B6" s="68" t="s">
        <v>451</v>
      </c>
      <c r="C6" s="68" t="s">
        <v>452</v>
      </c>
      <c r="D6" s="68" t="s">
        <v>453</v>
      </c>
      <c r="E6" s="68" t="s">
        <v>454</v>
      </c>
      <c r="F6" s="68" t="s">
        <v>455</v>
      </c>
      <c r="G6" s="68" t="s">
        <v>456</v>
      </c>
    </row>
    <row r="7" spans="1:8" x14ac:dyDescent="0.35">
      <c r="A7" s="75" t="s">
        <v>457</v>
      </c>
      <c r="B7" s="75">
        <v>0</v>
      </c>
      <c r="C7" s="75">
        <v>0</v>
      </c>
      <c r="D7" s="75">
        <v>0</v>
      </c>
      <c r="E7" s="72">
        <f>IF(Sales_Ops!C19="","",Sales_Ops!C19)</f>
        <v>0</v>
      </c>
      <c r="F7" s="98">
        <v>40</v>
      </c>
      <c r="G7" s="96">
        <f>IF(OR(E7="",F7=""),"",E7*F7)</f>
        <v>0</v>
      </c>
    </row>
    <row r="8" spans="1:8" x14ac:dyDescent="0.35">
      <c r="A8" s="75" t="s">
        <v>458</v>
      </c>
      <c r="B8" s="75">
        <v>0</v>
      </c>
      <c r="C8" s="75">
        <v>0</v>
      </c>
      <c r="D8" s="75">
        <v>0</v>
      </c>
      <c r="E8" s="72">
        <f>IF(Sales_Ops!E55="","",Sales_Ops!E55)</f>
        <v>0</v>
      </c>
      <c r="F8" s="98">
        <v>40</v>
      </c>
      <c r="G8" s="96">
        <f>IF(OR(E8="",F8=""),"",E8*F8)</f>
        <v>0</v>
      </c>
    </row>
    <row r="9" spans="1:8" x14ac:dyDescent="0.35">
      <c r="A9" s="99" t="s">
        <v>373</v>
      </c>
      <c r="B9" s="86">
        <f>B7+B8</f>
        <v>0</v>
      </c>
      <c r="C9" s="86"/>
      <c r="D9" s="86">
        <f>D7+D8</f>
        <v>0</v>
      </c>
      <c r="E9" s="86">
        <f>IF(COUNT(E7:E8)=0,"",SUM(E7:E8))</f>
        <v>0</v>
      </c>
      <c r="F9" s="86"/>
      <c r="G9" s="100">
        <f>IF(COUNT(G7:G8)=0,"",SUM(G7:G8))</f>
        <v>0</v>
      </c>
    </row>
    <row r="10" spans="1:8" x14ac:dyDescent="0.35">
      <c r="A10" t="s">
        <v>459</v>
      </c>
      <c r="B10" s="98">
        <v>1</v>
      </c>
      <c r="C10" t="s">
        <v>460</v>
      </c>
    </row>
    <row r="11" spans="1:8" x14ac:dyDescent="0.35">
      <c r="A11" t="s">
        <v>461</v>
      </c>
    </row>
    <row r="12" spans="1:8" x14ac:dyDescent="0.35">
      <c r="A12" t="s">
        <v>462</v>
      </c>
      <c r="B12" s="97">
        <f>IF(G9="","",G9*B10)</f>
        <v>0</v>
      </c>
      <c r="C12" t="s">
        <v>463</v>
      </c>
    </row>
    <row r="13" spans="1:8" x14ac:dyDescent="0.35">
      <c r="A13" t="s">
        <v>464</v>
      </c>
    </row>
    <row r="15" spans="1:8" x14ac:dyDescent="0.35">
      <c r="A15" s="64" t="s">
        <v>465</v>
      </c>
    </row>
    <row r="16" spans="1:8" x14ac:dyDescent="0.35">
      <c r="A16" s="68" t="s">
        <v>355</v>
      </c>
      <c r="B16" s="68" t="s">
        <v>466</v>
      </c>
      <c r="C16" s="68" t="s">
        <v>467</v>
      </c>
      <c r="D16" s="68" t="s">
        <v>468</v>
      </c>
      <c r="E16" s="68" t="s">
        <v>469</v>
      </c>
      <c r="F16" s="68" t="s">
        <v>470</v>
      </c>
      <c r="G16" s="68" t="s">
        <v>228</v>
      </c>
      <c r="H16" s="68" t="s">
        <v>12</v>
      </c>
    </row>
    <row r="17" spans="1:9" x14ac:dyDescent="0.35">
      <c r="A17" s="75" t="s">
        <v>362</v>
      </c>
      <c r="B17" s="75" t="s">
        <v>471</v>
      </c>
      <c r="C17" s="75" t="s">
        <v>471</v>
      </c>
      <c r="D17" s="73">
        <f>IF($B$12="","",$B$12)</f>
        <v>0</v>
      </c>
      <c r="E17" s="95" t="str">
        <f>IF(OR($B$12="",D17="",$B$12=0),"",D17/$B$12)</f>
        <v/>
      </c>
      <c r="F17" s="70">
        <f>D17</f>
        <v>0</v>
      </c>
      <c r="G17" s="75" t="s">
        <v>170</v>
      </c>
      <c r="H17" s="75" t="s">
        <v>472</v>
      </c>
    </row>
    <row r="18" spans="1:9" x14ac:dyDescent="0.35">
      <c r="A18" s="72"/>
      <c r="B18" s="75"/>
      <c r="C18" s="75"/>
      <c r="D18" s="73"/>
      <c r="E18" s="95" t="str">
        <f>IF(OR($B$12="",D18="",$B$12=0),"",D18/$B$12)</f>
        <v/>
      </c>
      <c r="F18" s="70">
        <f>D18</f>
        <v>0</v>
      </c>
      <c r="G18" s="72"/>
      <c r="H18" s="75" t="s">
        <v>473</v>
      </c>
    </row>
    <row r="19" spans="1:9" x14ac:dyDescent="0.35">
      <c r="A19" s="72"/>
      <c r="B19" s="75"/>
      <c r="C19" s="75"/>
      <c r="D19" s="73"/>
      <c r="E19" s="95" t="str">
        <f>IF(OR($B$12="",D19="",$B$12=0),"",D19/$B$12)</f>
        <v/>
      </c>
      <c r="F19" s="70">
        <f>D19</f>
        <v>0</v>
      </c>
      <c r="G19" s="72"/>
      <c r="H19" s="75" t="s">
        <v>474</v>
      </c>
    </row>
    <row r="20" spans="1:9" x14ac:dyDescent="0.35">
      <c r="A20" s="86" t="s">
        <v>373</v>
      </c>
      <c r="B20" s="86"/>
      <c r="C20" s="86"/>
      <c r="D20" s="96">
        <f>IF(COUNT(D17:D19)=0,"",SUM(D17:D19))</f>
        <v>0</v>
      </c>
      <c r="E20" s="101" t="e">
        <f>IF(OR($B$12="",D20=""),"",D20/$B$12)</f>
        <v>#DIV/0!</v>
      </c>
      <c r="F20" s="86">
        <f>D20</f>
        <v>0</v>
      </c>
      <c r="G20" s="86"/>
      <c r="H20" s="86" t="s">
        <v>475</v>
      </c>
    </row>
    <row r="21" spans="1:9" x14ac:dyDescent="0.35">
      <c r="A21" t="s">
        <v>476</v>
      </c>
      <c r="B21" t="str">
        <f>IF(OR(B12="",D20=""),"",IF(ABS(D20-B12)&lt;0.5,"YES","NO — adjust brand demands"))</f>
        <v>YES</v>
      </c>
    </row>
    <row r="23" spans="1:9" x14ac:dyDescent="0.35">
      <c r="A23" s="64" t="s">
        <v>477</v>
      </c>
    </row>
    <row r="24" spans="1:9" x14ac:dyDescent="0.35">
      <c r="A24" s="68"/>
      <c r="B24" s="68" t="s">
        <v>478</v>
      </c>
      <c r="C24" s="68" t="s">
        <v>479</v>
      </c>
    </row>
    <row r="25" spans="1:9" x14ac:dyDescent="0.35">
      <c r="A25" t="s">
        <v>480</v>
      </c>
      <c r="B25" s="71">
        <f>IF(B12="","",B12)</f>
        <v>0</v>
      </c>
      <c r="C25" s="102">
        <f>IF(B12="","",B12/65)</f>
        <v>0</v>
      </c>
      <c r="D25" t="s">
        <v>481</v>
      </c>
    </row>
    <row r="26" spans="1:9" x14ac:dyDescent="0.35">
      <c r="A26" t="s">
        <v>482</v>
      </c>
      <c r="B26">
        <f>IF(OR(B12="",Manufacturing!B32=""),"",B12)</f>
        <v>0</v>
      </c>
      <c r="C26" s="102">
        <f>IF(OR(B12="",Manufacturing!B32=""),"",B12/65*(1+(1-Manufacturing!B32)))</f>
        <v>0</v>
      </c>
      <c r="D26" t="s">
        <v>483</v>
      </c>
    </row>
    <row r="27" spans="1:9" x14ac:dyDescent="0.35">
      <c r="A27" t="s">
        <v>484</v>
      </c>
      <c r="C27">
        <f>Manufacturing!B25</f>
        <v>24</v>
      </c>
    </row>
    <row r="28" spans="1:9" x14ac:dyDescent="0.35">
      <c r="A28" t="s">
        <v>485</v>
      </c>
      <c r="C28">
        <f>IF(OR(C26="",C27=""),"",C27-C26)</f>
        <v>24</v>
      </c>
    </row>
    <row r="30" spans="1:9" x14ac:dyDescent="0.35">
      <c r="A30" s="64" t="s">
        <v>486</v>
      </c>
    </row>
    <row r="31" spans="1:9" x14ac:dyDescent="0.35">
      <c r="A31" s="68" t="s">
        <v>273</v>
      </c>
      <c r="B31" s="68" t="s">
        <v>487</v>
      </c>
      <c r="C31" s="68" t="s">
        <v>488</v>
      </c>
      <c r="D31" s="68" t="s">
        <v>455</v>
      </c>
      <c r="E31" s="68" t="s">
        <v>489</v>
      </c>
      <c r="F31" s="68" t="s">
        <v>490</v>
      </c>
      <c r="G31" s="68" t="s">
        <v>491</v>
      </c>
      <c r="H31" s="68" t="s">
        <v>492</v>
      </c>
      <c r="I31" s="68" t="s">
        <v>493</v>
      </c>
    </row>
    <row r="32" spans="1:9" x14ac:dyDescent="0.35">
      <c r="A32" s="75" t="s">
        <v>457</v>
      </c>
      <c r="B32" s="75">
        <v>1</v>
      </c>
      <c r="C32" s="75">
        <f t="shared" ref="C32:E33" si="0">E7</f>
        <v>0</v>
      </c>
      <c r="D32" s="75">
        <f t="shared" si="0"/>
        <v>40</v>
      </c>
      <c r="E32" s="75">
        <f t="shared" si="0"/>
        <v>0</v>
      </c>
      <c r="F32" s="72">
        <v>1</v>
      </c>
      <c r="G32" s="72"/>
      <c r="H32" s="98">
        <v>60</v>
      </c>
      <c r="I32" s="96" t="str">
        <f>IF(OR(G32="",H32=""),"",G32*H32)</f>
        <v/>
      </c>
    </row>
    <row r="33" spans="1:9" x14ac:dyDescent="0.35">
      <c r="A33" s="75" t="s">
        <v>458</v>
      </c>
      <c r="B33" s="75">
        <v>1</v>
      </c>
      <c r="C33" s="75">
        <f t="shared" si="0"/>
        <v>0</v>
      </c>
      <c r="D33" s="75">
        <f t="shared" si="0"/>
        <v>40</v>
      </c>
      <c r="E33" s="75">
        <f t="shared" si="0"/>
        <v>0</v>
      </c>
      <c r="F33" s="72">
        <v>1</v>
      </c>
      <c r="G33" s="72"/>
      <c r="H33" s="98">
        <v>60</v>
      </c>
      <c r="I33" s="96" t="str">
        <f>IF(OR(G33="",H33=""),"",G33*H33)</f>
        <v/>
      </c>
    </row>
    <row r="34" spans="1:9" x14ac:dyDescent="0.35">
      <c r="A34" s="103" t="s">
        <v>373</v>
      </c>
      <c r="B34" s="86">
        <f>B32+B33</f>
        <v>2</v>
      </c>
      <c r="C34" s="86">
        <f>IF(COUNT(C32:C33)=0,"",SUM(C32:C33))</f>
        <v>0</v>
      </c>
      <c r="D34" s="86"/>
      <c r="E34" s="86">
        <f>IF(COUNT(E32:E33)=0,"",SUM(E32:E33))</f>
        <v>0</v>
      </c>
      <c r="F34" s="86">
        <f>F32+F33</f>
        <v>2</v>
      </c>
      <c r="G34" s="86" t="str">
        <f>IF(COUNT(G32:G33)=0,"",SUM(G32:G33))</f>
        <v/>
      </c>
      <c r="H34" s="86"/>
      <c r="I34" s="100" t="str">
        <f>IF(COUNT(I32:I33)=0,"",SUM(I32:I33))</f>
        <v/>
      </c>
    </row>
    <row r="36" spans="1:9" x14ac:dyDescent="0.35">
      <c r="A36" t="s">
        <v>494</v>
      </c>
      <c r="B36" s="83" t="str">
        <f>I34</f>
        <v/>
      </c>
      <c r="C36" t="s">
        <v>495</v>
      </c>
    </row>
    <row r="37" spans="1:9" x14ac:dyDescent="0.35">
      <c r="A37" t="s">
        <v>496</v>
      </c>
      <c r="B37" s="102" t="str">
        <f>IF(OR(I34="",Manufacturing!B32=""),"",I34/65*(1+(1-Manufacturing!B32)))</f>
        <v/>
      </c>
      <c r="C37" t="s">
        <v>497</v>
      </c>
    </row>
    <row r="38" spans="1:9" x14ac:dyDescent="0.35">
      <c r="A38" t="s">
        <v>498</v>
      </c>
    </row>
    <row r="40" spans="1:9" x14ac:dyDescent="0.35">
      <c r="A40" t="s">
        <v>499</v>
      </c>
      <c r="B40" t="s">
        <v>500</v>
      </c>
    </row>
    <row r="41" spans="1:9" x14ac:dyDescent="0.35">
      <c r="A41" t="s">
        <v>77</v>
      </c>
      <c r="B41" t="s">
        <v>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0"/>
  <sheetViews>
    <sheetView workbookViewId="0"/>
  </sheetViews>
  <sheetFormatPr defaultRowHeight="14.5" x14ac:dyDescent="0.35"/>
  <cols>
    <col min="1" max="1" width="14" customWidth="1"/>
    <col min="2" max="2" width="12" customWidth="1"/>
    <col min="3" max="3" width="10" customWidth="1"/>
    <col min="4" max="4" width="12" customWidth="1"/>
    <col min="5" max="6" width="16" customWidth="1"/>
    <col min="7" max="7" width="10" customWidth="1"/>
    <col min="8" max="8" width="16" customWidth="1"/>
    <col min="9" max="9" width="12" customWidth="1"/>
    <col min="10" max="10" width="22" customWidth="1"/>
  </cols>
  <sheetData>
    <row r="1" spans="1:10" ht="18.5" x14ac:dyDescent="0.45">
      <c r="A1" s="67" t="s">
        <v>502</v>
      </c>
    </row>
    <row r="2" spans="1:10" x14ac:dyDescent="0.35">
      <c r="A2" t="s">
        <v>503</v>
      </c>
    </row>
    <row r="4" spans="1:10" x14ac:dyDescent="0.35">
      <c r="A4" s="68" t="s">
        <v>355</v>
      </c>
      <c r="B4" s="68" t="s">
        <v>228</v>
      </c>
      <c r="C4" s="68" t="s">
        <v>504</v>
      </c>
      <c r="D4" s="68" t="s">
        <v>505</v>
      </c>
      <c r="E4" s="68" t="s">
        <v>506</v>
      </c>
      <c r="F4" s="68" t="s">
        <v>507</v>
      </c>
      <c r="G4" s="68" t="s">
        <v>508</v>
      </c>
      <c r="H4" s="68" t="s">
        <v>509</v>
      </c>
      <c r="I4" s="68" t="s">
        <v>510</v>
      </c>
      <c r="J4" s="68" t="s">
        <v>321</v>
      </c>
    </row>
    <row r="5" spans="1:10" x14ac:dyDescent="0.35">
      <c r="A5" t="s">
        <v>362</v>
      </c>
      <c r="B5" t="s">
        <v>170</v>
      </c>
      <c r="C5">
        <v>1</v>
      </c>
      <c r="D5" s="71">
        <f>Price_WTP!B6</f>
        <v>1365</v>
      </c>
      <c r="E5" s="71">
        <f>Cost_of_Production!B15</f>
        <v>924</v>
      </c>
      <c r="F5" s="73"/>
      <c r="G5" s="71" t="str">
        <f>IF(OR(F5="",D5=""),"",F5-D5)</f>
        <v/>
      </c>
      <c r="H5" s="71" t="str">
        <f>IF(OR(F5="",E5=""),"",F5-E5)</f>
        <v/>
      </c>
      <c r="I5" s="10" t="str">
        <f>IF(OR(F5="",E5="",F5=0),"",H5/F5)</f>
        <v/>
      </c>
      <c r="J5" t="s">
        <v>511</v>
      </c>
    </row>
    <row r="7" spans="1:10" x14ac:dyDescent="0.35">
      <c r="A7" s="64" t="s">
        <v>512</v>
      </c>
    </row>
    <row r="8" spans="1:10" x14ac:dyDescent="0.35">
      <c r="A8" t="s">
        <v>513</v>
      </c>
      <c r="B8" s="71">
        <f>Price_WTP!B6</f>
        <v>1365</v>
      </c>
    </row>
    <row r="9" spans="1:10" x14ac:dyDescent="0.35">
      <c r="A9" t="s">
        <v>514</v>
      </c>
      <c r="B9" t="s">
        <v>515</v>
      </c>
    </row>
    <row r="10" spans="1:10" x14ac:dyDescent="0.35">
      <c r="A10" t="s">
        <v>516</v>
      </c>
    </row>
    <row r="11" spans="1:10" x14ac:dyDescent="0.35">
      <c r="A11" t="s">
        <v>517</v>
      </c>
    </row>
    <row r="12" spans="1:10" x14ac:dyDescent="0.35">
      <c r="A12" t="s">
        <v>518</v>
      </c>
    </row>
    <row r="13" spans="1:10" x14ac:dyDescent="0.35">
      <c r="A13" t="s">
        <v>519</v>
      </c>
    </row>
    <row r="15" spans="1:10" x14ac:dyDescent="0.35">
      <c r="A15" s="64" t="s">
        <v>520</v>
      </c>
    </row>
    <row r="16" spans="1:10" x14ac:dyDescent="0.35">
      <c r="A16" t="s">
        <v>521</v>
      </c>
      <c r="B16" s="74"/>
    </row>
    <row r="17" spans="1:2" x14ac:dyDescent="0.35">
      <c r="A17" t="s">
        <v>522</v>
      </c>
      <c r="B17" s="65"/>
    </row>
    <row r="18" spans="1:2" x14ac:dyDescent="0.35">
      <c r="A18" t="s">
        <v>523</v>
      </c>
      <c r="B18" t="str">
        <f>IF(B17="","",IF(B17&lt;=175,100,IF(B17&lt;=375,250,IF(B17&lt;=750,500,IF(B17&lt;=3000,1000,IF(B17&lt;=7500,5000,10000))))))</f>
        <v/>
      </c>
    </row>
    <row r="19" spans="1:2" x14ac:dyDescent="0.35">
      <c r="A19" t="s">
        <v>524</v>
      </c>
      <c r="B19" s="71" t="str">
        <f>IF(B17="","",IF(B18=100,Cost_of_Production!B6,IF(B18=250,Cost_of_Production!C6,IF(B18=500,Cost_of_Production!D6,IF(B18=1000,Cost_of_Production!E6,IF(B18=5000,Cost_of_Production!F6,Cost_of_Production!G6))))))</f>
        <v/>
      </c>
    </row>
    <row r="20" spans="1:2" x14ac:dyDescent="0.35">
      <c r="A20" t="s">
        <v>525</v>
      </c>
      <c r="B20" s="71" t="str">
        <f>IF(OR(B16="",B19=""),"",B16-B19)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0"/>
  <sheetViews>
    <sheetView topLeftCell="A8" workbookViewId="0">
      <selection activeCell="G21" sqref="G21"/>
    </sheetView>
  </sheetViews>
  <sheetFormatPr defaultRowHeight="14.5" x14ac:dyDescent="0.35"/>
  <cols>
    <col min="1" max="1" width="28" customWidth="1"/>
    <col min="2" max="2" width="22" customWidth="1"/>
    <col min="3" max="3" width="14" customWidth="1"/>
    <col min="4" max="4" width="22" customWidth="1"/>
    <col min="5" max="5" width="14" customWidth="1"/>
    <col min="6" max="6" width="22" customWidth="1"/>
    <col min="7" max="7" width="12" customWidth="1"/>
  </cols>
  <sheetData>
    <row r="1" spans="1:7" ht="18.5" x14ac:dyDescent="0.45">
      <c r="A1" s="67" t="s">
        <v>526</v>
      </c>
    </row>
    <row r="2" spans="1:7" x14ac:dyDescent="0.35">
      <c r="A2" t="s">
        <v>527</v>
      </c>
    </row>
    <row r="3" spans="1:7" x14ac:dyDescent="0.35">
      <c r="A3" t="s">
        <v>528</v>
      </c>
    </row>
    <row r="5" spans="1:7" x14ac:dyDescent="0.35">
      <c r="A5" s="68" t="s">
        <v>529</v>
      </c>
      <c r="B5" s="68" t="s">
        <v>169</v>
      </c>
      <c r="C5" s="68" t="s">
        <v>170</v>
      </c>
      <c r="D5" s="68" t="s">
        <v>171</v>
      </c>
      <c r="E5" s="68" t="s">
        <v>172</v>
      </c>
      <c r="F5" s="68" t="s">
        <v>530</v>
      </c>
      <c r="G5" s="68" t="s">
        <v>12</v>
      </c>
    </row>
    <row r="6" spans="1:7" x14ac:dyDescent="0.35">
      <c r="A6" s="75" t="s">
        <v>531</v>
      </c>
      <c r="B6" s="76">
        <v>143</v>
      </c>
      <c r="C6" s="75">
        <v>60</v>
      </c>
      <c r="D6" s="75">
        <v>51</v>
      </c>
      <c r="E6" s="75">
        <f t="shared" ref="E6:E12" si="0">IF(COUNT(B6:D6)=0,"",MAX(B6:D6))</f>
        <v>143</v>
      </c>
      <c r="F6" s="75">
        <f t="shared" ref="F6:F12" si="1">IF(C6="","",RANK(C6,$C$6:$C$12,0))</f>
        <v>7</v>
      </c>
      <c r="G6" s="72"/>
    </row>
    <row r="7" spans="1:7" x14ac:dyDescent="0.35">
      <c r="A7" s="75" t="s">
        <v>532</v>
      </c>
      <c r="B7" s="76">
        <v>127</v>
      </c>
      <c r="C7" s="75">
        <v>104</v>
      </c>
      <c r="D7" s="75">
        <v>100</v>
      </c>
      <c r="E7" s="75">
        <f t="shared" si="0"/>
        <v>127</v>
      </c>
      <c r="F7" s="75">
        <f t="shared" si="1"/>
        <v>4</v>
      </c>
      <c r="G7" s="72"/>
    </row>
    <row r="8" spans="1:7" x14ac:dyDescent="0.35">
      <c r="A8" s="75" t="s">
        <v>533</v>
      </c>
      <c r="B8" s="75">
        <v>51</v>
      </c>
      <c r="C8" s="76">
        <v>134</v>
      </c>
      <c r="D8" s="76">
        <v>133</v>
      </c>
      <c r="E8" s="75">
        <f t="shared" si="0"/>
        <v>134</v>
      </c>
      <c r="F8" s="75">
        <f t="shared" si="1"/>
        <v>1</v>
      </c>
      <c r="G8" s="72"/>
    </row>
    <row r="9" spans="1:7" x14ac:dyDescent="0.35">
      <c r="A9" s="75" t="s">
        <v>534</v>
      </c>
      <c r="B9" s="75">
        <v>84</v>
      </c>
      <c r="C9" s="76">
        <v>123</v>
      </c>
      <c r="D9" s="76">
        <v>117</v>
      </c>
      <c r="E9" s="75">
        <f t="shared" si="0"/>
        <v>123</v>
      </c>
      <c r="F9" s="75">
        <f t="shared" si="1"/>
        <v>2</v>
      </c>
      <c r="G9" s="72"/>
    </row>
    <row r="10" spans="1:7" x14ac:dyDescent="0.35">
      <c r="A10" s="75" t="s">
        <v>535</v>
      </c>
      <c r="B10" s="75">
        <v>90</v>
      </c>
      <c r="C10" s="75">
        <v>93</v>
      </c>
      <c r="D10" s="76">
        <v>125</v>
      </c>
      <c r="E10" s="75">
        <f t="shared" si="0"/>
        <v>125</v>
      </c>
      <c r="F10" s="75">
        <f t="shared" si="1"/>
        <v>6</v>
      </c>
      <c r="G10" s="72"/>
    </row>
    <row r="11" spans="1:7" x14ac:dyDescent="0.35">
      <c r="A11" s="75" t="s">
        <v>536</v>
      </c>
      <c r="B11" s="75">
        <v>81</v>
      </c>
      <c r="C11" s="75">
        <v>94</v>
      </c>
      <c r="D11" s="76">
        <v>114</v>
      </c>
      <c r="E11" s="75">
        <f t="shared" si="0"/>
        <v>114</v>
      </c>
      <c r="F11" s="75">
        <f t="shared" si="1"/>
        <v>5</v>
      </c>
      <c r="G11" s="72"/>
    </row>
    <row r="12" spans="1:7" x14ac:dyDescent="0.35">
      <c r="A12" s="75" t="s">
        <v>537</v>
      </c>
      <c r="B12" s="76">
        <v>111</v>
      </c>
      <c r="C12" s="76">
        <v>122</v>
      </c>
      <c r="D12" s="76">
        <v>113</v>
      </c>
      <c r="E12" s="75">
        <f t="shared" si="0"/>
        <v>122</v>
      </c>
      <c r="F12" s="75">
        <f t="shared" si="1"/>
        <v>3</v>
      </c>
      <c r="G12" s="72"/>
    </row>
    <row r="14" spans="1:7" x14ac:dyDescent="0.35">
      <c r="A14" s="64" t="s">
        <v>538</v>
      </c>
    </row>
    <row r="15" spans="1:7" x14ac:dyDescent="0.35">
      <c r="A15" t="s">
        <v>539</v>
      </c>
      <c r="B15" t="s">
        <v>540</v>
      </c>
    </row>
    <row r="16" spans="1:7" x14ac:dyDescent="0.35">
      <c r="A16" t="s">
        <v>541</v>
      </c>
      <c r="B16" t="s">
        <v>542</v>
      </c>
    </row>
    <row r="17" spans="1:7" x14ac:dyDescent="0.35">
      <c r="A17" t="s">
        <v>543</v>
      </c>
      <c r="B17" t="s">
        <v>544</v>
      </c>
    </row>
    <row r="18" spans="1:7" x14ac:dyDescent="0.35">
      <c r="A18" t="s">
        <v>545</v>
      </c>
      <c r="B18" t="s">
        <v>546</v>
      </c>
    </row>
    <row r="20" spans="1:7" x14ac:dyDescent="0.35">
      <c r="A20" s="64" t="s">
        <v>547</v>
      </c>
    </row>
    <row r="21" spans="1:7" x14ac:dyDescent="0.35">
      <c r="A21" t="s">
        <v>539</v>
      </c>
      <c r="B21" t="s">
        <v>548</v>
      </c>
    </row>
    <row r="22" spans="1:7" x14ac:dyDescent="0.35">
      <c r="A22" t="s">
        <v>541</v>
      </c>
      <c r="B22" t="s">
        <v>549</v>
      </c>
    </row>
    <row r="23" spans="1:7" x14ac:dyDescent="0.35">
      <c r="A23" t="s">
        <v>543</v>
      </c>
      <c r="B23" t="s">
        <v>550</v>
      </c>
    </row>
    <row r="25" spans="1:7" x14ac:dyDescent="0.35">
      <c r="A25" s="64" t="s">
        <v>551</v>
      </c>
    </row>
    <row r="26" spans="1:7" x14ac:dyDescent="0.35">
      <c r="A26" t="s">
        <v>539</v>
      </c>
      <c r="B26" t="s">
        <v>552</v>
      </c>
    </row>
    <row r="27" spans="1:7" x14ac:dyDescent="0.35">
      <c r="A27" t="s">
        <v>541</v>
      </c>
      <c r="B27" t="s">
        <v>553</v>
      </c>
    </row>
    <row r="28" spans="1:7" x14ac:dyDescent="0.35">
      <c r="A28" t="s">
        <v>543</v>
      </c>
      <c r="B28" t="s">
        <v>554</v>
      </c>
    </row>
    <row r="30" spans="1:7" x14ac:dyDescent="0.35">
      <c r="A30" s="64" t="s">
        <v>555</v>
      </c>
    </row>
    <row r="31" spans="1:7" x14ac:dyDescent="0.35">
      <c r="A31" s="68" t="s">
        <v>556</v>
      </c>
      <c r="B31" s="68" t="s">
        <v>557</v>
      </c>
      <c r="C31" s="68" t="s">
        <v>558</v>
      </c>
      <c r="D31" s="68" t="s">
        <v>559</v>
      </c>
      <c r="E31" s="68" t="s">
        <v>558</v>
      </c>
      <c r="F31" s="68" t="s">
        <v>560</v>
      </c>
      <c r="G31" s="68" t="s">
        <v>321</v>
      </c>
    </row>
    <row r="32" spans="1:7" x14ac:dyDescent="0.35">
      <c r="A32" s="75" t="s">
        <v>561</v>
      </c>
      <c r="B32" s="72"/>
      <c r="C32" s="72"/>
      <c r="D32" s="72"/>
      <c r="E32" s="72"/>
      <c r="F32" s="75" t="s">
        <v>562</v>
      </c>
      <c r="G32" s="75" t="s">
        <v>563</v>
      </c>
    </row>
    <row r="33" spans="1:7" x14ac:dyDescent="0.35">
      <c r="A33" s="75" t="s">
        <v>564</v>
      </c>
      <c r="B33" s="72"/>
      <c r="C33" s="72"/>
      <c r="D33" s="72"/>
      <c r="E33" s="72"/>
      <c r="F33" s="75"/>
      <c r="G33" s="75" t="s">
        <v>563</v>
      </c>
    </row>
    <row r="34" spans="1:7" x14ac:dyDescent="0.35">
      <c r="A34" s="75" t="s">
        <v>565</v>
      </c>
      <c r="B34" s="72"/>
      <c r="C34" s="72"/>
      <c r="D34" s="72"/>
      <c r="E34" s="72"/>
      <c r="F34" s="75"/>
      <c r="G34" s="75" t="s">
        <v>563</v>
      </c>
    </row>
    <row r="36" spans="1:7" x14ac:dyDescent="0.35">
      <c r="A36" s="64" t="s">
        <v>566</v>
      </c>
    </row>
    <row r="37" spans="1:7" x14ac:dyDescent="0.35">
      <c r="A37" t="s">
        <v>567</v>
      </c>
      <c r="B37" s="65"/>
      <c r="C37" t="s">
        <v>568</v>
      </c>
    </row>
    <row r="38" spans="1:7" x14ac:dyDescent="0.35">
      <c r="A38" t="s">
        <v>569</v>
      </c>
      <c r="B38" s="65"/>
    </row>
    <row r="39" spans="1:7" x14ac:dyDescent="0.35">
      <c r="A39" t="s">
        <v>77</v>
      </c>
      <c r="B39" t="s">
        <v>570</v>
      </c>
    </row>
    <row r="40" spans="1:7" x14ac:dyDescent="0.35">
      <c r="A40" t="s">
        <v>571</v>
      </c>
      <c r="B40" t="s">
        <v>572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2"/>
  <sheetViews>
    <sheetView workbookViewId="0"/>
  </sheetViews>
  <sheetFormatPr defaultRowHeight="14.5" x14ac:dyDescent="0.35"/>
  <cols>
    <col min="1" max="1" width="28" customWidth="1"/>
    <col min="2" max="2" width="18" customWidth="1"/>
    <col min="3" max="3" width="28" customWidth="1"/>
    <col min="4" max="4" width="18" customWidth="1"/>
    <col min="5" max="5" width="20" customWidth="1"/>
    <col min="6" max="6" width="14" customWidth="1"/>
    <col min="7" max="7" width="12" customWidth="1"/>
    <col min="8" max="8" width="36" customWidth="1"/>
  </cols>
  <sheetData>
    <row r="1" spans="1:8" ht="18.5" x14ac:dyDescent="0.45">
      <c r="A1" s="67" t="s">
        <v>573</v>
      </c>
    </row>
    <row r="2" spans="1:8" x14ac:dyDescent="0.35">
      <c r="A2" t="s">
        <v>574</v>
      </c>
    </row>
    <row r="3" spans="1:8" x14ac:dyDescent="0.35">
      <c r="A3" t="s">
        <v>575</v>
      </c>
    </row>
    <row r="5" spans="1:8" x14ac:dyDescent="0.35">
      <c r="A5" s="64" t="s">
        <v>576</v>
      </c>
    </row>
    <row r="6" spans="1:8" x14ac:dyDescent="0.35">
      <c r="A6" t="s">
        <v>577</v>
      </c>
      <c r="B6" t="s">
        <v>578</v>
      </c>
    </row>
    <row r="7" spans="1:8" x14ac:dyDescent="0.35">
      <c r="A7" t="s">
        <v>579</v>
      </c>
      <c r="B7" t="s">
        <v>580</v>
      </c>
    </row>
    <row r="8" spans="1:8" x14ac:dyDescent="0.35">
      <c r="A8" t="s">
        <v>581</v>
      </c>
      <c r="B8" t="s">
        <v>582</v>
      </c>
    </row>
    <row r="9" spans="1:8" x14ac:dyDescent="0.35">
      <c r="A9" t="s">
        <v>583</v>
      </c>
      <c r="B9" t="s">
        <v>584</v>
      </c>
    </row>
    <row r="10" spans="1:8" x14ac:dyDescent="0.35">
      <c r="A10" t="s">
        <v>585</v>
      </c>
      <c r="B10" t="s">
        <v>586</v>
      </c>
    </row>
    <row r="11" spans="1:8" x14ac:dyDescent="0.35">
      <c r="A11" t="s">
        <v>587</v>
      </c>
      <c r="B11" s="65"/>
      <c r="C11" t="s">
        <v>588</v>
      </c>
    </row>
    <row r="13" spans="1:8" x14ac:dyDescent="0.35">
      <c r="A13" s="64" t="s">
        <v>589</v>
      </c>
    </row>
    <row r="14" spans="1:8" x14ac:dyDescent="0.35">
      <c r="A14" s="68" t="s">
        <v>590</v>
      </c>
      <c r="B14" s="68" t="s">
        <v>591</v>
      </c>
      <c r="C14" s="68" t="s">
        <v>592</v>
      </c>
      <c r="D14" s="68" t="s">
        <v>593</v>
      </c>
      <c r="E14" s="68" t="s">
        <v>594</v>
      </c>
      <c r="F14" s="68" t="s">
        <v>595</v>
      </c>
      <c r="G14" s="68" t="s">
        <v>596</v>
      </c>
      <c r="H14" s="68" t="s">
        <v>12</v>
      </c>
    </row>
    <row r="15" spans="1:8" x14ac:dyDescent="0.35">
      <c r="A15" s="72" t="s">
        <v>597</v>
      </c>
      <c r="B15" s="72" t="s">
        <v>362</v>
      </c>
      <c r="C15" s="72" t="s">
        <v>598</v>
      </c>
      <c r="D15" s="72" t="s">
        <v>599</v>
      </c>
      <c r="E15" s="72"/>
      <c r="F15" s="72"/>
      <c r="G15" s="72"/>
      <c r="H15" s="75" t="s">
        <v>600</v>
      </c>
    </row>
    <row r="16" spans="1:8" x14ac:dyDescent="0.35">
      <c r="A16" s="72" t="s">
        <v>601</v>
      </c>
      <c r="B16" s="72"/>
      <c r="C16" s="72"/>
      <c r="D16" s="72" t="s">
        <v>599</v>
      </c>
      <c r="E16" s="72"/>
      <c r="F16" s="72"/>
      <c r="G16" s="72"/>
      <c r="H16" s="75" t="s">
        <v>602</v>
      </c>
    </row>
    <row r="17" spans="1:8" x14ac:dyDescent="0.35">
      <c r="A17" s="72" t="s">
        <v>603</v>
      </c>
      <c r="B17" s="72" t="s">
        <v>604</v>
      </c>
      <c r="C17" s="72"/>
      <c r="D17" s="72" t="s">
        <v>599</v>
      </c>
      <c r="E17" s="72"/>
      <c r="F17" s="72"/>
      <c r="G17" s="72"/>
      <c r="H17" s="75" t="s">
        <v>605</v>
      </c>
    </row>
    <row r="19" spans="1:8" x14ac:dyDescent="0.35">
      <c r="A19" s="64" t="s">
        <v>606</v>
      </c>
    </row>
    <row r="20" spans="1:8" x14ac:dyDescent="0.35">
      <c r="A20" s="68" t="s">
        <v>228</v>
      </c>
      <c r="B20" s="68" t="s">
        <v>607</v>
      </c>
      <c r="C20" s="68" t="s">
        <v>608</v>
      </c>
    </row>
    <row r="21" spans="1:8" x14ac:dyDescent="0.35">
      <c r="A21" s="75" t="s">
        <v>170</v>
      </c>
      <c r="B21" s="72"/>
      <c r="C21" s="75" t="s">
        <v>609</v>
      </c>
    </row>
    <row r="22" spans="1:8" x14ac:dyDescent="0.35">
      <c r="A22" s="75" t="s">
        <v>171</v>
      </c>
      <c r="B22" s="72"/>
      <c r="C22" s="75" t="s">
        <v>610</v>
      </c>
    </row>
    <row r="23" spans="1:8" x14ac:dyDescent="0.35">
      <c r="A23" s="75" t="s">
        <v>169</v>
      </c>
      <c r="B23" s="72"/>
      <c r="C23" s="75" t="s">
        <v>611</v>
      </c>
    </row>
    <row r="25" spans="1:8" x14ac:dyDescent="0.35">
      <c r="A25" s="64" t="s">
        <v>612</v>
      </c>
    </row>
    <row r="26" spans="1:8" x14ac:dyDescent="0.35">
      <c r="A26" t="s">
        <v>613</v>
      </c>
      <c r="B26" s="65"/>
      <c r="C26" t="s">
        <v>614</v>
      </c>
    </row>
    <row r="27" spans="1:8" x14ac:dyDescent="0.35">
      <c r="A27" t="s">
        <v>615</v>
      </c>
      <c r="B27" s="65"/>
    </row>
    <row r="28" spans="1:8" x14ac:dyDescent="0.35">
      <c r="A28" t="s">
        <v>616</v>
      </c>
      <c r="B28" s="65"/>
    </row>
    <row r="29" spans="1:8" x14ac:dyDescent="0.35">
      <c r="A29" t="s">
        <v>77</v>
      </c>
      <c r="B29" t="s">
        <v>617</v>
      </c>
    </row>
    <row r="31" spans="1:8" x14ac:dyDescent="0.35">
      <c r="A31" s="64" t="s">
        <v>618</v>
      </c>
    </row>
    <row r="32" spans="1:8" x14ac:dyDescent="0.35">
      <c r="A32" t="s">
        <v>619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93"/>
  <sheetViews>
    <sheetView workbookViewId="0"/>
  </sheetViews>
  <sheetFormatPr defaultRowHeight="14.5" x14ac:dyDescent="0.35"/>
  <cols>
    <col min="1" max="1" width="48" customWidth="1"/>
    <col min="2" max="2" width="22" customWidth="1"/>
    <col min="3" max="3" width="18" customWidth="1"/>
    <col min="4" max="4" width="14" customWidth="1"/>
    <col min="5" max="5" width="18" customWidth="1"/>
    <col min="6" max="7" width="12" customWidth="1"/>
    <col min="8" max="8" width="16" customWidth="1"/>
    <col min="9" max="9" width="14" customWidth="1"/>
    <col min="10" max="10" width="36" customWidth="1"/>
  </cols>
  <sheetData>
    <row r="1" spans="1:4" ht="18.5" x14ac:dyDescent="0.45">
      <c r="A1" s="67" t="s">
        <v>620</v>
      </c>
    </row>
    <row r="2" spans="1:4" x14ac:dyDescent="0.35">
      <c r="A2" t="s">
        <v>621</v>
      </c>
    </row>
    <row r="3" spans="1:4" x14ac:dyDescent="0.35">
      <c r="A3" t="s">
        <v>622</v>
      </c>
    </row>
    <row r="5" spans="1:4" x14ac:dyDescent="0.35">
      <c r="A5" s="64" t="s">
        <v>623</v>
      </c>
    </row>
    <row r="6" spans="1:4" x14ac:dyDescent="0.35">
      <c r="A6" s="68" t="s">
        <v>624</v>
      </c>
      <c r="B6" s="68" t="s">
        <v>625</v>
      </c>
      <c r="C6" s="68" t="s">
        <v>626</v>
      </c>
      <c r="D6" s="68" t="s">
        <v>12</v>
      </c>
    </row>
    <row r="7" spans="1:4" x14ac:dyDescent="0.35">
      <c r="A7" s="75" t="s">
        <v>627</v>
      </c>
      <c r="B7" s="75" t="s">
        <v>628</v>
      </c>
      <c r="C7" s="73"/>
      <c r="D7" s="75" t="s">
        <v>629</v>
      </c>
    </row>
    <row r="8" spans="1:4" x14ac:dyDescent="0.35">
      <c r="A8" s="75" t="s">
        <v>630</v>
      </c>
      <c r="B8" s="75" t="s">
        <v>631</v>
      </c>
      <c r="C8" s="73"/>
      <c r="D8" s="75" t="s">
        <v>632</v>
      </c>
    </row>
    <row r="9" spans="1:4" x14ac:dyDescent="0.35">
      <c r="A9" s="75" t="s">
        <v>633</v>
      </c>
      <c r="B9" s="75" t="s">
        <v>634</v>
      </c>
      <c r="C9" s="73"/>
      <c r="D9" s="75" t="s">
        <v>635</v>
      </c>
    </row>
    <row r="10" spans="1:4" x14ac:dyDescent="0.35">
      <c r="A10" s="75" t="s">
        <v>636</v>
      </c>
      <c r="B10" s="75" t="s">
        <v>634</v>
      </c>
      <c r="C10" s="73"/>
      <c r="D10" s="75"/>
    </row>
    <row r="11" spans="1:4" x14ac:dyDescent="0.35">
      <c r="A11" s="75" t="s">
        <v>637</v>
      </c>
      <c r="B11" s="75" t="s">
        <v>634</v>
      </c>
      <c r="C11" s="73"/>
      <c r="D11" s="75" t="s">
        <v>638</v>
      </c>
    </row>
    <row r="12" spans="1:4" x14ac:dyDescent="0.35">
      <c r="A12" s="75" t="s">
        <v>639</v>
      </c>
      <c r="B12" s="75" t="s">
        <v>634</v>
      </c>
      <c r="C12" s="73"/>
      <c r="D12" s="75"/>
    </row>
    <row r="13" spans="1:4" x14ac:dyDescent="0.35">
      <c r="A13" s="75" t="s">
        <v>640</v>
      </c>
      <c r="B13" s="75" t="s">
        <v>641</v>
      </c>
      <c r="C13" s="73"/>
      <c r="D13" s="75" t="s">
        <v>642</v>
      </c>
    </row>
    <row r="15" spans="1:4" x14ac:dyDescent="0.35">
      <c r="A15" t="s">
        <v>643</v>
      </c>
    </row>
    <row r="17" spans="1:10" x14ac:dyDescent="0.35">
      <c r="A17" s="64" t="s">
        <v>644</v>
      </c>
    </row>
    <row r="18" spans="1:10" x14ac:dyDescent="0.35">
      <c r="A18" s="68" t="s">
        <v>645</v>
      </c>
      <c r="B18" s="68" t="s">
        <v>321</v>
      </c>
      <c r="C18" s="68" t="s">
        <v>646</v>
      </c>
      <c r="D18" s="68" t="s">
        <v>647</v>
      </c>
      <c r="E18" s="68" t="s">
        <v>169</v>
      </c>
      <c r="F18" s="68" t="s">
        <v>170</v>
      </c>
      <c r="G18" s="68" t="s">
        <v>171</v>
      </c>
      <c r="H18" s="68" t="s">
        <v>648</v>
      </c>
      <c r="I18" s="68" t="s">
        <v>649</v>
      </c>
      <c r="J18" s="68" t="s">
        <v>650</v>
      </c>
    </row>
    <row r="19" spans="1:10" x14ac:dyDescent="0.35">
      <c r="A19" s="75" t="s">
        <v>252</v>
      </c>
      <c r="B19" s="75" t="s">
        <v>327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5">
        <f>IF(C19="","",C19-SUM(D19:G19))</f>
        <v>0</v>
      </c>
      <c r="I19" s="75">
        <f>IF(COUNT(D19:G19)=0,"",SUM(D19:G19))</f>
        <v>0</v>
      </c>
      <c r="J19" s="75" t="s">
        <v>651</v>
      </c>
    </row>
    <row r="20" spans="1:10" x14ac:dyDescent="0.35">
      <c r="A20" s="75" t="s">
        <v>652</v>
      </c>
      <c r="B20" s="75" t="s">
        <v>327</v>
      </c>
      <c r="C20" s="72">
        <f>IF(E55="","",E55)</f>
        <v>0</v>
      </c>
      <c r="D20" s="72">
        <v>0</v>
      </c>
      <c r="E20" s="72">
        <v>0</v>
      </c>
      <c r="F20" s="72">
        <v>0</v>
      </c>
      <c r="G20" s="72">
        <v>0</v>
      </c>
      <c r="H20" s="75">
        <f>IF(C20="","",C20-SUM(D20:G20))</f>
        <v>0</v>
      </c>
      <c r="I20" s="75">
        <f>IF(COUNT(D20:G20)=0,"",SUM(D20:G20))</f>
        <v>0</v>
      </c>
      <c r="J20" s="75" t="s">
        <v>653</v>
      </c>
    </row>
    <row r="21" spans="1:10" x14ac:dyDescent="0.35">
      <c r="A21" s="75" t="s">
        <v>654</v>
      </c>
      <c r="B21" s="75" t="s">
        <v>655</v>
      </c>
      <c r="C21" s="72"/>
      <c r="D21" s="72"/>
      <c r="E21" s="72"/>
      <c r="F21" s="72"/>
      <c r="G21" s="72"/>
      <c r="H21" s="75" t="str">
        <f>IF(C21="","",C21-SUM(D21:G21))</f>
        <v/>
      </c>
      <c r="I21" s="75" t="str">
        <f>IF(COUNT(D21:G21)=0,"",SUM(D21:G21))</f>
        <v/>
      </c>
      <c r="J21" s="75" t="s">
        <v>656</v>
      </c>
    </row>
    <row r="22" spans="1:10" x14ac:dyDescent="0.35">
      <c r="A22" s="75" t="s">
        <v>657</v>
      </c>
      <c r="B22" s="75" t="s">
        <v>658</v>
      </c>
      <c r="C22" s="72"/>
      <c r="D22" s="72"/>
      <c r="E22" s="72"/>
      <c r="F22" s="72"/>
      <c r="G22" s="72"/>
      <c r="H22" s="75" t="str">
        <f>IF(C22="","",C22-SUM(D22:G22))</f>
        <v/>
      </c>
      <c r="I22" s="75" t="str">
        <f>IF(COUNT(D22:G22)=0,"",SUM(D22:G22))</f>
        <v/>
      </c>
      <c r="J22" s="75" t="s">
        <v>659</v>
      </c>
    </row>
    <row r="23" spans="1:10" x14ac:dyDescent="0.35">
      <c r="A23" t="s">
        <v>660</v>
      </c>
    </row>
    <row r="24" spans="1:10" x14ac:dyDescent="0.35">
      <c r="A24" t="s">
        <v>661</v>
      </c>
      <c r="B24" t="str">
        <f>IF(C19="","",IF(C19&lt;=7,"YES","OVER tip"))</f>
        <v>YES</v>
      </c>
    </row>
    <row r="25" spans="1:10" x14ac:dyDescent="0.35">
      <c r="A25" t="s">
        <v>662</v>
      </c>
      <c r="B25" t="str">
        <f>IF(D19="","",IF(D19&gt;=1,"YES","NEED ≥1 service"))</f>
        <v>NEED ≥1 service</v>
      </c>
    </row>
    <row r="26" spans="1:10" x14ac:dyDescent="0.35">
      <c r="A26" t="s">
        <v>663</v>
      </c>
      <c r="B26" t="str">
        <f>IF(OR(H19&lt;0,H20&lt;0,IF(C21="",FALSE,H21&lt;0),IF(C22="",FALSE,H22&lt;0)),"ERROR — specialties exceed total","OK")</f>
        <v>OK</v>
      </c>
    </row>
    <row r="28" spans="1:10" x14ac:dyDescent="0.35">
      <c r="A28" s="64" t="s">
        <v>664</v>
      </c>
    </row>
    <row r="29" spans="1:10" x14ac:dyDescent="0.35">
      <c r="A29" s="68" t="s">
        <v>645</v>
      </c>
      <c r="B29" s="68" t="s">
        <v>665</v>
      </c>
      <c r="C29" s="68" t="s">
        <v>666</v>
      </c>
      <c r="D29" s="68" t="s">
        <v>667</v>
      </c>
      <c r="E29" s="68" t="s">
        <v>668</v>
      </c>
      <c r="F29" s="68" t="s">
        <v>669</v>
      </c>
    </row>
    <row r="30" spans="1:10" x14ac:dyDescent="0.35">
      <c r="A30" s="75" t="str">
        <f>A19</f>
        <v>Amsterdam</v>
      </c>
      <c r="B30" s="70" t="str">
        <f>IF(OR(D19="",$C$9=""),"",D19*$C$9)</f>
        <v/>
      </c>
      <c r="C30" s="70" t="str">
        <f>IF(OR(E19="",$C$10=""),"",E19*$C$10)</f>
        <v/>
      </c>
      <c r="D30" s="70" t="str">
        <f>IF(OR(F19="",$C$11=""),"",F19*$C$11)</f>
        <v/>
      </c>
      <c r="E30" s="70" t="str">
        <f>IF(OR(G19="",$C$12=""),"",G19*$C$12)</f>
        <v/>
      </c>
      <c r="F30" s="70" t="e">
        <f>IF(C19="","",IFERROR(B30,0)+IFERROR(C30,0)+IFERROR(D30,0)+IFERROR(E30,0)+IF(OR(H19="",$C$13=""),0,H19*$C$13))</f>
        <v>#VALUE!</v>
      </c>
    </row>
    <row r="31" spans="1:10" x14ac:dyDescent="0.35">
      <c r="A31" s="75" t="str">
        <f>A20</f>
        <v>World Web</v>
      </c>
      <c r="B31" s="70" t="str">
        <f>IF(OR(D20="",$C$9=""),"",D20*$C$9)</f>
        <v/>
      </c>
      <c r="C31" s="70" t="str">
        <f>IF(OR(E20="",$C$10=""),"",E20*$C$10)</f>
        <v/>
      </c>
      <c r="D31" s="70" t="str">
        <f>IF(OR(F20="",$C$11=""),"",F20*$C$11)</f>
        <v/>
      </c>
      <c r="E31" s="70" t="str">
        <f>IF(OR(G20="",$C$12=""),"",G20*$C$12)</f>
        <v/>
      </c>
      <c r="F31" s="70" t="e">
        <f>IF(C20="","",IFERROR(B31,0)+IFERROR(C31,0)+IFERROR(D31,0)+IFERROR(E31,0)+IF(OR(H20="",$C$13=""),0,H20*$C$13))</f>
        <v>#VALUE!</v>
      </c>
    </row>
    <row r="32" spans="1:10" x14ac:dyDescent="0.35">
      <c r="A32" s="75" t="str">
        <f>A21</f>
        <v>City #2 (next Q)</v>
      </c>
      <c r="B32" s="70" t="str">
        <f>IF(OR(D21="",$C$9=""),"",D21*$C$9)</f>
        <v/>
      </c>
      <c r="C32" s="70" t="str">
        <f>IF(OR(E21="",$C$10=""),"",E21*$C$10)</f>
        <v/>
      </c>
      <c r="D32" s="70" t="str">
        <f>IF(OR(F21="",$C$11=""),"",F21*$C$11)</f>
        <v/>
      </c>
      <c r="E32" s="70" t="str">
        <f>IF(OR(G21="",$C$12=""),"",G21*$C$12)</f>
        <v/>
      </c>
      <c r="F32" s="70" t="str">
        <f>IF(C21="","",IFERROR(B32,0)+IFERROR(C32,0)+IFERROR(D32,0)+IFERROR(E32,0)+IF(OR(H21="",$C$13=""),0,H21*$C$13))</f>
        <v/>
      </c>
    </row>
    <row r="33" spans="1:6" x14ac:dyDescent="0.35">
      <c r="A33" s="75" t="str">
        <f>A22</f>
        <v>Other / TBD</v>
      </c>
      <c r="B33" s="70" t="str">
        <f>IF(OR(D22="",$C$9=""),"",D22*$C$9)</f>
        <v/>
      </c>
      <c r="C33" s="70" t="str">
        <f>IF(OR(E22="",$C$10=""),"",E22*$C$10)</f>
        <v/>
      </c>
      <c r="D33" s="70" t="str">
        <f>IF(OR(F22="",$C$11=""),"",F22*$C$11)</f>
        <v/>
      </c>
      <c r="E33" s="70" t="str">
        <f>IF(OR(G22="",$C$12=""),"",G22*$C$12)</f>
        <v/>
      </c>
      <c r="F33" s="70" t="str">
        <f>IF(C22="","",IFERROR(B33,0)+IFERROR(C33,0)+IFERROR(D33,0)+IFERROR(E33,0)+IF(OR(H22="",$C$13=""),0,H22*$C$13))</f>
        <v/>
      </c>
    </row>
    <row r="34" spans="1:6" x14ac:dyDescent="0.35">
      <c r="A34" t="s">
        <v>670</v>
      </c>
      <c r="B34" s="84" t="str">
        <f>IF(COUNT(F30:F33)=0,"",SUM(F30:F33))</f>
        <v/>
      </c>
    </row>
    <row r="36" spans="1:6" x14ac:dyDescent="0.35">
      <c r="A36" s="64" t="s">
        <v>671</v>
      </c>
    </row>
    <row r="37" spans="1:6" x14ac:dyDescent="0.35">
      <c r="A37" s="81" t="s">
        <v>672</v>
      </c>
    </row>
    <row r="38" spans="1:6" x14ac:dyDescent="0.35">
      <c r="A38" t="s">
        <v>673</v>
      </c>
      <c r="B38" s="85">
        <v>0</v>
      </c>
      <c r="C38" t="s">
        <v>674</v>
      </c>
    </row>
    <row r="39" spans="1:6" x14ac:dyDescent="0.35">
      <c r="A39" t="s">
        <v>675</v>
      </c>
      <c r="B39" s="85">
        <f>IF(COUNT(C19:C22)=0,"",SUM(C19:C22))</f>
        <v>0</v>
      </c>
      <c r="C39" t="s">
        <v>676</v>
      </c>
    </row>
    <row r="40" spans="1:6" x14ac:dyDescent="0.35">
      <c r="A40" t="s">
        <v>677</v>
      </c>
      <c r="B40" s="85">
        <f>IF(B39="","",B39-B38)</f>
        <v>0</v>
      </c>
    </row>
    <row r="42" spans="1:6" x14ac:dyDescent="0.35">
      <c r="A42" s="81" t="s">
        <v>678</v>
      </c>
    </row>
    <row r="43" spans="1:6" x14ac:dyDescent="0.35">
      <c r="A43" t="s">
        <v>679</v>
      </c>
      <c r="B43" s="84" t="str">
        <f>IF(OR(B40="",$C$7=""),"",IF(B40&gt;0,B40*$C$7,0))</f>
        <v/>
      </c>
      <c r="C43" t="s">
        <v>680</v>
      </c>
    </row>
    <row r="44" spans="1:6" x14ac:dyDescent="0.35">
      <c r="A44" t="s">
        <v>681</v>
      </c>
      <c r="B44" s="84" t="str">
        <f>IF(OR(B40="",$C$8=""),"",IF(B40&lt;0,ABS(B40)*$C$8,0))</f>
        <v/>
      </c>
      <c r="C44" t="s">
        <v>682</v>
      </c>
    </row>
    <row r="45" spans="1:6" x14ac:dyDescent="0.35">
      <c r="A45" t="s">
        <v>683</v>
      </c>
      <c r="B45" s="84" t="str">
        <f>B34</f>
        <v/>
      </c>
      <c r="C45" t="s">
        <v>684</v>
      </c>
    </row>
    <row r="46" spans="1:6" x14ac:dyDescent="0.35">
      <c r="A46" t="s">
        <v>685</v>
      </c>
      <c r="B46" s="82" t="str">
        <f>IF(COUNT(B43:B45)=0,"",SUM(B43:B45))</f>
        <v/>
      </c>
    </row>
    <row r="48" spans="1:6" x14ac:dyDescent="0.35">
      <c r="A48" s="64" t="s">
        <v>686</v>
      </c>
    </row>
    <row r="49" spans="1:11" x14ac:dyDescent="0.35">
      <c r="A49" s="68" t="s">
        <v>647</v>
      </c>
      <c r="B49" s="68" t="s">
        <v>169</v>
      </c>
      <c r="C49" s="68" t="s">
        <v>170</v>
      </c>
      <c r="D49" s="68" t="s">
        <v>171</v>
      </c>
      <c r="E49" s="68" t="s">
        <v>687</v>
      </c>
    </row>
    <row r="50" spans="1:11" x14ac:dyDescent="0.35">
      <c r="A50" s="86">
        <f>SUM(D19:D22)</f>
        <v>0</v>
      </c>
      <c r="B50" s="86">
        <f>SUM(E19:E22)</f>
        <v>0</v>
      </c>
      <c r="C50" s="86">
        <f>SUM(F19:F22)</f>
        <v>0</v>
      </c>
      <c r="D50" s="86">
        <f>SUM(G19:G22)</f>
        <v>0</v>
      </c>
      <c r="E50" s="86">
        <f>SUM(H19:H22)</f>
        <v>0</v>
      </c>
    </row>
    <row r="52" spans="1:11" x14ac:dyDescent="0.35">
      <c r="A52" s="87" t="s">
        <v>688</v>
      </c>
      <c r="B52" s="88"/>
      <c r="C52" s="88"/>
      <c r="D52" s="88"/>
      <c r="E52" s="88"/>
      <c r="F52" s="88"/>
      <c r="G52" s="88"/>
      <c r="H52" s="88"/>
      <c r="I52" s="88"/>
      <c r="J52" s="88"/>
      <c r="K52" s="88"/>
    </row>
    <row r="53" spans="1:11" x14ac:dyDescent="0.35">
      <c r="A53" s="89" t="s">
        <v>689</v>
      </c>
      <c r="B53" s="89"/>
      <c r="C53" s="89"/>
      <c r="D53" s="89"/>
      <c r="E53" s="89"/>
      <c r="F53" s="88"/>
      <c r="G53" s="88"/>
      <c r="H53" s="88"/>
      <c r="I53" s="88"/>
      <c r="J53" s="88"/>
      <c r="K53" s="88"/>
    </row>
    <row r="54" spans="1:11" x14ac:dyDescent="0.35">
      <c r="A54" s="68" t="s">
        <v>645</v>
      </c>
      <c r="B54" s="68" t="s">
        <v>690</v>
      </c>
      <c r="C54" s="68" t="s">
        <v>691</v>
      </c>
      <c r="D54" s="68" t="s">
        <v>692</v>
      </c>
      <c r="E54" s="68" t="s">
        <v>693</v>
      </c>
      <c r="F54" s="88"/>
      <c r="G54" s="88"/>
      <c r="H54" s="88"/>
      <c r="I54" s="88"/>
      <c r="J54" s="88"/>
      <c r="K54" s="88"/>
    </row>
    <row r="55" spans="1:11" x14ac:dyDescent="0.35">
      <c r="A55" s="75" t="s">
        <v>694</v>
      </c>
      <c r="B55" s="73">
        <v>19310</v>
      </c>
      <c r="C55" s="72">
        <v>0</v>
      </c>
      <c r="D55" s="72">
        <v>0</v>
      </c>
      <c r="E55" s="86">
        <f>IF(COUNT(C55:D55)=0,"",SUM(C55:D55))</f>
        <v>0</v>
      </c>
      <c r="F55" s="88"/>
      <c r="G55" s="88"/>
      <c r="H55" s="88"/>
      <c r="I55" s="88"/>
      <c r="J55" s="88"/>
      <c r="K55" s="88"/>
    </row>
    <row r="56" spans="1:11" x14ac:dyDescent="0.35">
      <c r="A56" s="88" t="s">
        <v>695</v>
      </c>
      <c r="B56" s="88" t="str">
        <f>IF(Comp_Industry!C42="","Industry sales baseline $19,310 — replace when our sales package locked",Comp_Industry!C42)</f>
        <v>Industry sales baseline $19,310 — replace when our sales package locked</v>
      </c>
      <c r="C56" s="88" t="s">
        <v>696</v>
      </c>
      <c r="D56" s="88"/>
      <c r="E56" s="88"/>
      <c r="F56" s="88"/>
      <c r="G56" s="88"/>
      <c r="H56" s="88"/>
      <c r="I56" s="88"/>
      <c r="J56" s="88"/>
      <c r="K56" s="88"/>
    </row>
    <row r="57" spans="1:11" x14ac:dyDescent="0.35">
      <c r="A57" s="88" t="s">
        <v>697</v>
      </c>
      <c r="B57" s="88" t="s">
        <v>698</v>
      </c>
      <c r="C57" s="88"/>
      <c r="D57" s="88"/>
      <c r="E57" s="88"/>
      <c r="F57" s="88"/>
      <c r="G57" s="88"/>
      <c r="H57" s="88"/>
      <c r="I57" s="88"/>
      <c r="J57" s="88"/>
      <c r="K57" s="88"/>
    </row>
    <row r="58" spans="1:11" x14ac:dyDescent="0.35">
      <c r="A58" s="88" t="s">
        <v>699</v>
      </c>
      <c r="B58" s="88" t="s">
        <v>700</v>
      </c>
      <c r="C58" s="88"/>
      <c r="D58" s="88"/>
      <c r="E58" s="88"/>
      <c r="F58" s="88"/>
      <c r="G58" s="88"/>
      <c r="H58" s="88"/>
      <c r="I58" s="88"/>
      <c r="J58" s="88"/>
      <c r="K58" s="88"/>
    </row>
    <row r="59" spans="1:11" x14ac:dyDescent="0.35">
      <c r="A59" s="88" t="s">
        <v>701</v>
      </c>
      <c r="B59" s="90">
        <f>IF(OR(C20="",E55=""),"",C20-E55)</f>
        <v>0</v>
      </c>
      <c r="C59" s="88" t="s">
        <v>702</v>
      </c>
      <c r="D59" s="88"/>
      <c r="E59" s="88"/>
      <c r="F59" s="88"/>
      <c r="G59" s="88"/>
      <c r="H59" s="88"/>
      <c r="I59" s="88"/>
      <c r="J59" s="88"/>
      <c r="K59" s="88"/>
    </row>
    <row r="60" spans="1:11" x14ac:dyDescent="0.35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</row>
    <row r="61" spans="1:11" x14ac:dyDescent="0.35">
      <c r="A61" s="89" t="s">
        <v>703</v>
      </c>
      <c r="B61" s="88"/>
      <c r="C61" s="88"/>
      <c r="D61" s="88"/>
      <c r="E61" s="88"/>
      <c r="F61" s="88"/>
      <c r="G61" s="88"/>
      <c r="H61" s="88"/>
      <c r="I61" s="88"/>
      <c r="J61" s="88"/>
      <c r="K61" s="88"/>
    </row>
    <row r="62" spans="1:11" x14ac:dyDescent="0.35">
      <c r="A62" s="88" t="s">
        <v>704</v>
      </c>
      <c r="B62" s="91">
        <v>0</v>
      </c>
      <c r="C62" s="88" t="s">
        <v>705</v>
      </c>
      <c r="D62" s="88"/>
      <c r="E62" s="88"/>
      <c r="F62" s="88"/>
      <c r="G62" s="88"/>
      <c r="H62" s="88"/>
      <c r="I62" s="88"/>
      <c r="J62" s="88"/>
      <c r="K62" s="88"/>
    </row>
    <row r="63" spans="1:11" x14ac:dyDescent="0.35">
      <c r="A63" s="88" t="s">
        <v>706</v>
      </c>
      <c r="B63" s="91">
        <f>E55</f>
        <v>0</v>
      </c>
      <c r="C63" s="88"/>
      <c r="D63" s="88"/>
      <c r="E63" s="88"/>
      <c r="F63" s="88"/>
      <c r="G63" s="88"/>
      <c r="H63" s="88"/>
      <c r="I63" s="88"/>
      <c r="J63" s="88"/>
      <c r="K63" s="88"/>
    </row>
    <row r="64" spans="1:11" x14ac:dyDescent="0.35">
      <c r="A64" s="88" t="s">
        <v>707</v>
      </c>
      <c r="B64" s="92">
        <f>IF(B63="","",B63-B62)</f>
        <v>0</v>
      </c>
      <c r="C64" s="88"/>
      <c r="D64" s="88"/>
      <c r="E64" s="88"/>
      <c r="F64" s="88"/>
      <c r="G64" s="88"/>
      <c r="H64" s="88"/>
      <c r="I64" s="88"/>
      <c r="J64" s="88"/>
      <c r="K64" s="88"/>
    </row>
    <row r="65" spans="1:11" x14ac:dyDescent="0.35">
      <c r="A65" s="88"/>
      <c r="B65" s="90"/>
      <c r="C65" s="88"/>
      <c r="D65" s="88"/>
      <c r="E65" s="88"/>
      <c r="F65" s="88"/>
      <c r="G65" s="88"/>
      <c r="H65" s="88"/>
      <c r="I65" s="88"/>
      <c r="J65" s="88"/>
      <c r="K65" s="88"/>
    </row>
    <row r="66" spans="1:11" x14ac:dyDescent="0.35">
      <c r="A66" s="88" t="s">
        <v>708</v>
      </c>
      <c r="B66" s="92" t="str">
        <f>IF(OR(B64="",$C$7=""),"",IF(B64&gt;0,B64*$C$7,0))</f>
        <v/>
      </c>
      <c r="C66" s="88" t="s">
        <v>709</v>
      </c>
      <c r="D66" s="88"/>
      <c r="E66" s="88"/>
      <c r="F66" s="88"/>
      <c r="G66" s="88"/>
      <c r="H66" s="88"/>
      <c r="I66" s="88"/>
      <c r="J66" s="88"/>
      <c r="K66" s="88"/>
    </row>
    <row r="67" spans="1:11" x14ac:dyDescent="0.35">
      <c r="A67" s="87" t="s">
        <v>710</v>
      </c>
      <c r="B67" s="92" t="str">
        <f>IF(OR(B64="",$C$8=""),"",IF(B64&lt;0,ABS(B64)*$C$8,0))</f>
        <v/>
      </c>
      <c r="C67" s="88" t="s">
        <v>711</v>
      </c>
      <c r="D67" s="88"/>
      <c r="E67" s="88"/>
      <c r="F67" s="88"/>
      <c r="G67" s="88"/>
      <c r="H67" s="88"/>
      <c r="I67" s="88"/>
      <c r="J67" s="88"/>
      <c r="K67" s="88"/>
    </row>
    <row r="68" spans="1:11" x14ac:dyDescent="0.35">
      <c r="A68" s="88" t="s">
        <v>712</v>
      </c>
      <c r="B68" s="92">
        <f>IF(OR(E55="",B55=""),"",E55*B55/4)</f>
        <v>0</v>
      </c>
      <c r="C68" s="88" t="s">
        <v>713</v>
      </c>
      <c r="D68" s="88"/>
      <c r="E68" s="88"/>
      <c r="F68" s="88"/>
      <c r="G68" s="88"/>
      <c r="H68" s="88"/>
      <c r="I68" s="88"/>
      <c r="J68" s="88"/>
      <c r="K68" s="88"/>
    </row>
    <row r="69" spans="1:11" x14ac:dyDescent="0.35">
      <c r="A69" s="88" t="s">
        <v>714</v>
      </c>
      <c r="B69" s="93">
        <f>IF(COUNT(B66:B68)=0,"",SUM(B66:B68))</f>
        <v>0</v>
      </c>
      <c r="C69" s="88"/>
      <c r="D69" s="88"/>
      <c r="E69" s="88"/>
      <c r="F69" s="88"/>
      <c r="G69" s="88"/>
      <c r="H69" s="88"/>
      <c r="I69" s="88"/>
      <c r="J69" s="88"/>
      <c r="K69" s="88"/>
    </row>
    <row r="70" spans="1:11" x14ac:dyDescent="0.35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x14ac:dyDescent="0.35">
      <c r="A71" s="88" t="s">
        <v>715</v>
      </c>
      <c r="B71" s="88" t="s">
        <v>716</v>
      </c>
      <c r="C71" s="88"/>
      <c r="D71" s="88"/>
      <c r="E71" s="88"/>
      <c r="F71" s="88"/>
      <c r="G71" s="88"/>
      <c r="H71" s="88"/>
      <c r="I71" s="88"/>
      <c r="J71" s="88"/>
      <c r="K71" s="88"/>
    </row>
    <row r="72" spans="1:11" x14ac:dyDescent="0.35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</row>
    <row r="73" spans="1:11" x14ac:dyDescent="0.35">
      <c r="A73" s="87" t="s">
        <v>717</v>
      </c>
      <c r="B73" s="88"/>
      <c r="C73" s="88"/>
      <c r="D73" s="88"/>
      <c r="E73" s="88"/>
      <c r="F73" s="88"/>
      <c r="G73" s="88"/>
      <c r="H73" s="88"/>
      <c r="I73" s="88"/>
      <c r="J73" s="88"/>
      <c r="K73" s="88"/>
    </row>
    <row r="74" spans="1:11" x14ac:dyDescent="0.35">
      <c r="A74" s="68" t="s">
        <v>718</v>
      </c>
      <c r="B74" s="94" t="str">
        <f>IF(Web_Productivity!B10="","",Web_Productivity!B10)</f>
        <v/>
      </c>
      <c r="C74" s="68" t="s">
        <v>719</v>
      </c>
      <c r="D74" s="68" t="s">
        <v>720</v>
      </c>
      <c r="E74" s="68" t="s">
        <v>12</v>
      </c>
    </row>
    <row r="75" spans="1:11" x14ac:dyDescent="0.35">
      <c r="A75" s="72" t="s">
        <v>721</v>
      </c>
      <c r="B75" s="72" t="s">
        <v>722</v>
      </c>
      <c r="C75" s="72"/>
      <c r="D75" s="72"/>
      <c r="E75" s="72"/>
    </row>
    <row r="76" spans="1:11" x14ac:dyDescent="0.35">
      <c r="A76" s="72" t="s">
        <v>723</v>
      </c>
      <c r="B76" s="72" t="s">
        <v>724</v>
      </c>
      <c r="C76" s="72"/>
      <c r="D76" s="72"/>
      <c r="E76" s="72"/>
    </row>
    <row r="77" spans="1:11" x14ac:dyDescent="0.35">
      <c r="A77" s="72" t="s">
        <v>725</v>
      </c>
      <c r="B77" s="72" t="s">
        <v>726</v>
      </c>
      <c r="C77" s="72"/>
      <c r="D77" s="72"/>
      <c r="E77" s="72"/>
    </row>
    <row r="78" spans="1:11" x14ac:dyDescent="0.35">
      <c r="A78" s="72"/>
      <c r="B78" s="72"/>
      <c r="C78" s="72"/>
      <c r="D78" s="72"/>
      <c r="E78" s="72"/>
    </row>
    <row r="79" spans="1:11" x14ac:dyDescent="0.35">
      <c r="A79" s="72"/>
      <c r="B79" s="72"/>
      <c r="C79" s="72"/>
      <c r="D79" s="72"/>
      <c r="E79" s="72"/>
    </row>
    <row r="80" spans="1:11" x14ac:dyDescent="0.35">
      <c r="A80" t="s">
        <v>727</v>
      </c>
      <c r="B80" s="71" t="str">
        <f>B74</f>
        <v/>
      </c>
    </row>
    <row r="82" spans="1:3" x14ac:dyDescent="0.35">
      <c r="A82" s="64" t="s">
        <v>728</v>
      </c>
    </row>
    <row r="83" spans="1:3" x14ac:dyDescent="0.35">
      <c r="A83" t="s">
        <v>729</v>
      </c>
      <c r="B83" s="72"/>
      <c r="C83" t="s">
        <v>730</v>
      </c>
    </row>
    <row r="84" spans="1:3" x14ac:dyDescent="0.35">
      <c r="A84" t="s">
        <v>731</v>
      </c>
      <c r="B84" s="72"/>
      <c r="C84" t="s">
        <v>732</v>
      </c>
    </row>
    <row r="85" spans="1:3" x14ac:dyDescent="0.35">
      <c r="A85" t="s">
        <v>733</v>
      </c>
      <c r="B85" s="71" t="str">
        <f>IF(B84="","",IF(OR(LOWER(B84)="new york city",LOWER(B84)="nyc"),Stores_Costs!C6,IF(OR(LOWER(B84)="rio de janeiro",LOWER(B84)="rio"),Stores_Costs!C7,IF(LOWER(B84)="bangalore",Stores_Costs!C9,""))))</f>
        <v/>
      </c>
    </row>
    <row r="86" spans="1:3" x14ac:dyDescent="0.35">
      <c r="A86" t="s">
        <v>734</v>
      </c>
      <c r="B86" s="71" t="str">
        <f>IF(B84="","",IF(OR(LOWER(B84)="new york city",LOWER(B84)="nyc"),Stores_Costs!D6,IF(OR(LOWER(B84)="rio de janeiro",LOWER(B84)="rio"),Stores_Costs!D7,IF(LOWER(B84)="bangalore",Stores_Costs!D9,""))))</f>
        <v/>
      </c>
    </row>
    <row r="88" spans="1:3" x14ac:dyDescent="0.35">
      <c r="A88" s="64" t="s">
        <v>735</v>
      </c>
    </row>
    <row r="89" spans="1:3" x14ac:dyDescent="0.35">
      <c r="A89" t="s">
        <v>736</v>
      </c>
      <c r="B89">
        <f>IF(Demand_Forecast!B12="","",Demand_Forecast!B12)</f>
        <v>0</v>
      </c>
    </row>
    <row r="90" spans="1:3" x14ac:dyDescent="0.35">
      <c r="A90" t="s">
        <v>737</v>
      </c>
      <c r="B90" s="75" t="str">
        <f>IF(Demand_Forecast!I34="","",Demand_Forecast!I34)</f>
        <v/>
      </c>
    </row>
    <row r="91" spans="1:3" x14ac:dyDescent="0.35">
      <c r="A91" t="s">
        <v>738</v>
      </c>
      <c r="B91">
        <f>Market_Potential!C7/4</f>
        <v>861.75</v>
      </c>
    </row>
    <row r="93" spans="1:3" x14ac:dyDescent="0.35">
      <c r="A93" t="s">
        <v>739</v>
      </c>
      <c r="B93" t="s">
        <v>740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0"/>
  <sheetViews>
    <sheetView workbookViewId="0"/>
  </sheetViews>
  <sheetFormatPr defaultRowHeight="14.5" x14ac:dyDescent="0.35"/>
  <cols>
    <col min="1" max="1" width="55" customWidth="1"/>
    <col min="2" max="5" width="12" customWidth="1"/>
    <col min="6" max="6" width="16" customWidth="1"/>
    <col min="7" max="7" width="22" customWidth="1"/>
    <col min="8" max="9" width="14" customWidth="1"/>
  </cols>
  <sheetData>
    <row r="1" spans="1:9" ht="18.5" x14ac:dyDescent="0.45">
      <c r="A1" s="67" t="s">
        <v>741</v>
      </c>
    </row>
    <row r="2" spans="1:9" x14ac:dyDescent="0.35">
      <c r="A2" t="s">
        <v>742</v>
      </c>
    </row>
    <row r="3" spans="1:9" x14ac:dyDescent="0.35">
      <c r="A3" t="s">
        <v>743</v>
      </c>
    </row>
    <row r="5" spans="1:9" x14ac:dyDescent="0.35">
      <c r="A5" s="64" t="s">
        <v>744</v>
      </c>
    </row>
    <row r="6" spans="1:9" x14ac:dyDescent="0.35">
      <c r="A6" s="68" t="s">
        <v>745</v>
      </c>
      <c r="B6" s="68" t="s">
        <v>746</v>
      </c>
      <c r="C6" s="68" t="s">
        <v>747</v>
      </c>
      <c r="D6" s="68" t="s">
        <v>321</v>
      </c>
      <c r="E6" s="68" t="s">
        <v>748</v>
      </c>
      <c r="F6" s="68" t="s">
        <v>749</v>
      </c>
      <c r="G6" s="68" t="s">
        <v>750</v>
      </c>
      <c r="H6" s="68" t="s">
        <v>751</v>
      </c>
      <c r="I6" s="68" t="s">
        <v>752</v>
      </c>
    </row>
    <row r="7" spans="1:9" x14ac:dyDescent="0.35">
      <c r="A7" s="75" t="s">
        <v>753</v>
      </c>
      <c r="B7" s="72"/>
      <c r="C7" s="72"/>
      <c r="D7" s="75" t="str">
        <f>IF(OR(UPPER(B7)="Y",UPPER(B7)="YES"),"Active",IF(OR(UPPER(C7)="Y",UPPER(C7)="YES"),"Stopped","—"))</f>
        <v>—</v>
      </c>
      <c r="E7" s="70">
        <v>3000</v>
      </c>
      <c r="F7" s="73">
        <v>3000</v>
      </c>
      <c r="G7" s="95" t="str">
        <f>IF(OR(D7&lt;&gt;"Active",F7=""),"",IF(F7&lt;=1500,0.22,IF(F7&lt;=4000,0.31,IF(F7&lt;=7500,0.35,IF(F7&lt;=12500,0.415,IF(F7&lt;=17500,0.44,IF(F7&lt;=25000,0.45,0.465)))))))</f>
        <v/>
      </c>
      <c r="H7" s="72"/>
      <c r="I7" s="96" t="str">
        <f>IF(D7&lt;&gt;"Active","",IF(OR(UPPER(H7)="Y",UPPER(H7)="YES"),E7+F7,F7))</f>
        <v/>
      </c>
    </row>
    <row r="8" spans="1:9" x14ac:dyDescent="0.35">
      <c r="A8" s="75" t="s">
        <v>754</v>
      </c>
      <c r="B8" s="72"/>
      <c r="C8" s="72"/>
      <c r="D8" s="75" t="str">
        <f>IF(OR(UPPER(B8)="Y",UPPER(B8)="YES"),"Active",IF(OR(UPPER(C8)="Y",UPPER(C8)="YES"),"Stopped","—"))</f>
        <v>—</v>
      </c>
      <c r="E8" s="70">
        <v>6000</v>
      </c>
      <c r="F8" s="73">
        <v>6000</v>
      </c>
      <c r="G8" s="95" t="str">
        <f>IF(OR(D8&lt;&gt;"Active",F8=""),"",IF(F8&lt;=1500,0.12,IF(F8&lt;=4000,0.16,IF(F8&lt;=7500,0.185,IF(F8&lt;=12500,0.235,IF(F8&lt;=17500,0.26,IF(F8&lt;=25000,0.275,0.295)))))))</f>
        <v/>
      </c>
      <c r="H8" s="72"/>
      <c r="I8" s="96" t="str">
        <f>IF(D8&lt;&gt;"Active","",IF(OR(UPPER(H8)="Y",UPPER(H8)="YES"),E8+F8,F8))</f>
        <v/>
      </c>
    </row>
    <row r="10" spans="1:9" x14ac:dyDescent="0.35">
      <c r="A10" t="s">
        <v>755</v>
      </c>
      <c r="B10" s="97" t="str">
        <f>IF(COUNT(I7:I8)=0,"",SUM(I7:I8))</f>
        <v/>
      </c>
      <c r="C10" t="s">
        <v>756</v>
      </c>
    </row>
    <row r="12" spans="1:9" x14ac:dyDescent="0.35">
      <c r="A12" s="64" t="s">
        <v>757</v>
      </c>
    </row>
    <row r="13" spans="1:9" x14ac:dyDescent="0.35">
      <c r="A13" t="s">
        <v>758</v>
      </c>
    </row>
    <row r="14" spans="1:9" x14ac:dyDescent="0.35">
      <c r="A14" t="s">
        <v>759</v>
      </c>
    </row>
    <row r="15" spans="1:9" x14ac:dyDescent="0.35">
      <c r="A15" t="s">
        <v>760</v>
      </c>
    </row>
    <row r="16" spans="1:9" x14ac:dyDescent="0.35">
      <c r="A16" t="s">
        <v>761</v>
      </c>
    </row>
    <row r="17" spans="1:3" x14ac:dyDescent="0.35">
      <c r="A17" t="s">
        <v>762</v>
      </c>
    </row>
    <row r="19" spans="1:3" x14ac:dyDescent="0.35">
      <c r="A19" s="64" t="s">
        <v>763</v>
      </c>
    </row>
    <row r="20" spans="1:3" x14ac:dyDescent="0.35">
      <c r="A20" s="68" t="s">
        <v>749</v>
      </c>
      <c r="B20" s="68" t="s">
        <v>764</v>
      </c>
      <c r="C20" s="68" t="s">
        <v>765</v>
      </c>
    </row>
    <row r="21" spans="1:3" x14ac:dyDescent="0.35">
      <c r="A21" s="70">
        <v>0</v>
      </c>
      <c r="B21" s="95">
        <v>0</v>
      </c>
      <c r="C21" s="95">
        <v>0</v>
      </c>
    </row>
    <row r="22" spans="1:3" x14ac:dyDescent="0.35">
      <c r="A22" s="70">
        <v>3000</v>
      </c>
      <c r="B22" s="95">
        <v>0.31</v>
      </c>
      <c r="C22" s="95">
        <v>0.16</v>
      </c>
    </row>
    <row r="23" spans="1:3" x14ac:dyDescent="0.35">
      <c r="A23" s="70">
        <v>5000</v>
      </c>
      <c r="B23" s="95">
        <v>0.35</v>
      </c>
      <c r="C23" s="95">
        <v>0.185</v>
      </c>
    </row>
    <row r="24" spans="1:3" x14ac:dyDescent="0.35">
      <c r="A24" s="70">
        <v>10000</v>
      </c>
      <c r="B24" s="95">
        <v>0.41499999999999998</v>
      </c>
      <c r="C24" s="95">
        <v>0.23499999999999999</v>
      </c>
    </row>
    <row r="25" spans="1:3" x14ac:dyDescent="0.35">
      <c r="A25" s="70">
        <v>15000</v>
      </c>
      <c r="B25" s="95">
        <v>0.44</v>
      </c>
      <c r="C25" s="95">
        <v>0.26</v>
      </c>
    </row>
    <row r="26" spans="1:3" x14ac:dyDescent="0.35">
      <c r="A26" s="70">
        <v>20000</v>
      </c>
      <c r="B26" s="95">
        <v>0.45</v>
      </c>
      <c r="C26" s="95">
        <v>0.27500000000000002</v>
      </c>
    </row>
    <row r="27" spans="1:3" x14ac:dyDescent="0.35">
      <c r="A27" s="70">
        <v>30000</v>
      </c>
      <c r="B27" s="95">
        <v>0.46500000000000002</v>
      </c>
      <c r="C27" s="95">
        <v>0.29499999999999998</v>
      </c>
    </row>
    <row r="29" spans="1:3" x14ac:dyDescent="0.35">
      <c r="A29" t="s">
        <v>77</v>
      </c>
      <c r="B29" t="s">
        <v>766</v>
      </c>
    </row>
    <row r="30" spans="1:3" x14ac:dyDescent="0.35">
      <c r="A30" t="s">
        <v>767</v>
      </c>
      <c r="B30" t="s">
        <v>768</v>
      </c>
    </row>
  </sheetData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41"/>
  <sheetViews>
    <sheetView tabSelected="1" workbookViewId="0">
      <selection activeCell="P13" sqref="P13"/>
    </sheetView>
  </sheetViews>
  <sheetFormatPr defaultRowHeight="14.5" x14ac:dyDescent="0.35"/>
  <cols>
    <col min="1" max="1" width="28" customWidth="1"/>
    <col min="2" max="2" width="10" customWidth="1"/>
    <col min="3" max="3" width="12" customWidth="1"/>
    <col min="4" max="4" width="3" customWidth="1"/>
    <col min="5" max="5" width="28" customWidth="1"/>
    <col min="6" max="6" width="10" customWidth="1"/>
    <col min="7" max="7" width="12" customWidth="1"/>
    <col min="8" max="8" width="3" customWidth="1"/>
    <col min="9" max="9" width="28" customWidth="1"/>
    <col min="10" max="10" width="10" customWidth="1"/>
    <col min="11" max="11" width="12" customWidth="1"/>
  </cols>
  <sheetData>
    <row r="1" spans="1:11" ht="18.5" customHeight="1" x14ac:dyDescent="0.45">
      <c r="A1" s="4" t="s">
        <v>769</v>
      </c>
    </row>
    <row r="2" spans="1:11" x14ac:dyDescent="0.35">
      <c r="A2" s="1" t="s">
        <v>770</v>
      </c>
    </row>
    <row r="4" spans="1:11" x14ac:dyDescent="0.35">
      <c r="A4" s="12" t="s">
        <v>771</v>
      </c>
      <c r="E4" s="12" t="s">
        <v>772</v>
      </c>
      <c r="I4" s="12" t="s">
        <v>773</v>
      </c>
    </row>
    <row r="5" spans="1:11" x14ac:dyDescent="0.35">
      <c r="A5" s="2" t="s">
        <v>774</v>
      </c>
      <c r="B5" s="2" t="s">
        <v>775</v>
      </c>
      <c r="C5" s="2" t="s">
        <v>776</v>
      </c>
      <c r="E5" s="2" t="s">
        <v>774</v>
      </c>
      <c r="F5" s="2" t="s">
        <v>775</v>
      </c>
      <c r="G5" s="2" t="s">
        <v>776</v>
      </c>
      <c r="I5" s="2" t="s">
        <v>774</v>
      </c>
      <c r="J5" s="2" t="s">
        <v>775</v>
      </c>
      <c r="K5" s="2" t="s">
        <v>776</v>
      </c>
    </row>
    <row r="6" spans="1:11" x14ac:dyDescent="0.35">
      <c r="A6" s="13" t="str">
        <f>Needs!A5</f>
        <v>Colorful</v>
      </c>
      <c r="B6" s="13">
        <f>Needs!B5</f>
        <v>116</v>
      </c>
      <c r="C6" s="13" t="str">
        <f>Needs!F5</f>
        <v>IMPORTANT</v>
      </c>
      <c r="E6" s="13" t="str">
        <f>Needs!A5</f>
        <v>Colorful</v>
      </c>
      <c r="F6" s="13">
        <f>Needs!C5</f>
        <v>120</v>
      </c>
      <c r="G6" s="13" t="str">
        <f>Needs!G5</f>
        <v>IMPORTANT</v>
      </c>
      <c r="I6" s="13" t="str">
        <f>Needs!A5</f>
        <v>Colorful</v>
      </c>
      <c r="J6" s="13">
        <f>Needs!D5</f>
        <v>109</v>
      </c>
      <c r="K6" s="13" t="str">
        <f>Needs!H5</f>
        <v/>
      </c>
    </row>
    <row r="7" spans="1:11" x14ac:dyDescent="0.35">
      <c r="A7" s="13" t="str">
        <f>Needs!A6</f>
        <v>Fits rider's personality</v>
      </c>
      <c r="B7" s="13">
        <f>Needs!B6</f>
        <v>116</v>
      </c>
      <c r="C7" s="13" t="str">
        <f>Needs!F6</f>
        <v>IMPORTANT</v>
      </c>
      <c r="E7" s="13" t="str">
        <f>Needs!A6</f>
        <v>Fits rider's personality</v>
      </c>
      <c r="F7" s="13">
        <f>Needs!C6</f>
        <v>113</v>
      </c>
      <c r="G7" s="13" t="str">
        <f>Needs!G6</f>
        <v>IMPORTANT</v>
      </c>
      <c r="I7" s="13" t="str">
        <f>Needs!A6</f>
        <v>Fits rider's personality</v>
      </c>
      <c r="J7" s="13">
        <f>Needs!D6</f>
        <v>116</v>
      </c>
      <c r="K7" s="13" t="str">
        <f>Needs!H6</f>
        <v>IMPORTANT</v>
      </c>
    </row>
    <row r="8" spans="1:11" x14ac:dyDescent="0.35">
      <c r="A8" s="13" t="str">
        <f>Needs!A7</f>
        <v>Simple to use</v>
      </c>
      <c r="B8" s="13">
        <f>Needs!B7</f>
        <v>121</v>
      </c>
      <c r="C8" s="13" t="str">
        <f>Needs!F7</f>
        <v>IMPORTANT</v>
      </c>
      <c r="E8" s="13" t="str">
        <f>Needs!A7</f>
        <v>Simple to use</v>
      </c>
      <c r="F8" s="13">
        <f>Needs!C7</f>
        <v>102</v>
      </c>
      <c r="G8" s="13" t="str">
        <f>Needs!G7</f>
        <v/>
      </c>
      <c r="I8" s="13" t="str">
        <f>Needs!A7</f>
        <v>Simple to use</v>
      </c>
      <c r="J8" s="13">
        <f>Needs!D7</f>
        <v>69</v>
      </c>
      <c r="K8" s="13" t="str">
        <f>Needs!H7</f>
        <v>CAUTION</v>
      </c>
    </row>
    <row r="9" spans="1:11" x14ac:dyDescent="0.35">
      <c r="A9" s="13" t="str">
        <f>Needs!A8</f>
        <v>Safety</v>
      </c>
      <c r="B9" s="13">
        <f>Needs!B8</f>
        <v>121</v>
      </c>
      <c r="C9" s="13" t="str">
        <f>Needs!F8</f>
        <v>IMPORTANT</v>
      </c>
      <c r="E9" s="13" t="str">
        <f>Needs!A8</f>
        <v>Safety</v>
      </c>
      <c r="F9" s="13">
        <f>Needs!C8</f>
        <v>112</v>
      </c>
      <c r="G9" s="13" t="str">
        <f>Needs!G8</f>
        <v>IMPORTANT</v>
      </c>
      <c r="I9" s="13" t="str">
        <f>Needs!A8</f>
        <v>Safety</v>
      </c>
      <c r="J9" s="13">
        <f>Needs!D8</f>
        <v>113</v>
      </c>
      <c r="K9" s="13" t="str">
        <f>Needs!H8</f>
        <v>IMPORTANT</v>
      </c>
    </row>
    <row r="10" spans="1:11" x14ac:dyDescent="0.35">
      <c r="A10" s="13" t="str">
        <f>Needs!A9</f>
        <v>Low price point</v>
      </c>
      <c r="B10" s="13">
        <f>Needs!B9</f>
        <v>117</v>
      </c>
      <c r="C10" s="13" t="str">
        <f>Needs!F9</f>
        <v>IMPORTANT</v>
      </c>
      <c r="E10" s="13" t="str">
        <f>Needs!A9</f>
        <v>Low price point</v>
      </c>
      <c r="F10" s="13">
        <f>Needs!C9</f>
        <v>98</v>
      </c>
      <c r="G10" s="13" t="str">
        <f>Needs!G9</f>
        <v>CAUTION</v>
      </c>
      <c r="I10" s="13" t="str">
        <f>Needs!A9</f>
        <v>Low price point</v>
      </c>
      <c r="J10" s="13">
        <f>Needs!D9</f>
        <v>70</v>
      </c>
      <c r="K10" s="13" t="str">
        <f>Needs!H9</f>
        <v>CAUTION</v>
      </c>
    </row>
    <row r="11" spans="1:11" x14ac:dyDescent="0.35">
      <c r="A11" s="13" t="str">
        <f>Needs!A10</f>
        <v>Sleek</v>
      </c>
      <c r="B11" s="13">
        <f>Needs!B10</f>
        <v>104</v>
      </c>
      <c r="C11" s="13" t="str">
        <f>Needs!F10</f>
        <v/>
      </c>
      <c r="E11" s="13" t="str">
        <f>Needs!A10</f>
        <v>Sleek</v>
      </c>
      <c r="F11" s="13">
        <f>Needs!C10</f>
        <v>83</v>
      </c>
      <c r="G11" s="13" t="str">
        <f>Needs!G10</f>
        <v>CAUTION</v>
      </c>
      <c r="I11" s="13" t="str">
        <f>Needs!A10</f>
        <v>Sleek</v>
      </c>
      <c r="J11" s="13">
        <f>Needs!D10</f>
        <v>119</v>
      </c>
      <c r="K11" s="13" t="str">
        <f>Needs!H10</f>
        <v>IMPORTANT</v>
      </c>
    </row>
    <row r="12" spans="1:11" x14ac:dyDescent="0.35">
      <c r="A12" s="13" t="str">
        <f>Needs!A11</f>
        <v>Stylish</v>
      </c>
      <c r="B12" s="13">
        <f>Needs!B11</f>
        <v>111</v>
      </c>
      <c r="C12" s="13" t="str">
        <f>Needs!F11</f>
        <v>IMPORTANT</v>
      </c>
      <c r="E12" s="13" t="str">
        <f>Needs!A11</f>
        <v>Stylish</v>
      </c>
      <c r="F12" s="13">
        <f>Needs!C11</f>
        <v>118</v>
      </c>
      <c r="G12" s="13" t="str">
        <f>Needs!G11</f>
        <v>IMPORTANT</v>
      </c>
      <c r="I12" s="13" t="str">
        <f>Needs!A11</f>
        <v>Stylish</v>
      </c>
      <c r="J12" s="13">
        <f>Needs!D11</f>
        <v>116</v>
      </c>
      <c r="K12" s="13" t="str">
        <f>Needs!H11</f>
        <v>IMPORTANT</v>
      </c>
    </row>
    <row r="13" spans="1:11" x14ac:dyDescent="0.35">
      <c r="A13" s="13" t="str">
        <f>Needs!A12</f>
        <v>Easy to ride</v>
      </c>
      <c r="B13" s="13">
        <f>Needs!B12</f>
        <v>124</v>
      </c>
      <c r="C13" s="13" t="str">
        <f>Needs!F12</f>
        <v>IMPORTANT</v>
      </c>
      <c r="E13" s="13" t="str">
        <f>Needs!A12</f>
        <v>Easy to ride</v>
      </c>
      <c r="F13" s="13">
        <f>Needs!C12</f>
        <v>100</v>
      </c>
      <c r="G13" s="13" t="str">
        <f>Needs!G12</f>
        <v/>
      </c>
      <c r="I13" s="13" t="str">
        <f>Needs!A12</f>
        <v>Easy to ride</v>
      </c>
      <c r="J13" s="13">
        <f>Needs!D12</f>
        <v>102</v>
      </c>
      <c r="K13" s="13" t="str">
        <f>Needs!H12</f>
        <v/>
      </c>
    </row>
    <row r="14" spans="1:11" x14ac:dyDescent="0.35">
      <c r="A14" s="13" t="str">
        <f>Needs!A13</f>
        <v>Comfortable</v>
      </c>
      <c r="B14" s="13">
        <f>Needs!B13</f>
        <v>124</v>
      </c>
      <c r="C14" s="13" t="str">
        <f>Needs!F13</f>
        <v>IMPORTANT</v>
      </c>
      <c r="E14" s="13" t="str">
        <f>Needs!A13</f>
        <v>Comfortable</v>
      </c>
      <c r="F14" s="13">
        <f>Needs!C13</f>
        <v>95</v>
      </c>
      <c r="G14" s="13" t="str">
        <f>Needs!G13</f>
        <v>CAUTION</v>
      </c>
      <c r="I14" s="13" t="str">
        <f>Needs!A13</f>
        <v>Comfortable</v>
      </c>
      <c r="J14" s="13">
        <f>Needs!D13</f>
        <v>101</v>
      </c>
      <c r="K14" s="13" t="str">
        <f>Needs!H13</f>
        <v/>
      </c>
    </row>
    <row r="15" spans="1:11" x14ac:dyDescent="0.35">
      <c r="A15" s="13" t="str">
        <f>Needs!A14</f>
        <v>Soft ride</v>
      </c>
      <c r="B15" s="13">
        <f>Needs!B14</f>
        <v>115</v>
      </c>
      <c r="C15" s="13" t="str">
        <f>Needs!F14</f>
        <v>IMPORTANT</v>
      </c>
      <c r="E15" s="13" t="str">
        <f>Needs!A14</f>
        <v>Soft ride</v>
      </c>
      <c r="F15" s="13">
        <f>Needs!C14</f>
        <v>89</v>
      </c>
      <c r="G15" s="13" t="str">
        <f>Needs!G14</f>
        <v>CAUTION</v>
      </c>
      <c r="I15" s="13" t="str">
        <f>Needs!A14</f>
        <v>Soft ride</v>
      </c>
      <c r="J15" s="13">
        <f>Needs!D14</f>
        <v>87</v>
      </c>
      <c r="K15" s="13" t="str">
        <f>Needs!H14</f>
        <v>CAUTION</v>
      </c>
    </row>
    <row r="16" spans="1:11" x14ac:dyDescent="0.35">
      <c r="A16" s="13" t="str">
        <f>Needs!A15</f>
        <v>Repair, parts, support nearby</v>
      </c>
      <c r="B16" s="13">
        <f>Needs!B15</f>
        <v>119</v>
      </c>
      <c r="C16" s="13" t="str">
        <f>Needs!F15</f>
        <v>IMPORTANT</v>
      </c>
      <c r="E16" s="13" t="str">
        <f>Needs!A15</f>
        <v>Repair, parts, support nearby</v>
      </c>
      <c r="F16" s="13">
        <f>Needs!C15</f>
        <v>121</v>
      </c>
      <c r="G16" s="13" t="str">
        <f>Needs!G15</f>
        <v>IMPORTANT</v>
      </c>
      <c r="I16" s="13" t="str">
        <f>Needs!A15</f>
        <v>Repair, parts, support nearby</v>
      </c>
      <c r="J16" s="13">
        <f>Needs!D15</f>
        <v>120</v>
      </c>
      <c r="K16" s="13" t="str">
        <f>Needs!H15</f>
        <v>IMPORTANT</v>
      </c>
    </row>
    <row r="17" spans="1:11" x14ac:dyDescent="0.35">
      <c r="A17" s="13" t="str">
        <f>Needs!A16</f>
        <v>Can handle rough terrain</v>
      </c>
      <c r="B17" s="13">
        <f>Needs!B16</f>
        <v>111</v>
      </c>
      <c r="C17" s="13" t="str">
        <f>Needs!F16</f>
        <v>IMPORTANT</v>
      </c>
      <c r="E17" s="13" t="str">
        <f>Needs!A16</f>
        <v>Can handle rough terrain</v>
      </c>
      <c r="F17" s="13">
        <f>Needs!C16</f>
        <v>128</v>
      </c>
      <c r="G17" s="13" t="str">
        <f>Needs!G16</f>
        <v>IMPORTANT</v>
      </c>
      <c r="I17" s="13" t="str">
        <f>Needs!A16</f>
        <v>Can handle rough terrain</v>
      </c>
      <c r="J17" s="13">
        <f>Needs!D16</f>
        <v>82</v>
      </c>
      <c r="K17" s="13" t="str">
        <f>Needs!H16</f>
        <v>CAUTION</v>
      </c>
    </row>
    <row r="18" spans="1:11" x14ac:dyDescent="0.35">
      <c r="A18" s="13" t="str">
        <f>Needs!A17</f>
        <v>Can stop quickly</v>
      </c>
      <c r="B18" s="13">
        <f>Needs!B17</f>
        <v>114</v>
      </c>
      <c r="C18" s="13" t="str">
        <f>Needs!F17</f>
        <v>IMPORTANT</v>
      </c>
      <c r="E18" s="13" t="str">
        <f>Needs!A17</f>
        <v>Can stop quickly</v>
      </c>
      <c r="F18" s="13">
        <f>Needs!C17</f>
        <v>123</v>
      </c>
      <c r="G18" s="13" t="str">
        <f>Needs!G17</f>
        <v>IMPORTANT</v>
      </c>
      <c r="I18" s="13" t="str">
        <f>Needs!A17</f>
        <v>Can stop quickly</v>
      </c>
      <c r="J18" s="13">
        <f>Needs!D17</f>
        <v>110</v>
      </c>
      <c r="K18" s="13" t="str">
        <f>Needs!H17</f>
        <v>IMPORTANT</v>
      </c>
    </row>
    <row r="19" spans="1:11" x14ac:dyDescent="0.35">
      <c r="A19" s="13" t="str">
        <f>Needs!A18</f>
        <v>Precise speed control-turns, hills</v>
      </c>
      <c r="B19" s="13">
        <f>Needs!B18</f>
        <v>103</v>
      </c>
      <c r="C19" s="13" t="str">
        <f>Needs!F18</f>
        <v/>
      </c>
      <c r="E19" s="13" t="str">
        <f>Needs!A18</f>
        <v>Precise speed control-turns, hills</v>
      </c>
      <c r="F19" s="13">
        <f>Needs!C18</f>
        <v>106</v>
      </c>
      <c r="G19" s="13" t="str">
        <f>Needs!G18</f>
        <v/>
      </c>
      <c r="I19" s="13" t="str">
        <f>Needs!A18</f>
        <v>Precise speed control-turns, hills</v>
      </c>
      <c r="J19" s="13">
        <f>Needs!D18</f>
        <v>117</v>
      </c>
      <c r="K19" s="13" t="str">
        <f>Needs!H18</f>
        <v>IMPORTANT</v>
      </c>
    </row>
    <row r="20" spans="1:11" x14ac:dyDescent="0.35">
      <c r="A20" s="13" t="str">
        <f>Needs!A19</f>
        <v>On-road and off-road capabilities</v>
      </c>
      <c r="B20" s="13">
        <f>Needs!B19</f>
        <v>114</v>
      </c>
      <c r="C20" s="13" t="str">
        <f>Needs!F19</f>
        <v>IMPORTANT</v>
      </c>
      <c r="E20" s="13" t="str">
        <f>Needs!A19</f>
        <v>On-road and off-road capabilities</v>
      </c>
      <c r="F20" s="13">
        <f>Needs!C19</f>
        <v>95</v>
      </c>
      <c r="G20" s="13" t="str">
        <f>Needs!G19</f>
        <v>CAUTION</v>
      </c>
      <c r="I20" s="13" t="str">
        <f>Needs!A19</f>
        <v>On-road and off-road capabilities</v>
      </c>
      <c r="J20" s="13">
        <f>Needs!D19</f>
        <v>69</v>
      </c>
      <c r="K20" s="13" t="str">
        <f>Needs!H19</f>
        <v>CAUTION</v>
      </c>
    </row>
    <row r="21" spans="1:11" x14ac:dyDescent="0.35">
      <c r="A21" s="13" t="str">
        <f>Needs!A20</f>
        <v>Can carry things</v>
      </c>
      <c r="B21" s="13">
        <f>Needs!B20</f>
        <v>117</v>
      </c>
      <c r="C21" s="13" t="str">
        <f>Needs!F20</f>
        <v>IMPORTANT</v>
      </c>
      <c r="E21" s="13" t="str">
        <f>Needs!A20</f>
        <v>Can carry things</v>
      </c>
      <c r="F21" s="13">
        <f>Needs!C20</f>
        <v>104</v>
      </c>
      <c r="G21" s="13" t="str">
        <f>Needs!G20</f>
        <v/>
      </c>
      <c r="I21" s="13" t="str">
        <f>Needs!A20</f>
        <v>Can carry things</v>
      </c>
      <c r="J21" s="13">
        <f>Needs!D20</f>
        <v>69</v>
      </c>
      <c r="K21" s="13" t="str">
        <f>Needs!H20</f>
        <v>CAUTION</v>
      </c>
    </row>
    <row r="22" spans="1:11" x14ac:dyDescent="0.35">
      <c r="A22" s="13" t="str">
        <f>Needs!A21</f>
        <v>Durable</v>
      </c>
      <c r="B22" s="13">
        <f>Needs!B21</f>
        <v>108</v>
      </c>
      <c r="C22" s="13" t="str">
        <f>Needs!F21</f>
        <v/>
      </c>
      <c r="E22" s="13" t="str">
        <f>Needs!A21</f>
        <v>Durable</v>
      </c>
      <c r="F22" s="13">
        <f>Needs!C21</f>
        <v>127</v>
      </c>
      <c r="G22" s="13" t="str">
        <f>Needs!G21</f>
        <v>IMPORTANT</v>
      </c>
      <c r="I22" s="13" t="str">
        <f>Needs!A21</f>
        <v>Durable</v>
      </c>
      <c r="J22" s="13">
        <f>Needs!D21</f>
        <v>117</v>
      </c>
      <c r="K22" s="13" t="str">
        <f>Needs!H21</f>
        <v>IMPORTANT</v>
      </c>
    </row>
    <row r="23" spans="1:11" x14ac:dyDescent="0.35">
      <c r="A23" s="13" t="str">
        <f>Needs!A22</f>
        <v>Feel young at heart</v>
      </c>
      <c r="B23" s="13">
        <f>Needs!B22</f>
        <v>120</v>
      </c>
      <c r="C23" s="13" t="str">
        <f>Needs!F22</f>
        <v>IMPORTANT</v>
      </c>
      <c r="E23" s="13" t="str">
        <f>Needs!A22</f>
        <v>Feel young at heart</v>
      </c>
      <c r="F23" s="13">
        <f>Needs!C22</f>
        <v>115</v>
      </c>
      <c r="G23" s="13" t="str">
        <f>Needs!G22</f>
        <v>IMPORTANT</v>
      </c>
      <c r="I23" s="13" t="str">
        <f>Needs!A22</f>
        <v>Feel young at heart</v>
      </c>
      <c r="J23" s="13">
        <f>Needs!D22</f>
        <v>117</v>
      </c>
      <c r="K23" s="13" t="str">
        <f>Needs!H22</f>
        <v>IMPORTANT</v>
      </c>
    </row>
    <row r="24" spans="1:11" x14ac:dyDescent="0.35">
      <c r="A24" s="13" t="str">
        <f>Needs!A23</f>
        <v>Can turn sharply</v>
      </c>
      <c r="B24" s="13">
        <f>Needs!B23</f>
        <v>113</v>
      </c>
      <c r="C24" s="13" t="str">
        <f>Needs!F23</f>
        <v>IMPORTANT</v>
      </c>
      <c r="E24" s="13" t="str">
        <f>Needs!A23</f>
        <v>Can turn sharply</v>
      </c>
      <c r="F24" s="13">
        <f>Needs!C23</f>
        <v>124</v>
      </c>
      <c r="G24" s="13" t="str">
        <f>Needs!G23</f>
        <v>IMPORTANT</v>
      </c>
      <c r="I24" s="13" t="str">
        <f>Needs!A23</f>
        <v>Can turn sharply</v>
      </c>
      <c r="J24" s="13">
        <f>Needs!D23</f>
        <v>115</v>
      </c>
      <c r="K24" s="13" t="str">
        <f>Needs!H23</f>
        <v>IMPORTANT</v>
      </c>
    </row>
    <row r="25" spans="1:11" x14ac:dyDescent="0.35">
      <c r="A25" s="13" t="str">
        <f>Needs!A24</f>
        <v>Light weight</v>
      </c>
      <c r="B25" s="13">
        <f>Needs!B24</f>
        <v>115</v>
      </c>
      <c r="C25" s="13" t="str">
        <f>Needs!F24</f>
        <v>IMPORTANT</v>
      </c>
      <c r="E25" s="13" t="str">
        <f>Needs!A24</f>
        <v>Light weight</v>
      </c>
      <c r="F25" s="13">
        <f>Needs!C24</f>
        <v>121</v>
      </c>
      <c r="G25" s="13" t="str">
        <f>Needs!G24</f>
        <v>IMPORTANT</v>
      </c>
      <c r="I25" s="13" t="str">
        <f>Needs!A24</f>
        <v>Light weight</v>
      </c>
      <c r="J25" s="13">
        <f>Needs!D24</f>
        <v>133</v>
      </c>
      <c r="K25" s="13" t="str">
        <f>Needs!H24</f>
        <v>IMPORTANT</v>
      </c>
    </row>
    <row r="26" spans="1:11" x14ac:dyDescent="0.35">
      <c r="A26" s="13" t="str">
        <f>Needs!A25</f>
        <v>High visibility</v>
      </c>
      <c r="B26" s="13">
        <f>Needs!B25</f>
        <v>117</v>
      </c>
      <c r="C26" s="13" t="str">
        <f>Needs!F25</f>
        <v>IMPORTANT</v>
      </c>
      <c r="E26" s="13" t="str">
        <f>Needs!A25</f>
        <v>High visibility</v>
      </c>
      <c r="F26" s="13">
        <f>Needs!C25</f>
        <v>103</v>
      </c>
      <c r="G26" s="13" t="str">
        <f>Needs!G25</f>
        <v/>
      </c>
      <c r="I26" s="13" t="str">
        <f>Needs!A25</f>
        <v>High visibility</v>
      </c>
      <c r="J26" s="13">
        <f>Needs!D25</f>
        <v>119</v>
      </c>
      <c r="K26" s="13" t="str">
        <f>Needs!H25</f>
        <v>IMPORTANT</v>
      </c>
    </row>
    <row r="27" spans="1:11" x14ac:dyDescent="0.35">
      <c r="A27" s="13" t="str">
        <f>Needs!A26</f>
        <v>Easily handles change in incline</v>
      </c>
      <c r="B27" s="13">
        <f>Needs!B26</f>
        <v>107</v>
      </c>
      <c r="C27" s="13" t="str">
        <f>Needs!F26</f>
        <v/>
      </c>
      <c r="E27" s="13" t="str">
        <f>Needs!A26</f>
        <v>Easily handles change in incline</v>
      </c>
      <c r="F27" s="13">
        <f>Needs!C26</f>
        <v>131</v>
      </c>
      <c r="G27" s="13" t="str">
        <f>Needs!G26</f>
        <v>IMPORTANT</v>
      </c>
      <c r="I27" s="13" t="str">
        <f>Needs!A26</f>
        <v>Easily handles change in incline</v>
      </c>
      <c r="J27" s="13">
        <f>Needs!D26</f>
        <v>113</v>
      </c>
      <c r="K27" s="13" t="str">
        <f>Needs!H26</f>
        <v>IMPORTANT</v>
      </c>
    </row>
    <row r="28" spans="1:11" x14ac:dyDescent="0.35">
      <c r="A28" s="13" t="str">
        <f>Needs!A27</f>
        <v>Speed</v>
      </c>
      <c r="B28" s="13">
        <f>Needs!B27</f>
        <v>110</v>
      </c>
      <c r="C28" s="13" t="str">
        <f>Needs!F27</f>
        <v>IMPORTANT</v>
      </c>
      <c r="E28" s="13" t="str">
        <f>Needs!A27</f>
        <v>Speed</v>
      </c>
      <c r="F28" s="13">
        <f>Needs!C27</f>
        <v>109</v>
      </c>
      <c r="G28" s="13" t="str">
        <f>Needs!G27</f>
        <v/>
      </c>
      <c r="I28" s="13" t="str">
        <f>Needs!A27</f>
        <v>Speed</v>
      </c>
      <c r="J28" s="13">
        <f>Needs!D27</f>
        <v>134</v>
      </c>
      <c r="K28" s="13" t="str">
        <f>Needs!H27</f>
        <v>IMPORTANT</v>
      </c>
    </row>
    <row r="29" spans="1:11" x14ac:dyDescent="0.35">
      <c r="A29" s="13" t="str">
        <f>Needs!A28</f>
        <v>Shifts smoothly</v>
      </c>
      <c r="B29" s="13">
        <f>Needs!B28</f>
        <v>118</v>
      </c>
      <c r="C29" s="13" t="str">
        <f>Needs!F28</f>
        <v>IMPORTANT</v>
      </c>
      <c r="E29" s="13" t="str">
        <f>Needs!A28</f>
        <v>Shifts smoothly</v>
      </c>
      <c r="F29" s="13">
        <f>Needs!C28</f>
        <v>118</v>
      </c>
      <c r="G29" s="13" t="str">
        <f>Needs!G28</f>
        <v>IMPORTANT</v>
      </c>
      <c r="I29" s="13" t="str">
        <f>Needs!A28</f>
        <v>Shifts smoothly</v>
      </c>
      <c r="J29" s="13">
        <f>Needs!D28</f>
        <v>118</v>
      </c>
      <c r="K29" s="13" t="str">
        <f>Needs!H28</f>
        <v>IMPORTANT</v>
      </c>
    </row>
    <row r="30" spans="1:11" x14ac:dyDescent="0.35">
      <c r="A30" s="13" t="str">
        <f>Needs!A29</f>
        <v>Provides competitive advantage</v>
      </c>
      <c r="B30" s="13">
        <f>Needs!B29</f>
        <v>98</v>
      </c>
      <c r="C30" s="13" t="str">
        <f>Needs!F29</f>
        <v>CAUTION</v>
      </c>
      <c r="E30" s="13" t="str">
        <f>Needs!A29</f>
        <v>Provides competitive advantage</v>
      </c>
      <c r="F30" s="13">
        <f>Needs!C29</f>
        <v>117</v>
      </c>
      <c r="G30" s="13" t="str">
        <f>Needs!G29</f>
        <v>IMPORTANT</v>
      </c>
      <c r="I30" s="13" t="str">
        <f>Needs!A29</f>
        <v>Provides competitive advantage</v>
      </c>
      <c r="J30" s="13">
        <f>Needs!D29</f>
        <v>124</v>
      </c>
      <c r="K30" s="13" t="str">
        <f>Needs!H29</f>
        <v>IMPORTANT</v>
      </c>
    </row>
    <row r="31" spans="1:11" x14ac:dyDescent="0.35">
      <c r="A31" s="13" t="str">
        <f>Needs!A30</f>
        <v>Aerodynamic</v>
      </c>
      <c r="B31" s="13">
        <f>Needs!B30</f>
        <v>80</v>
      </c>
      <c r="C31" s="13" t="str">
        <f>Needs!F30</f>
        <v>CAUTION</v>
      </c>
      <c r="E31" s="13" t="str">
        <f>Needs!A30</f>
        <v>Aerodynamic</v>
      </c>
      <c r="F31" s="13">
        <f>Needs!C30</f>
        <v>88</v>
      </c>
      <c r="G31" s="13" t="str">
        <f>Needs!G30</f>
        <v>CAUTION</v>
      </c>
      <c r="I31" s="13" t="str">
        <f>Needs!A30</f>
        <v>Aerodynamic</v>
      </c>
      <c r="J31" s="13">
        <f>Needs!D30</f>
        <v>122</v>
      </c>
      <c r="K31" s="13" t="str">
        <f>Needs!H30</f>
        <v>IMPORTANT</v>
      </c>
    </row>
    <row r="32" spans="1:11" x14ac:dyDescent="0.35">
      <c r="A32" s="13" t="str">
        <f>Needs!A31</f>
        <v>Rider expertise required</v>
      </c>
      <c r="B32" s="13">
        <f>Needs!B31</f>
        <v>103</v>
      </c>
      <c r="C32" s="13" t="str">
        <f>Needs!F31</f>
        <v/>
      </c>
      <c r="E32" s="13" t="str">
        <f>Needs!A31</f>
        <v>Rider expertise required</v>
      </c>
      <c r="F32" s="13">
        <f>Needs!C31</f>
        <v>123</v>
      </c>
      <c r="G32" s="13" t="str">
        <f>Needs!G31</f>
        <v>IMPORTANT</v>
      </c>
      <c r="I32" s="13" t="str">
        <f>Needs!A31</f>
        <v>Rider expertise required</v>
      </c>
      <c r="J32" s="13">
        <f>Needs!D31</f>
        <v>126</v>
      </c>
      <c r="K32" s="13" t="str">
        <f>Needs!H31</f>
        <v>IMPORTANT</v>
      </c>
    </row>
    <row r="33" spans="1:11" x14ac:dyDescent="0.35">
      <c r="A33" s="13" t="str">
        <f>Needs!A32</f>
        <v>Status symbol/exclusivity</v>
      </c>
      <c r="B33" s="13">
        <f>Needs!B32</f>
        <v>111</v>
      </c>
      <c r="C33" s="13" t="str">
        <f>Needs!F32</f>
        <v>IMPORTANT</v>
      </c>
      <c r="E33" s="13" t="str">
        <f>Needs!A32</f>
        <v>Status symbol/exclusivity</v>
      </c>
      <c r="F33" s="13">
        <f>Needs!C32</f>
        <v>121</v>
      </c>
      <c r="G33" s="13" t="str">
        <f>Needs!G32</f>
        <v>IMPORTANT</v>
      </c>
      <c r="I33" s="13" t="str">
        <f>Needs!A32</f>
        <v>Status symbol/exclusivity</v>
      </c>
      <c r="J33" s="13">
        <f>Needs!D32</f>
        <v>116</v>
      </c>
      <c r="K33" s="13" t="str">
        <f>Needs!H32</f>
        <v>IMPORTANT</v>
      </c>
    </row>
    <row r="34" spans="1:11" x14ac:dyDescent="0.35">
      <c r="A34" s="13" t="str">
        <f>Needs!A33</f>
        <v>Navigation assistance</v>
      </c>
      <c r="B34" s="13">
        <f>Needs!B33</f>
        <v>115</v>
      </c>
      <c r="C34" s="13" t="str">
        <f>Needs!F33</f>
        <v>IMPORTANT</v>
      </c>
      <c r="E34" s="13" t="str">
        <f>Needs!A33</f>
        <v>Navigation assistance</v>
      </c>
      <c r="F34" s="13">
        <f>Needs!C33</f>
        <v>117</v>
      </c>
      <c r="G34" s="13" t="str">
        <f>Needs!G33</f>
        <v>IMPORTANT</v>
      </c>
      <c r="I34" s="13" t="str">
        <f>Needs!A33</f>
        <v>Navigation assistance</v>
      </c>
      <c r="J34" s="13">
        <f>Needs!D33</f>
        <v>118</v>
      </c>
      <c r="K34" s="13" t="str">
        <f>Needs!H33</f>
        <v>IMPORTANT</v>
      </c>
    </row>
    <row r="35" spans="1:11" x14ac:dyDescent="0.35">
      <c r="A35" s="13" t="str">
        <f>Needs!A34</f>
        <v>Soften the impact of rough terrain</v>
      </c>
      <c r="B35" s="13">
        <f>Needs!B34</f>
        <v>116</v>
      </c>
      <c r="C35" s="13" t="str">
        <f>Needs!F34</f>
        <v>IMPORTANT</v>
      </c>
      <c r="E35" s="13" t="str">
        <f>Needs!A34</f>
        <v>Soften the impact of rough terrain</v>
      </c>
      <c r="F35" s="13">
        <f>Needs!C34</f>
        <v>124</v>
      </c>
      <c r="G35" s="13" t="str">
        <f>Needs!G34</f>
        <v>IMPORTANT</v>
      </c>
      <c r="I35" s="13" t="str">
        <f>Needs!A34</f>
        <v>Soften the impact of rough terrain</v>
      </c>
      <c r="J35" s="13">
        <f>Needs!D34</f>
        <v>90</v>
      </c>
      <c r="K35" s="13" t="str">
        <f>Needs!H34</f>
        <v>CAUTION</v>
      </c>
    </row>
    <row r="36" spans="1:11" x14ac:dyDescent="0.35">
      <c r="A36" s="26" t="str">
        <f>Needs!A35</f>
        <v>Easy to navigate on web site</v>
      </c>
      <c r="B36" s="13">
        <f>Needs!B35</f>
        <v>128</v>
      </c>
      <c r="C36" s="13" t="str">
        <f>Needs!F35</f>
        <v>IMPORTANT</v>
      </c>
      <c r="E36" s="26" t="str">
        <f>Needs!A35</f>
        <v>Easy to navigate on web site</v>
      </c>
      <c r="F36" s="13">
        <f>Needs!C35</f>
        <v>118</v>
      </c>
      <c r="G36" s="13" t="str">
        <f>Needs!G35</f>
        <v>IMPORTANT</v>
      </c>
      <c r="I36" s="26" t="str">
        <f>Needs!A35</f>
        <v>Easy to navigate on web site</v>
      </c>
      <c r="J36" s="13">
        <f>Needs!D35</f>
        <v>123</v>
      </c>
      <c r="K36" s="13" t="str">
        <f>Needs!H35</f>
        <v>IMPORTANT</v>
      </c>
    </row>
    <row r="37" spans="1:11" x14ac:dyDescent="0.35">
      <c r="A37" s="26" t="str">
        <f>Needs!A36</f>
        <v>Security of my credit card/identity</v>
      </c>
      <c r="B37" s="13">
        <f>Needs!B36</f>
        <v>135</v>
      </c>
      <c r="C37" s="13" t="str">
        <f>Needs!F36</f>
        <v>IMPORTANT</v>
      </c>
      <c r="E37" s="26" t="str">
        <f>Needs!A36</f>
        <v>Security of my credit card/identity</v>
      </c>
      <c r="F37" s="13">
        <f>Needs!C36</f>
        <v>123</v>
      </c>
      <c r="G37" s="13" t="str">
        <f>Needs!G36</f>
        <v>IMPORTANT</v>
      </c>
      <c r="I37" s="26" t="str">
        <f>Needs!A36</f>
        <v>Security of my credit card/identity</v>
      </c>
      <c r="J37" s="13">
        <f>Needs!D36</f>
        <v>124</v>
      </c>
      <c r="K37" s="13" t="str">
        <f>Needs!H36</f>
        <v>IMPORTANT</v>
      </c>
    </row>
    <row r="38" spans="1:11" x14ac:dyDescent="0.35">
      <c r="A38" s="26" t="str">
        <f>Needs!A37</f>
        <v>Likes to buy on the web</v>
      </c>
      <c r="B38" s="13">
        <f>Needs!B37</f>
        <v>121</v>
      </c>
      <c r="C38" s="13" t="str">
        <f>Needs!F37</f>
        <v>IMPORTANT</v>
      </c>
      <c r="E38" s="26" t="str">
        <f>Needs!A37</f>
        <v>Likes to buy on the web</v>
      </c>
      <c r="F38" s="13">
        <f>Needs!C37</f>
        <v>122</v>
      </c>
      <c r="G38" s="13" t="str">
        <f>Needs!G37</f>
        <v>IMPORTANT</v>
      </c>
      <c r="I38" s="26" t="str">
        <f>Needs!A37</f>
        <v>Likes to buy on the web</v>
      </c>
      <c r="J38" s="13">
        <f>Needs!D37</f>
        <v>114</v>
      </c>
      <c r="K38" s="13" t="str">
        <f>Needs!H37</f>
        <v>IMPORTANT</v>
      </c>
    </row>
    <row r="39" spans="1:11" x14ac:dyDescent="0.35">
      <c r="A39" s="26" t="str">
        <f>Needs!A38</f>
        <v>Wants human sales reps/support</v>
      </c>
      <c r="B39" s="13">
        <f>Needs!B38</f>
        <v>133</v>
      </c>
      <c r="C39" s="13" t="str">
        <f>Needs!F38</f>
        <v>IMPORTANT</v>
      </c>
      <c r="E39" s="26" t="str">
        <f>Needs!A38</f>
        <v>Wants human sales reps/support</v>
      </c>
      <c r="F39" s="13">
        <f>Needs!C38</f>
        <v>122</v>
      </c>
      <c r="G39" s="13" t="str">
        <f>Needs!G38</f>
        <v>IMPORTANT</v>
      </c>
      <c r="I39" s="26" t="str">
        <f>Needs!A38</f>
        <v>Wants human sales reps/support</v>
      </c>
      <c r="J39" s="13">
        <f>Needs!D38</f>
        <v>118</v>
      </c>
      <c r="K39" s="13" t="str">
        <f>Needs!H38</f>
        <v>IMPORTANT</v>
      </c>
    </row>
    <row r="40" spans="1:11" x14ac:dyDescent="0.35">
      <c r="A40" s="26" t="str">
        <f>Needs!A39</f>
        <v>Able to track my purchase</v>
      </c>
      <c r="B40" s="13">
        <f>Needs!B39</f>
        <v>119</v>
      </c>
      <c r="C40" s="13" t="str">
        <f>Needs!F39</f>
        <v>IMPORTANT</v>
      </c>
      <c r="E40" s="26" t="str">
        <f>Needs!A39</f>
        <v>Able to track my purchase</v>
      </c>
      <c r="F40" s="13">
        <f>Needs!C39</f>
        <v>124</v>
      </c>
      <c r="G40" s="13" t="str">
        <f>Needs!G39</f>
        <v>IMPORTANT</v>
      </c>
      <c r="I40" s="26" t="str">
        <f>Needs!A39</f>
        <v>Able to track my purchase</v>
      </c>
      <c r="J40" s="13">
        <f>Needs!D39</f>
        <v>115</v>
      </c>
      <c r="K40" s="13" t="str">
        <f>Needs!H39</f>
        <v>IMPORTANT</v>
      </c>
    </row>
    <row r="41" spans="1:11" x14ac:dyDescent="0.35">
      <c r="A41" s="26" t="str">
        <f>Needs!A40</f>
        <v>Easy to make purchase on web</v>
      </c>
      <c r="B41" s="13">
        <f>Needs!B40</f>
        <v>127</v>
      </c>
      <c r="C41" s="13" t="str">
        <f>Needs!F40</f>
        <v>IMPORTANT</v>
      </c>
      <c r="E41" s="26" t="str">
        <f>Needs!A40</f>
        <v>Easy to make purchase on web</v>
      </c>
      <c r="F41" s="13">
        <f>Needs!C40</f>
        <v>113</v>
      </c>
      <c r="G41" s="13" t="str">
        <f>Needs!G40</f>
        <v>IMPORTANT</v>
      </c>
      <c r="I41" s="26" t="str">
        <f>Needs!A40</f>
        <v>Easy to make purchase on web</v>
      </c>
      <c r="J41" s="13">
        <f>Needs!D40</f>
        <v>119</v>
      </c>
      <c r="K41" s="13" t="str">
        <f>Needs!H40</f>
        <v>IMPORTANT</v>
      </c>
    </row>
  </sheetData>
  <conditionalFormatting sqref="B6:B41">
    <cfRule type="colorScale" priority="3">
      <colorScale>
        <cfvo type="percentile" val="75"/>
        <cfvo type="percentile" val="80"/>
        <cfvo type="max"/>
        <color theme="0"/>
        <color rgb="FFFFEB84"/>
        <color rgb="FFFFC000"/>
      </colorScale>
    </cfRule>
  </conditionalFormatting>
  <conditionalFormatting sqref="C1:C1048576 G1:G1048576 K1:K1048576">
    <cfRule type="containsText" dxfId="1" priority="4" operator="containsText" text="IMPORTANT">
      <formula>NOT(ISERROR(SEARCH("IMPORTANT",C1)))</formula>
    </cfRule>
    <cfRule type="containsText" dxfId="0" priority="5" operator="containsText" text="CAUTION">
      <formula>NOT(ISERROR(SEARCH("CAUTION",C1)))</formula>
    </cfRule>
  </conditionalFormatting>
  <conditionalFormatting sqref="F6:F41">
    <cfRule type="colorScale" priority="1">
      <colorScale>
        <cfvo type="percentile" val="75"/>
        <cfvo type="percentile" val="80"/>
        <cfvo type="max"/>
        <color theme="0"/>
        <color rgb="FFFFEB84"/>
        <color rgb="FFFFC000"/>
      </colorScale>
    </cfRule>
  </conditionalFormatting>
  <conditionalFormatting sqref="J6:J41">
    <cfRule type="colorScale" priority="2">
      <colorScale>
        <cfvo type="percentile" val="75"/>
        <cfvo type="percentile" val="80"/>
        <cfvo type="max"/>
        <color theme="0"/>
        <color rgb="FFFFEB84"/>
        <color rgb="FFFFC000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9"/>
  <sheetViews>
    <sheetView workbookViewId="0">
      <selection activeCell="D20" sqref="D20"/>
    </sheetView>
  </sheetViews>
  <sheetFormatPr defaultRowHeight="14.5" x14ac:dyDescent="0.35"/>
  <cols>
    <col min="1" max="1" width="14" customWidth="1"/>
    <col min="2" max="5" width="16" customWidth="1"/>
    <col min="6" max="6" width="12" customWidth="1"/>
    <col min="7" max="7" width="40" customWidth="1"/>
    <col min="8" max="8" width="12" customWidth="1"/>
  </cols>
  <sheetData>
    <row r="1" spans="1:8" ht="18.5" customHeight="1" x14ac:dyDescent="0.45">
      <c r="A1" s="4" t="s">
        <v>777</v>
      </c>
    </row>
    <row r="2" spans="1:8" x14ac:dyDescent="0.35">
      <c r="A2" s="1" t="s">
        <v>778</v>
      </c>
    </row>
    <row r="4" spans="1:8" ht="29" customHeight="1" x14ac:dyDescent="0.35">
      <c r="A4" s="2" t="s">
        <v>228</v>
      </c>
      <c r="B4" s="2" t="s">
        <v>779</v>
      </c>
      <c r="C4" s="2" t="s">
        <v>780</v>
      </c>
      <c r="D4" s="2" t="s">
        <v>781</v>
      </c>
      <c r="E4" s="2" t="s">
        <v>782</v>
      </c>
      <c r="F4" s="2" t="s">
        <v>783</v>
      </c>
      <c r="G4" s="2" t="s">
        <v>784</v>
      </c>
      <c r="H4" s="2" t="s">
        <v>785</v>
      </c>
    </row>
    <row r="5" spans="1:8" x14ac:dyDescent="0.35">
      <c r="A5" s="7" t="s">
        <v>169</v>
      </c>
      <c r="B5" s="7" t="s">
        <v>786</v>
      </c>
      <c r="C5" s="6"/>
      <c r="D5" s="6"/>
      <c r="E5" s="6"/>
      <c r="F5" s="7" t="str">
        <f t="shared" ref="F5:F19" si="0">IF(COUNT(C5:E5)&lt;3,"",C5+E5-D5)</f>
        <v/>
      </c>
      <c r="G5" s="5"/>
      <c r="H5" s="6"/>
    </row>
    <row r="6" spans="1:8" x14ac:dyDescent="0.35">
      <c r="A6" s="7" t="s">
        <v>169</v>
      </c>
      <c r="B6" s="7" t="s">
        <v>252</v>
      </c>
      <c r="C6" s="6"/>
      <c r="D6" s="6"/>
      <c r="E6" s="6"/>
      <c r="F6" s="7" t="str">
        <f t="shared" si="0"/>
        <v/>
      </c>
      <c r="G6" s="5"/>
      <c r="H6" s="6"/>
    </row>
    <row r="7" spans="1:8" x14ac:dyDescent="0.35">
      <c r="A7" s="7" t="s">
        <v>169</v>
      </c>
      <c r="B7" s="7" t="s">
        <v>251</v>
      </c>
      <c r="C7" s="6"/>
      <c r="D7" s="6"/>
      <c r="E7" s="6"/>
      <c r="F7" s="7" t="str">
        <f t="shared" si="0"/>
        <v/>
      </c>
      <c r="G7" s="5"/>
      <c r="H7" s="6"/>
    </row>
    <row r="8" spans="1:8" x14ac:dyDescent="0.35">
      <c r="A8" s="7" t="s">
        <v>169</v>
      </c>
      <c r="B8" s="7" t="s">
        <v>253</v>
      </c>
      <c r="C8" s="6"/>
      <c r="D8" s="6"/>
      <c r="E8" s="6"/>
      <c r="F8" s="7" t="str">
        <f t="shared" si="0"/>
        <v/>
      </c>
      <c r="G8" s="5"/>
      <c r="H8" s="6"/>
    </row>
    <row r="9" spans="1:8" x14ac:dyDescent="0.35">
      <c r="A9" s="7" t="s">
        <v>169</v>
      </c>
      <c r="B9" s="7" t="s">
        <v>787</v>
      </c>
      <c r="C9" s="6"/>
      <c r="D9" s="6"/>
      <c r="E9" s="6"/>
      <c r="F9" s="7" t="str">
        <f t="shared" si="0"/>
        <v/>
      </c>
      <c r="G9" s="5"/>
      <c r="H9" s="6"/>
    </row>
    <row r="10" spans="1:8" x14ac:dyDescent="0.35">
      <c r="A10" s="7" t="s">
        <v>170</v>
      </c>
      <c r="B10" s="7" t="s">
        <v>786</v>
      </c>
      <c r="C10" s="6"/>
      <c r="D10" s="6"/>
      <c r="E10" s="6"/>
      <c r="F10" s="7" t="str">
        <f t="shared" si="0"/>
        <v/>
      </c>
      <c r="G10" s="5"/>
      <c r="H10" s="6"/>
    </row>
    <row r="11" spans="1:8" x14ac:dyDescent="0.35">
      <c r="A11" s="7" t="s">
        <v>170</v>
      </c>
      <c r="B11" s="7" t="s">
        <v>252</v>
      </c>
      <c r="C11" s="6">
        <v>5</v>
      </c>
      <c r="D11" s="6"/>
      <c r="E11" s="6"/>
      <c r="F11" s="7" t="str">
        <f t="shared" si="0"/>
        <v/>
      </c>
      <c r="G11" s="5"/>
      <c r="H11" s="6"/>
    </row>
    <row r="12" spans="1:8" x14ac:dyDescent="0.35">
      <c r="A12" s="7" t="s">
        <v>170</v>
      </c>
      <c r="B12" s="7" t="s">
        <v>251</v>
      </c>
      <c r="C12" s="6"/>
      <c r="D12" s="6"/>
      <c r="E12" s="6"/>
      <c r="F12" s="7" t="str">
        <f t="shared" si="0"/>
        <v/>
      </c>
      <c r="G12" s="5"/>
      <c r="H12" s="6"/>
    </row>
    <row r="13" spans="1:8" x14ac:dyDescent="0.35">
      <c r="A13" s="7" t="s">
        <v>170</v>
      </c>
      <c r="B13" s="7" t="s">
        <v>253</v>
      </c>
      <c r="C13" s="6"/>
      <c r="D13" s="6"/>
      <c r="E13" s="6"/>
      <c r="F13" s="7" t="str">
        <f t="shared" si="0"/>
        <v/>
      </c>
      <c r="G13" s="5"/>
      <c r="H13" s="6"/>
    </row>
    <row r="14" spans="1:8" x14ac:dyDescent="0.35">
      <c r="A14" s="7" t="s">
        <v>170</v>
      </c>
      <c r="B14" s="7" t="s">
        <v>787</v>
      </c>
      <c r="C14" s="6">
        <v>5</v>
      </c>
      <c r="D14" s="6"/>
      <c r="E14" s="6"/>
      <c r="F14" s="7" t="str">
        <f t="shared" si="0"/>
        <v/>
      </c>
      <c r="G14" s="5"/>
      <c r="H14" s="6"/>
    </row>
    <row r="15" spans="1:8" x14ac:dyDescent="0.35">
      <c r="A15" s="7" t="s">
        <v>171</v>
      </c>
      <c r="B15" s="7" t="s">
        <v>786</v>
      </c>
      <c r="C15" s="6"/>
      <c r="D15" s="6"/>
      <c r="E15" s="6"/>
      <c r="F15" s="7" t="str">
        <f t="shared" si="0"/>
        <v/>
      </c>
      <c r="G15" s="5"/>
      <c r="H15" s="6"/>
    </row>
    <row r="16" spans="1:8" x14ac:dyDescent="0.35">
      <c r="A16" s="7" t="s">
        <v>171</v>
      </c>
      <c r="B16" s="7" t="s">
        <v>252</v>
      </c>
      <c r="C16" s="6"/>
      <c r="D16" s="6"/>
      <c r="E16" s="6"/>
      <c r="F16" s="7" t="str">
        <f t="shared" si="0"/>
        <v/>
      </c>
      <c r="G16" s="5"/>
      <c r="H16" s="6"/>
    </row>
    <row r="17" spans="1:8" x14ac:dyDescent="0.35">
      <c r="A17" s="7" t="s">
        <v>171</v>
      </c>
      <c r="B17" s="7" t="s">
        <v>251</v>
      </c>
      <c r="C17" s="6"/>
      <c r="D17" s="6"/>
      <c r="E17" s="6"/>
      <c r="F17" s="7" t="str">
        <f t="shared" si="0"/>
        <v/>
      </c>
      <c r="G17" s="5"/>
      <c r="H17" s="6"/>
    </row>
    <row r="18" spans="1:8" x14ac:dyDescent="0.35">
      <c r="A18" s="7" t="s">
        <v>171</v>
      </c>
      <c r="B18" s="7" t="s">
        <v>253</v>
      </c>
      <c r="C18" s="6"/>
      <c r="D18" s="6"/>
      <c r="E18" s="6"/>
      <c r="F18" s="7" t="str">
        <f t="shared" si="0"/>
        <v/>
      </c>
      <c r="G18" s="5"/>
      <c r="H18" s="6"/>
    </row>
    <row r="19" spans="1:8" x14ac:dyDescent="0.35">
      <c r="A19" s="7" t="s">
        <v>171</v>
      </c>
      <c r="B19" s="7" t="s">
        <v>787</v>
      </c>
      <c r="C19" s="6"/>
      <c r="D19" s="6"/>
      <c r="E19" s="6"/>
      <c r="F19" s="7" t="str">
        <f t="shared" si="0"/>
        <v/>
      </c>
      <c r="G19" s="5"/>
      <c r="H19" s="6"/>
    </row>
  </sheetData>
  <dataValidations count="1">
    <dataValidation type="whole" allowBlank="1" errorTitle="Invalid score" error="Enter 1–5" sqref="C5:E19" xr:uid="{00000000-0002-0000-1100-000000000000}">
      <formula1>1</formula1>
      <formula2>5</formula2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5"/>
  <sheetViews>
    <sheetView workbookViewId="0"/>
  </sheetViews>
  <sheetFormatPr defaultRowHeight="14.5" x14ac:dyDescent="0.35"/>
  <cols>
    <col min="1" max="1" width="18" customWidth="1"/>
    <col min="2" max="2" width="10" customWidth="1"/>
    <col min="3" max="3" width="16" customWidth="1"/>
    <col min="4" max="4" width="18" customWidth="1"/>
    <col min="5" max="5" width="22" customWidth="1"/>
    <col min="6" max="6" width="20" customWidth="1"/>
    <col min="7" max="7" width="14" customWidth="1"/>
    <col min="8" max="8" width="18" customWidth="1"/>
    <col min="9" max="10" width="28" customWidth="1"/>
  </cols>
  <sheetData>
    <row r="1" spans="1:10" ht="18.5" customHeight="1" x14ac:dyDescent="0.45">
      <c r="A1" s="4" t="s">
        <v>788</v>
      </c>
    </row>
    <row r="2" spans="1:10" x14ac:dyDescent="0.35">
      <c r="A2" s="1" t="s">
        <v>789</v>
      </c>
    </row>
    <row r="4" spans="1:10" ht="29" customHeight="1" x14ac:dyDescent="0.35">
      <c r="A4" s="2" t="s">
        <v>790</v>
      </c>
      <c r="B4" s="2" t="s">
        <v>791</v>
      </c>
      <c r="C4" s="2" t="s">
        <v>792</v>
      </c>
      <c r="D4" s="2" t="s">
        <v>793</v>
      </c>
      <c r="E4" s="2" t="s">
        <v>794</v>
      </c>
      <c r="F4" s="2" t="s">
        <v>795</v>
      </c>
      <c r="G4" s="2" t="s">
        <v>796</v>
      </c>
      <c r="H4" s="2" t="s">
        <v>797</v>
      </c>
      <c r="I4" s="2" t="s">
        <v>798</v>
      </c>
      <c r="J4" s="2" t="s">
        <v>799</v>
      </c>
    </row>
    <row r="5" spans="1:10" x14ac:dyDescent="0.3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x14ac:dyDescent="0.35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 x14ac:dyDescent="0.35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 x14ac:dyDescent="0.35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 x14ac:dyDescent="0.3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35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 x14ac:dyDescent="0.3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35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 x14ac:dyDescent="0.35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 x14ac:dyDescent="0.35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35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3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3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35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7" spans="1:10" x14ac:dyDescent="0.35">
      <c r="A27" s="14" t="s">
        <v>800</v>
      </c>
    </row>
    <row r="28" spans="1:10" ht="29" customHeight="1" x14ac:dyDescent="0.35">
      <c r="A28" s="2" t="s">
        <v>791</v>
      </c>
      <c r="B28" s="2" t="s">
        <v>801</v>
      </c>
      <c r="C28" s="2" t="s">
        <v>802</v>
      </c>
      <c r="D28" s="2" t="s">
        <v>803</v>
      </c>
      <c r="E28" s="2" t="s">
        <v>804</v>
      </c>
    </row>
    <row r="29" spans="1:10" x14ac:dyDescent="0.35">
      <c r="A29" s="11"/>
      <c r="B29" s="11"/>
      <c r="C29" s="11"/>
      <c r="D29" s="11"/>
      <c r="E29" s="11"/>
    </row>
    <row r="30" spans="1:10" x14ac:dyDescent="0.35">
      <c r="A30" s="11"/>
      <c r="B30" s="11"/>
      <c r="C30" s="11"/>
      <c r="D30" s="11"/>
      <c r="E30" s="11"/>
    </row>
    <row r="31" spans="1:10" x14ac:dyDescent="0.35">
      <c r="A31" s="11"/>
      <c r="B31" s="11"/>
      <c r="C31" s="11"/>
      <c r="D31" s="11"/>
      <c r="E31" s="11"/>
    </row>
    <row r="32" spans="1:10" x14ac:dyDescent="0.35">
      <c r="A32" s="11"/>
      <c r="B32" s="11"/>
      <c r="C32" s="11"/>
      <c r="D32" s="11"/>
      <c r="E32" s="11"/>
    </row>
    <row r="33" spans="1:5" x14ac:dyDescent="0.35">
      <c r="A33" s="11"/>
      <c r="B33" s="11"/>
      <c r="C33" s="11"/>
      <c r="D33" s="11"/>
      <c r="E33" s="11"/>
    </row>
    <row r="34" spans="1:5" x14ac:dyDescent="0.35">
      <c r="A34" s="11"/>
      <c r="B34" s="11"/>
      <c r="C34" s="11"/>
      <c r="D34" s="11"/>
      <c r="E34" s="11"/>
    </row>
    <row r="35" spans="1:5" x14ac:dyDescent="0.35">
      <c r="A35" s="11"/>
      <c r="B35" s="11"/>
      <c r="C35" s="11"/>
      <c r="D35" s="11"/>
      <c r="E35" s="11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5"/>
  <sheetViews>
    <sheetView workbookViewId="0">
      <selection activeCell="E14" sqref="E14"/>
    </sheetView>
  </sheetViews>
  <sheetFormatPr defaultRowHeight="14.5" x14ac:dyDescent="0.35"/>
  <cols>
    <col min="1" max="1" width="36" customWidth="1"/>
    <col min="2" max="2" width="28" customWidth="1"/>
    <col min="3" max="3" width="14" customWidth="1"/>
    <col min="4" max="4" width="12" customWidth="1"/>
    <col min="5" max="5" width="14" customWidth="1"/>
    <col min="6" max="6" width="12" customWidth="1"/>
    <col min="7" max="7" width="14" customWidth="1"/>
  </cols>
  <sheetData>
    <row r="1" spans="1:4" ht="18.5" customHeight="1" x14ac:dyDescent="0.45">
      <c r="A1" s="67" t="s">
        <v>805</v>
      </c>
    </row>
    <row r="2" spans="1:4" x14ac:dyDescent="0.35">
      <c r="A2" s="35" t="s">
        <v>806</v>
      </c>
    </row>
    <row r="3" spans="1:4" x14ac:dyDescent="0.35">
      <c r="A3" t="s">
        <v>807</v>
      </c>
    </row>
    <row r="4" spans="1:4" x14ac:dyDescent="0.35">
      <c r="A4" s="43" t="s">
        <v>808</v>
      </c>
    </row>
    <row r="5" spans="1:4" ht="58" customHeight="1" x14ac:dyDescent="0.35">
      <c r="A5" s="29" t="s">
        <v>809</v>
      </c>
      <c r="B5" s="29" t="s">
        <v>810</v>
      </c>
      <c r="C5" s="29" t="s">
        <v>802</v>
      </c>
      <c r="D5" s="29" t="s">
        <v>811</v>
      </c>
    </row>
    <row r="6" spans="1:4" x14ac:dyDescent="0.35">
      <c r="A6" s="31" t="s">
        <v>812</v>
      </c>
      <c r="B6" s="31">
        <v>17000</v>
      </c>
      <c r="C6" s="31">
        <v>17000</v>
      </c>
      <c r="D6" s="31">
        <v>87</v>
      </c>
    </row>
    <row r="7" spans="1:4" x14ac:dyDescent="0.35">
      <c r="A7" s="31" t="s">
        <v>813</v>
      </c>
      <c r="B7" s="31" t="s">
        <v>814</v>
      </c>
      <c r="C7" s="31">
        <v>1700</v>
      </c>
      <c r="D7" s="31">
        <v>84</v>
      </c>
    </row>
    <row r="8" spans="1:4" x14ac:dyDescent="0.35">
      <c r="A8" s="31" t="s">
        <v>815</v>
      </c>
      <c r="B8" s="31" t="s">
        <v>816</v>
      </c>
      <c r="C8" s="31">
        <v>440</v>
      </c>
      <c r="D8" s="31">
        <v>72</v>
      </c>
    </row>
    <row r="9" spans="1:4" x14ac:dyDescent="0.35">
      <c r="A9" s="31" t="s">
        <v>817</v>
      </c>
      <c r="B9" s="31" t="s">
        <v>818</v>
      </c>
      <c r="C9" s="31">
        <v>170</v>
      </c>
      <c r="D9" s="31">
        <v>70</v>
      </c>
    </row>
    <row r="10" spans="1:4" x14ac:dyDescent="0.35">
      <c r="A10" s="44" t="s">
        <v>819</v>
      </c>
      <c r="B10" s="44"/>
      <c r="C10" s="44">
        <v>19310</v>
      </c>
      <c r="D10" s="44"/>
    </row>
    <row r="13" spans="1:4" x14ac:dyDescent="0.35">
      <c r="A13" s="43" t="s">
        <v>820</v>
      </c>
    </row>
    <row r="14" spans="1:4" ht="58" customHeight="1" x14ac:dyDescent="0.35">
      <c r="A14" s="29" t="s">
        <v>809</v>
      </c>
      <c r="B14" s="29" t="s">
        <v>810</v>
      </c>
      <c r="C14" s="29" t="s">
        <v>802</v>
      </c>
      <c r="D14" s="29" t="s">
        <v>811</v>
      </c>
    </row>
    <row r="15" spans="1:4" x14ac:dyDescent="0.35">
      <c r="A15" s="31" t="s">
        <v>812</v>
      </c>
      <c r="B15" s="31">
        <v>14000</v>
      </c>
      <c r="C15" s="31">
        <v>14000</v>
      </c>
      <c r="D15" s="31">
        <v>87</v>
      </c>
    </row>
    <row r="16" spans="1:4" x14ac:dyDescent="0.35">
      <c r="A16" s="31" t="s">
        <v>813</v>
      </c>
      <c r="B16" s="31" t="s">
        <v>814</v>
      </c>
      <c r="C16" s="31">
        <v>1400</v>
      </c>
      <c r="D16" s="31">
        <v>84</v>
      </c>
    </row>
    <row r="17" spans="1:7" x14ac:dyDescent="0.35">
      <c r="A17" s="31" t="s">
        <v>815</v>
      </c>
      <c r="B17" s="31" t="s">
        <v>816</v>
      </c>
      <c r="C17" s="31">
        <v>363</v>
      </c>
      <c r="D17" s="31">
        <v>72</v>
      </c>
    </row>
    <row r="18" spans="1:7" x14ac:dyDescent="0.35">
      <c r="A18" s="31" t="s">
        <v>817</v>
      </c>
      <c r="B18" s="31" t="s">
        <v>821</v>
      </c>
      <c r="C18" s="31">
        <v>280</v>
      </c>
      <c r="D18" s="31">
        <v>70</v>
      </c>
    </row>
    <row r="19" spans="1:7" x14ac:dyDescent="0.35">
      <c r="A19" s="44" t="s">
        <v>819</v>
      </c>
      <c r="B19" s="44"/>
      <c r="C19" s="44">
        <v>16043</v>
      </c>
      <c r="D19" s="44"/>
    </row>
    <row r="22" spans="1:7" x14ac:dyDescent="0.35">
      <c r="A22" s="64" t="s">
        <v>822</v>
      </c>
    </row>
    <row r="23" spans="1:7" x14ac:dyDescent="0.35">
      <c r="A23" s="77" t="s">
        <v>823</v>
      </c>
      <c r="B23" s="77" t="s">
        <v>802</v>
      </c>
      <c r="C23" s="77" t="s">
        <v>824</v>
      </c>
      <c r="D23" s="77" t="s">
        <v>802</v>
      </c>
      <c r="E23" s="29" t="s">
        <v>817</v>
      </c>
      <c r="F23" s="29" t="s">
        <v>825</v>
      </c>
      <c r="G23" s="29" t="s">
        <v>826</v>
      </c>
    </row>
    <row r="24" spans="1:7" x14ac:dyDescent="0.35">
      <c r="A24" s="75" t="s">
        <v>827</v>
      </c>
      <c r="B24" s="78">
        <v>0</v>
      </c>
      <c r="C24" s="79">
        <v>0</v>
      </c>
      <c r="D24" s="78">
        <v>0</v>
      </c>
      <c r="E24" s="42"/>
      <c r="F24" s="42"/>
      <c r="G24" s="42"/>
    </row>
    <row r="25" spans="1:7" x14ac:dyDescent="0.35">
      <c r="A25" s="75" t="s">
        <v>814</v>
      </c>
      <c r="B25" s="78">
        <v>1700</v>
      </c>
      <c r="C25" s="79">
        <v>1</v>
      </c>
      <c r="D25" s="78">
        <v>440</v>
      </c>
      <c r="E25" s="42"/>
      <c r="F25" s="42"/>
      <c r="G25" s="42"/>
    </row>
    <row r="26" spans="1:7" x14ac:dyDescent="0.35">
      <c r="A26" s="75" t="s">
        <v>828</v>
      </c>
      <c r="B26" s="70">
        <v>2550</v>
      </c>
      <c r="C26" s="75">
        <v>2</v>
      </c>
      <c r="D26" s="70">
        <v>944</v>
      </c>
    </row>
    <row r="27" spans="1:7" x14ac:dyDescent="0.35">
      <c r="A27" s="75" t="s">
        <v>829</v>
      </c>
      <c r="B27" s="70">
        <v>3740</v>
      </c>
      <c r="C27" s="75">
        <v>3</v>
      </c>
      <c r="D27" s="70">
        <v>1475</v>
      </c>
    </row>
    <row r="28" spans="1:7" x14ac:dyDescent="0.35">
      <c r="A28" s="75" t="s">
        <v>830</v>
      </c>
      <c r="B28" s="70">
        <v>5610</v>
      </c>
      <c r="C28" s="75">
        <v>4</v>
      </c>
      <c r="D28" s="70">
        <v>2024</v>
      </c>
    </row>
    <row r="29" spans="1:7" x14ac:dyDescent="0.35">
      <c r="C29" s="75">
        <v>5</v>
      </c>
      <c r="D29" s="70">
        <v>2587</v>
      </c>
    </row>
    <row r="30" spans="1:7" x14ac:dyDescent="0.35">
      <c r="C30" s="75">
        <v>6</v>
      </c>
      <c r="D30" s="70">
        <v>3161</v>
      </c>
    </row>
    <row r="31" spans="1:7" x14ac:dyDescent="0.35">
      <c r="C31" s="75">
        <v>7</v>
      </c>
      <c r="D31" s="70">
        <v>3745</v>
      </c>
    </row>
    <row r="33" spans="1:6" x14ac:dyDescent="0.35">
      <c r="A33" t="s">
        <v>831</v>
      </c>
    </row>
    <row r="34" spans="1:6" x14ac:dyDescent="0.35">
      <c r="A34" t="s">
        <v>832</v>
      </c>
    </row>
    <row r="36" spans="1:6" x14ac:dyDescent="0.35">
      <c r="A36" s="64" t="s">
        <v>833</v>
      </c>
    </row>
    <row r="37" spans="1:6" x14ac:dyDescent="0.35">
      <c r="A37" s="68" t="s">
        <v>36</v>
      </c>
      <c r="B37" s="68" t="s">
        <v>834</v>
      </c>
      <c r="C37" s="68" t="s">
        <v>835</v>
      </c>
      <c r="D37" s="68" t="s">
        <v>836</v>
      </c>
      <c r="E37" s="68" t="s">
        <v>837</v>
      </c>
      <c r="F37" s="68" t="s">
        <v>838</v>
      </c>
    </row>
    <row r="38" spans="1:6" x14ac:dyDescent="0.35">
      <c r="A38" t="s">
        <v>839</v>
      </c>
      <c r="B38" s="74"/>
      <c r="C38" s="71" t="str">
        <f>IF(B38="","",B38)</f>
        <v/>
      </c>
      <c r="D38" s="71">
        <v>17000</v>
      </c>
      <c r="E38" s="71" t="str">
        <f>IF(C38="","",C38-D38)</f>
        <v/>
      </c>
      <c r="F38">
        <v>87</v>
      </c>
    </row>
    <row r="39" spans="1:6" x14ac:dyDescent="0.35">
      <c r="A39" t="s">
        <v>840</v>
      </c>
      <c r="B39" s="65"/>
      <c r="C39" s="74"/>
      <c r="D39" s="71">
        <v>1700</v>
      </c>
      <c r="E39" s="71" t="str">
        <f>IF(C39="","",C39-D39)</f>
        <v/>
      </c>
      <c r="F39">
        <v>84</v>
      </c>
    </row>
    <row r="40" spans="1:6" x14ac:dyDescent="0.35">
      <c r="A40" t="s">
        <v>824</v>
      </c>
      <c r="B40" s="65"/>
      <c r="C40" s="74"/>
      <c r="D40" s="71">
        <v>440</v>
      </c>
      <c r="E40" s="71" t="str">
        <f>IF(C40="","",C40-D40)</f>
        <v/>
      </c>
      <c r="F40">
        <v>72</v>
      </c>
    </row>
    <row r="41" spans="1:6" x14ac:dyDescent="0.35">
      <c r="A41" t="s">
        <v>841</v>
      </c>
      <c r="B41" s="80"/>
      <c r="C41" s="71" t="str">
        <f>IF(OR(B38="",B41=""),"",B38*B41/100)</f>
        <v/>
      </c>
      <c r="D41" s="71">
        <v>170</v>
      </c>
      <c r="E41" s="71" t="str">
        <f>IF(C41="","",C41-D41)</f>
        <v/>
      </c>
      <c r="F41">
        <v>70</v>
      </c>
    </row>
    <row r="42" spans="1:6" x14ac:dyDescent="0.35">
      <c r="A42" s="81" t="s">
        <v>842</v>
      </c>
      <c r="C42" s="82" t="str">
        <f>IF(COUNT(C38:C41)&lt;1,"",SUM(C38:C41))</f>
        <v/>
      </c>
      <c r="D42" s="71">
        <v>19310</v>
      </c>
      <c r="E42" s="83" t="str">
        <f>IF(C42="","",C42-D42)</f>
        <v/>
      </c>
    </row>
    <row r="43" spans="1:6" x14ac:dyDescent="0.35">
      <c r="A43" t="s">
        <v>843</v>
      </c>
      <c r="B43" s="66">
        <v>0.7</v>
      </c>
      <c r="C43" t="s">
        <v>844</v>
      </c>
    </row>
    <row r="44" spans="1:6" x14ac:dyDescent="0.35">
      <c r="A44" t="s">
        <v>845</v>
      </c>
      <c r="B44" t="str">
        <f>IF(C42="","",IF(C42&gt;D42,"YES — goal direction","NO — below/at industry"))</f>
        <v/>
      </c>
    </row>
    <row r="46" spans="1:6" x14ac:dyDescent="0.35">
      <c r="A46" s="64" t="s">
        <v>846</v>
      </c>
    </row>
    <row r="47" spans="1:6" x14ac:dyDescent="0.35">
      <c r="A47" s="68" t="s">
        <v>36</v>
      </c>
      <c r="B47" s="68" t="s">
        <v>834</v>
      </c>
      <c r="C47" s="68" t="s">
        <v>835</v>
      </c>
      <c r="D47" s="68" t="s">
        <v>836</v>
      </c>
      <c r="E47" s="68" t="s">
        <v>837</v>
      </c>
      <c r="F47" s="68" t="s">
        <v>838</v>
      </c>
    </row>
    <row r="48" spans="1:6" x14ac:dyDescent="0.35">
      <c r="A48" t="s">
        <v>839</v>
      </c>
      <c r="B48" s="74"/>
      <c r="C48" s="71" t="str">
        <f>IF(B48="","",B48)</f>
        <v/>
      </c>
      <c r="D48" s="71">
        <v>14000</v>
      </c>
      <c r="E48" s="71" t="str">
        <f>IF(C48="","",C48-D48)</f>
        <v/>
      </c>
      <c r="F48">
        <v>87</v>
      </c>
    </row>
    <row r="49" spans="1:6" x14ac:dyDescent="0.35">
      <c r="A49" t="s">
        <v>847</v>
      </c>
      <c r="B49" s="65"/>
      <c r="C49" s="74"/>
      <c r="D49" s="71">
        <v>1400</v>
      </c>
      <c r="E49" s="71" t="str">
        <f>IF(C49="","",C49-D49)</f>
        <v/>
      </c>
      <c r="F49">
        <v>84</v>
      </c>
    </row>
    <row r="50" spans="1:6" x14ac:dyDescent="0.35">
      <c r="A50" t="s">
        <v>848</v>
      </c>
      <c r="B50" s="65"/>
      <c r="C50" s="74"/>
      <c r="D50" s="71">
        <v>363</v>
      </c>
      <c r="E50" s="71" t="str">
        <f>IF(C50="","",C50-D50)</f>
        <v/>
      </c>
      <c r="F50">
        <v>72</v>
      </c>
    </row>
    <row r="51" spans="1:6" x14ac:dyDescent="0.35">
      <c r="A51" t="s">
        <v>841</v>
      </c>
      <c r="B51" s="80"/>
      <c r="C51" s="71" t="str">
        <f>IF(OR(B48="",B51=""),"",B48*B51/100)</f>
        <v/>
      </c>
      <c r="D51" s="71">
        <v>280</v>
      </c>
      <c r="E51" s="71" t="str">
        <f>IF(C51="","",C51-D51)</f>
        <v/>
      </c>
      <c r="F51">
        <v>70</v>
      </c>
    </row>
    <row r="52" spans="1:6" x14ac:dyDescent="0.35">
      <c r="A52" s="81" t="s">
        <v>842</v>
      </c>
      <c r="C52" s="82" t="str">
        <f>IF(COUNT(C48:C51)&lt;1,"",SUM(C48:C51))</f>
        <v/>
      </c>
      <c r="D52" s="71">
        <v>16043</v>
      </c>
      <c r="E52" s="83" t="str">
        <f>IF(C52="","",C52-D52)</f>
        <v/>
      </c>
    </row>
    <row r="53" spans="1:6" x14ac:dyDescent="0.35">
      <c r="A53" t="s">
        <v>849</v>
      </c>
      <c r="B53" s="66">
        <v>0.7</v>
      </c>
      <c r="C53" t="s">
        <v>850</v>
      </c>
    </row>
    <row r="54" spans="1:6" x14ac:dyDescent="0.35">
      <c r="A54" t="s">
        <v>845</v>
      </c>
      <c r="B54" t="str">
        <f>IF(C52="","",IF(C52&gt;D52,"YES — goal direction","NO — below/at industry"))</f>
        <v/>
      </c>
    </row>
    <row r="55" spans="1:6" x14ac:dyDescent="0.35">
      <c r="A55" t="s">
        <v>851</v>
      </c>
      <c r="B55" t="s">
        <v>852</v>
      </c>
    </row>
    <row r="57" spans="1:6" x14ac:dyDescent="0.35">
      <c r="A57" s="64" t="s">
        <v>853</v>
      </c>
    </row>
    <row r="58" spans="1:6" x14ac:dyDescent="0.35">
      <c r="A58" s="68" t="s">
        <v>854</v>
      </c>
      <c r="B58" s="68" t="s">
        <v>855</v>
      </c>
      <c r="C58" s="68" t="s">
        <v>856</v>
      </c>
      <c r="D58" s="68" t="s">
        <v>857</v>
      </c>
      <c r="E58" s="68" t="s">
        <v>858</v>
      </c>
      <c r="F58" s="68" t="s">
        <v>12</v>
      </c>
    </row>
    <row r="59" spans="1:6" x14ac:dyDescent="0.35">
      <c r="A59" s="72"/>
      <c r="B59" s="72"/>
      <c r="C59" s="72"/>
      <c r="D59" s="72"/>
      <c r="E59" s="72" t="str">
        <f>IF(OR(C59="",D59="",D59=0),"",C59/(D59*100))</f>
        <v/>
      </c>
      <c r="F59" s="72"/>
    </row>
    <row r="60" spans="1:6" x14ac:dyDescent="0.35">
      <c r="A60" s="72"/>
      <c r="B60" s="72"/>
      <c r="C60" s="72"/>
      <c r="D60" s="72"/>
      <c r="E60" s="72" t="str">
        <f>IF(OR(C60="",D60="",D60=0),"",C60/(D60*100))</f>
        <v/>
      </c>
      <c r="F60" s="72"/>
    </row>
    <row r="61" spans="1:6" x14ac:dyDescent="0.35">
      <c r="A61" s="72"/>
      <c r="B61" s="72"/>
      <c r="C61" s="72"/>
      <c r="D61" s="72"/>
      <c r="E61" s="72" t="str">
        <f>IF(OR(C61="",D61="",D61=0),"",C61/(D61*100))</f>
        <v/>
      </c>
      <c r="F61" s="72"/>
    </row>
    <row r="62" spans="1:6" x14ac:dyDescent="0.35">
      <c r="A62" s="72"/>
      <c r="B62" s="72"/>
      <c r="C62" s="72"/>
      <c r="D62" s="72"/>
      <c r="E62" s="72" t="str">
        <f>IF(OR(C62="",D62="",D62=0),"",C62/(D62*100))</f>
        <v/>
      </c>
      <c r="F62" s="72"/>
    </row>
    <row r="63" spans="1:6" x14ac:dyDescent="0.35">
      <c r="A63" s="72"/>
      <c r="B63" s="72"/>
      <c r="C63" s="72"/>
      <c r="D63" s="72"/>
      <c r="E63" s="72" t="str">
        <f>IF(OR(C63="",D63="",D63=0),"",C63/(D63*100))</f>
        <v/>
      </c>
      <c r="F63" s="72"/>
    </row>
    <row r="65" spans="1:2" x14ac:dyDescent="0.35">
      <c r="A65" t="s">
        <v>859</v>
      </c>
      <c r="B65" t="s">
        <v>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Instructions</vt:lpstr>
      <vt:lpstr>Needs</vt:lpstr>
      <vt:lpstr>Applications</vt:lpstr>
      <vt:lpstr>Price_WTP</vt:lpstr>
      <vt:lpstr>Market_Potential</vt:lpstr>
      <vt:lpstr>Sales_Channel</vt:lpstr>
      <vt:lpstr>Stores_Costs</vt:lpstr>
      <vt:lpstr>Manufacturing</vt:lpstr>
      <vt:lpstr>Production_Sim</vt:lpstr>
      <vt:lpstr>Cost_of_Production</vt:lpstr>
      <vt:lpstr>Demand_Forecast</vt:lpstr>
      <vt:lpstr>Pricing</vt:lpstr>
      <vt:lpstr>Media_Preference</vt:lpstr>
      <vt:lpstr>Web_SEO</vt:lpstr>
      <vt:lpstr>Sales_Ops</vt:lpstr>
      <vt:lpstr>Web_Productivity</vt:lpstr>
      <vt:lpstr>Needs_Ranked</vt:lpstr>
      <vt:lpstr>Growth_Room</vt:lpstr>
      <vt:lpstr>Competitor_CI</vt:lpstr>
      <vt:lpstr>Comp_Industry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Conger, Kyle E.</cp:lastModifiedBy>
  <dcterms:created xsi:type="dcterms:W3CDTF">2026-08-20T11:55:30Z</dcterms:created>
  <dcterms:modified xsi:type="dcterms:W3CDTF">2026-08-27T12:56:55Z</dcterms:modified>
</cp:coreProperties>
</file>