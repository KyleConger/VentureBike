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5" activeTab="7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ed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Price_WTP" sheetId="4" state="visible" r:id="rId4"/>
    <sheet xmlns:r="http://schemas.openxmlformats.org/officeDocument/2006/relationships" name="Market_Potential" sheetId="5" state="visible" r:id="rId5"/>
    <sheet xmlns:r="http://schemas.openxmlformats.org/officeDocument/2006/relationships" name="Sales_Channel" sheetId="6" state="visible" r:id="rId6"/>
    <sheet xmlns:r="http://schemas.openxmlformats.org/officeDocument/2006/relationships" name="Stores_Costs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Production_Sim" sheetId="9" state="visible" r:id="rId9"/>
    <sheet xmlns:r="http://schemas.openxmlformats.org/officeDocument/2006/relationships" name="Cost_of_Production" sheetId="10" state="visible" r:id="rId10"/>
    <sheet xmlns:r="http://schemas.openxmlformats.org/officeDocument/2006/relationships" name="Demand_Forecast" sheetId="11" state="visible" r:id="rId11"/>
    <sheet xmlns:r="http://schemas.openxmlformats.org/officeDocument/2006/relationships" name="Pricing" sheetId="12" state="visible" r:id="rId12"/>
    <sheet xmlns:r="http://schemas.openxmlformats.org/officeDocument/2006/relationships" name="Media_Preference" sheetId="13" state="visible" r:id="rId13"/>
    <sheet xmlns:r="http://schemas.openxmlformats.org/officeDocument/2006/relationships" name="Web_SEO" sheetId="14" state="visible" r:id="rId14"/>
    <sheet xmlns:r="http://schemas.openxmlformats.org/officeDocument/2006/relationships" name="Sales_Ops" sheetId="15" state="visible" r:id="rId15"/>
    <sheet xmlns:r="http://schemas.openxmlformats.org/officeDocument/2006/relationships" name="Web_Productivity" sheetId="16" state="visible" r:id="rId16"/>
    <sheet xmlns:r="http://schemas.openxmlformats.org/officeDocument/2006/relationships" name="Needs_Ranked" sheetId="17" state="visible" r:id="rId17"/>
    <sheet xmlns:r="http://schemas.openxmlformats.org/officeDocument/2006/relationships" name="Growth_Room" sheetId="18" state="visible" r:id="rId18"/>
    <sheet xmlns:r="http://schemas.openxmlformats.org/officeDocument/2006/relationships" name="Competitor_CI" sheetId="19" state="visible" r:id="rId19"/>
    <sheet xmlns:r="http://schemas.openxmlformats.org/officeDocument/2006/relationships" name="Comp_Industry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5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b val="1"/>
      <sz val="11"/>
    </font>
    <font>
      <b val="1"/>
      <sz val="14"/>
    </font>
    <font>
      <b val="1"/>
    </font>
  </fonts>
  <fills count="2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16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/>
      <right style="thin"/>
      <top style="thin"/>
      <bottom style="thin"/>
    </border>
    <border/>
  </borders>
  <cellStyleXfs count="2">
    <xf numFmtId="0" fontId="7" fillId="0" borderId="11"/>
    <xf numFmtId="0" fontId="7" fillId="9" borderId="11"/>
  </cellStyleXfs>
  <cellXfs count="13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3" borderId="12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0" fillId="0" borderId="11" pivotButton="0" quotePrefix="0" xfId="0"/>
    <xf numFmtId="0" fontId="18" fillId="0" borderId="0" pivotButton="0" quotePrefix="0" xfId="0"/>
    <xf numFmtId="0" fontId="0" fillId="10" borderId="13" pivotButton="0" quotePrefix="0" xfId="0"/>
    <xf numFmtId="0" fontId="0" fillId="3" borderId="13" applyAlignment="1" pivotButton="0" quotePrefix="0" xfId="0">
      <alignment vertical="top" wrapText="1"/>
    </xf>
    <xf numFmtId="0" fontId="18" fillId="0" borderId="11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2" fontId="0" fillId="19" borderId="0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Operating Capacity Costs per Unit</a:t>
            </a:r>
          </a:p>
        </rich>
      </tx>
    </title>
    <plotArea>
      <lineChart>
        <grouping val="standard"/>
        <ser>
          <idx val="0"/>
          <order val="0"/>
          <tx>
            <strRef>
              <f>'Manufacturing'!B56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'Manufacturing'!$A$57:$A$71</f>
            </numRef>
          </cat>
          <val>
            <numRef>
              <f>'Manufacturing'!$B$57:$B$71</f>
            </numRef>
          </val>
        </ser>
        <ser>
          <idx val="1"/>
          <order val="1"/>
          <tx>
            <strRef>
              <f>'Manufacturing'!C56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'Manufacturing'!$A$57:$A$71</f>
            </numRef>
          </cat>
          <val>
            <numRef>
              <f>'Manufacturing'!$C$57:$C$71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Operating Capacity (units/day)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Cost per unit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Projected Change in Worker Productivity</a:t>
            </a:r>
          </a:p>
        </rich>
      </tx>
    </title>
    <plotArea>
      <lineChart>
        <grouping val="standard"/>
        <ser>
          <idx val="0"/>
          <order val="0"/>
          <tx>
            <strRef>
              <f>'Manufacturing'!B100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'Manufacturing'!$A$101:$A$105</f>
            </numRef>
          </cat>
          <val>
            <numRef>
              <f>'Manufacturing'!$B$101:$B$105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Overtime Hours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Productivity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Hike Bike unit cost vs volume</a:t>
            </a:r>
          </a:p>
        </rich>
      </tx>
    </title>
    <plotArea>
      <lineChart>
        <grouping val="standard"/>
        <ser>
          <idx val="0"/>
          <order val="0"/>
          <tx>
            <strRef>
              <f>'Cost_of_Production'!B5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'Cost_of_Production'!$B$8:$G$8</f>
            </numRef>
          </cat>
          <val>
            <numRef>
              <f>'Cost_of_Production'!$C$5:$G$5</f>
            </numRef>
          </val>
        </ser>
        <ser>
          <idx val="1"/>
          <order val="1"/>
          <tx>
            <strRef>
              <f>'Cost_of_Production'!B6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'Cost_of_Production'!$B$8:$G$8</f>
            </numRef>
          </cat>
          <val>
            <numRef>
              <f>'Cost_of_Production'!$C$6:$G$6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Units (all brands)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Unit cost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 preference by segment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'Media_Preference'!B5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'Media_Preference'!$A$6:$A$12</f>
            </numRef>
          </cat>
          <val>
            <numRef>
              <f>'Media_Preference'!$B$6:$B$12</f>
            </numRef>
          </val>
        </ser>
        <ser>
          <idx val="1"/>
          <order val="1"/>
          <tx>
            <strRef>
              <f>'Media_Preference'!C5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'Media_Preference'!$A$6:$A$12</f>
            </numRef>
          </cat>
          <val>
            <numRef>
              <f>'Media_Preference'!$C$6:$C$12</f>
            </numRef>
          </val>
        </ser>
        <ser>
          <idx val="2"/>
          <order val="2"/>
          <tx>
            <strRef>
              <f>'Media_Preference'!D5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'Media_Preference'!$A$6:$A$12</f>
            </numRef>
          </cat>
          <val>
            <numRef>
              <f>'Media_Preference'!$D$6:$D$12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Medium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Preference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Potential Improvement [%] vs Quarterly Budget</a:t>
            </a:r>
          </a:p>
        </rich>
      </tx>
    </title>
    <plotArea>
      <lineChart>
        <grouping val="standard"/>
        <ser>
          <idx val="0"/>
          <order val="0"/>
          <tx>
            <strRef>
              <f>'Web_Productivity'!B20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'Web_Productivity'!$A$21:$A$27</f>
            </numRef>
          </cat>
          <val>
            <numRef>
              <f>'Web_Productivity'!$B$21:$B$27</f>
            </numRef>
          </val>
        </ser>
        <ser>
          <idx val="1"/>
          <order val="1"/>
          <tx>
            <strRef>
              <f>'Web_Productivity'!C20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'Web_Productivity'!$A$21:$A$27</f>
            </numRef>
          </cat>
          <val>
            <numRef>
              <f>'Web_Productivity'!$C$21:$C$27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Quarterly Budget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Potential Improvement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67" min="1" max="1"/>
    <col width="48" customWidth="1" style="67" min="2" max="2"/>
    <col width="40" customWidth="1" style="67" min="3" max="3"/>
  </cols>
  <sheetData>
    <row r="1" ht="21" customHeight="1" s="67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72" t="inlineStr">
        <is>
          <t>Demand = units/SP × people; brand split; this Q + next Q</t>
        </is>
      </c>
      <c r="C14" s="72" t="inlineStr">
        <is>
          <t>OC schedule + printer planning + pricing volume</t>
        </is>
      </c>
    </row>
    <row r="15">
      <c r="A15" s="72" t="inlineStr">
        <is>
          <t>Pricing</t>
        </is>
      </c>
      <c r="B15" s="72" t="inlineStr">
        <is>
          <t>Brand list price decision (Hike Bike)</t>
        </is>
      </c>
      <c r="C15" s="72" t="inlineStr">
        <is>
          <t>Price vs WTP and unit cost</t>
        </is>
      </c>
    </row>
    <row r="16">
      <c r="A16" s="73" t="inlineStr">
        <is>
          <t>Media_Preference</t>
        </is>
      </c>
      <c r="B16" s="72" t="inlineStr">
        <is>
          <t>One-time media preference by segment + placement</t>
        </is>
      </c>
      <c r="C16" s="72" t="inlineStr">
        <is>
          <t>Major media buys</t>
        </is>
      </c>
    </row>
    <row r="17">
      <c r="A17" s="34" t="inlineStr">
        <is>
          <t>Web_SEO</t>
        </is>
      </c>
      <c r="B17" s="72" t="inlineStr">
        <is>
          <t>Organic SEM web pages from ads + segment keywords</t>
        </is>
      </c>
      <c r="C17" s="72" t="inlineStr">
        <is>
          <t>Website / organic search</t>
        </is>
      </c>
    </row>
    <row r="18">
      <c r="A18" s="72" t="inlineStr">
        <is>
          <t>Sales_Ops</t>
        </is>
      </c>
      <c r="B18" s="72" t="inlineStr">
        <is>
          <t>Store/web staffing, city #2, demand bridge</t>
        </is>
      </c>
      <c r="C18" s="7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67" min="1" max="1"/>
    <col width="12" customWidth="1" style="67" min="2" max="4"/>
    <col width="8" customWidth="1" style="67" min="5" max="5"/>
    <col width="12" customWidth="1" style="67" min="6" max="8"/>
    <col width="18" customWidth="1" style="67" min="9" max="9"/>
    <col width="40" customWidth="1" style="67" min="10" max="10"/>
  </cols>
  <sheetData>
    <row r="1" ht="18.5" customHeight="1" s="67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67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67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67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67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67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67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67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67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67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67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67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67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67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67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67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67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67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67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67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67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67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67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67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67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67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67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67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67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67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67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67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67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67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67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67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67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67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topLeftCell="A9" workbookViewId="0">
      <selection activeCell="G14" sqref="G14"/>
    </sheetView>
  </sheetViews>
  <sheetFormatPr baseColWidth="8" defaultRowHeight="14.5"/>
  <cols>
    <col width="34" customWidth="1" style="67" min="1" max="1"/>
    <col width="12" customWidth="1" style="67" min="2" max="4"/>
    <col width="8" customWidth="1" style="67" min="5" max="5"/>
    <col width="12" customWidth="1" style="67" min="6" max="8"/>
    <col width="36" customWidth="1" style="67" min="9" max="9"/>
    <col width="14" customWidth="1" style="67" min="10" max="10"/>
  </cols>
  <sheetData>
    <row r="1" ht="18.5" customHeight="1" s="67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67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67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67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67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67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67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67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67" min="1" max="1"/>
    <col width="12" customWidth="1" style="67" min="2" max="2"/>
    <col width="10" customWidth="1" style="67" min="3" max="3"/>
    <col width="12" customWidth="1" style="67" min="4" max="4"/>
    <col width="36" customWidth="1" style="67" min="5" max="5"/>
    <col width="18" customWidth="1" style="67" min="6" max="6"/>
    <col width="36" customWidth="1" style="67" min="7" max="7"/>
  </cols>
  <sheetData>
    <row r="1" ht="18.5" customHeight="1" s="67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67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76" t="n"/>
      <c r="B10" s="64" t="n"/>
      <c r="C10" s="64" t="n"/>
      <c r="D10" s="64" t="n"/>
      <c r="E10" s="64" t="n"/>
      <c r="F10" s="64" t="n"/>
      <c r="G10" s="65" t="n"/>
    </row>
    <row r="11">
      <c r="A11" s="66" t="n"/>
      <c r="G11" s="68" t="n"/>
    </row>
    <row r="12">
      <c r="A12" s="69" t="n"/>
      <c r="B12" s="70" t="n"/>
      <c r="C12" s="70" t="n"/>
      <c r="D12" s="70" t="n"/>
      <c r="E12" s="70" t="n"/>
      <c r="F12" s="70" t="n"/>
      <c r="G12" s="71" t="n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7" sqref="C7"/>
    </sheetView>
  </sheetViews>
  <sheetFormatPr baseColWidth="8" defaultRowHeight="14.5"/>
  <cols>
    <col width="18" customWidth="1" style="67" min="1" max="1"/>
    <col width="12" customWidth="1" style="67" min="2" max="5"/>
    <col width="16" customWidth="1" style="67" min="6" max="6"/>
    <col width="18" customWidth="1" style="67" min="7" max="7"/>
    <col width="40" customWidth="1" style="67" min="8" max="8"/>
  </cols>
  <sheetData>
    <row r="1" ht="18.5" customHeight="1" s="67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67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67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67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67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67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B10" sqref="B10"/>
    </sheetView>
  </sheetViews>
  <sheetFormatPr baseColWidth="8" defaultRowHeight="14.5"/>
  <cols>
    <col width="48" customWidth="1" style="67" min="1" max="1"/>
    <col width="50" customWidth="1" style="67" min="2" max="2"/>
    <col width="42" customWidth="1" style="67" min="3" max="3"/>
    <col width="28" customWidth="1" style="67" min="4" max="4"/>
    <col width="12" customWidth="1" style="67" min="5" max="5"/>
    <col width="18" customWidth="1" style="67" min="6" max="6"/>
    <col width="40" customWidth="1" style="67" min="7" max="7"/>
  </cols>
  <sheetData>
    <row r="1" ht="18.5" customHeight="1" s="67">
      <c r="A1" s="36" t="inlineStr">
        <is>
          <t>Sales Channel Strategy — connects to Market_Potential</t>
        </is>
      </c>
    </row>
    <row r="2">
      <c r="A2" s="73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67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67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72" t="inlineStr">
        <is>
          <t>1. Both channels are expensive to start together — may open one first, then expand.</t>
        </is>
      </c>
    </row>
    <row r="18">
      <c r="A18" s="72" t="inlineStr">
        <is>
          <t>2. Web and stores cannibalize each other → lower productivity per channel; dual channels may still raise TOTAL demand.</t>
        </is>
      </c>
    </row>
    <row r="19">
      <c r="A19" s="72" t="inlineStr">
        <is>
          <t>3. Segment preferences differ for web vs store — Rec especially wants humans + web (see Needs).</t>
        </is>
      </c>
    </row>
    <row r="20">
      <c r="A20" s="72" t="inlineStr">
        <is>
          <t>4. Must schedule first channel in Q1 (takes a full quarter) to test in Q2.</t>
        </is>
      </c>
    </row>
    <row r="21">
      <c r="A21" s="72" t="inlineStr">
        <is>
          <t>5. Recommended: one store for test marketing; add more after learning.</t>
        </is>
      </c>
    </row>
    <row r="22">
      <c r="A22" s="72" t="inlineStr">
        <is>
          <t>6. Store ~3,200 sq ft / 300 m²: display ~50%, fitting ~20%, service ~15%, counter/office/storage ~15%. Middle-class area near major road.</t>
        </is>
      </c>
    </row>
    <row r="23">
      <c r="A23" s="72" t="inlineStr">
        <is>
          <t>7. POP displays + several bikes; fitting area for custom measurements.</t>
        </is>
      </c>
    </row>
    <row r="24">
      <c r="A24" s="72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72" t="inlineStr">
        <is>
          <t>1. Daily web orders (dimensions + preferences) → single fabrication facility.</t>
        </is>
      </c>
    </row>
    <row r="28">
      <c r="A28" s="72" t="inlineStr">
        <is>
          <t>2. 3D modeling software generates customized frame specs.</t>
        </is>
      </c>
    </row>
    <row r="29">
      <c r="A29" s="72" t="inlineStr">
        <is>
          <t>3. Next day: produce; end of day box, containerize, ship to each city.</t>
        </is>
      </c>
    </row>
    <row r="30">
      <c r="A30" s="72" t="inlineStr">
        <is>
          <t>4. If store in city: bikes to store for customer pickup.</t>
        </is>
      </c>
    </row>
    <row r="31">
      <c r="A31" s="72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G9" sqref="G9"/>
    </sheetView>
  </sheetViews>
  <sheetFormatPr baseColWidth="8" defaultRowHeight="14.5"/>
  <cols>
    <col width="28" customWidth="1" style="67" min="1" max="1"/>
    <col width="14" customWidth="1" style="67" min="2" max="5"/>
    <col width="18" customWidth="1" style="67" min="6" max="7"/>
    <col width="14" customWidth="1" style="67" min="8" max="8"/>
  </cols>
  <sheetData>
    <row r="1" ht="18.5" customHeight="1" s="67">
      <c r="A1" s="49" t="inlineStr">
        <is>
          <t>Sales outlets and web — setup and lease costs</t>
        </is>
      </c>
    </row>
    <row r="2">
      <c r="A2" s="74" t="inlineStr">
        <is>
          <t>Full quarter to open. LIVE: Amsterdam store + World web. City #2 undecided (NYC candidate).</t>
        </is>
      </c>
    </row>
    <row r="4">
      <c r="A4" t="inlineStr">
        <is>
          <t>Brick-and-mortar stores</t>
        </is>
      </c>
    </row>
    <row r="5" ht="29" customHeight="1" s="67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48" t="inlineStr">
        <is>
          <t>closed</t>
        </is>
      </c>
      <c r="C7" s="48" t="n">
        <v>90000</v>
      </c>
      <c r="D7" s="48" t="n">
        <v>17000</v>
      </c>
      <c r="E7" s="48" t="n">
        <v>4194</v>
      </c>
      <c r="F7" s="48" t="n"/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67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67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75" t="inlineStr">
        <is>
          <t>AMS + web + 2 printers</t>
        </is>
      </c>
      <c r="B19" s="75" t="n">
        <v>2</v>
      </c>
      <c r="C19" s="75" t="n">
        <v>480000</v>
      </c>
      <c r="D19" s="75" t="n">
        <v>136000</v>
      </c>
      <c r="E19" s="75" t="n">
        <v>150000</v>
      </c>
      <c r="F19" s="75" t="n">
        <v>766000</v>
      </c>
      <c r="G19" s="75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74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7"/>
  <sheetViews>
    <sheetView tabSelected="1" workbookViewId="0">
      <selection activeCell="K15" sqref="K15"/>
    </sheetView>
  </sheetViews>
  <sheetFormatPr baseColWidth="8" defaultRowHeight="14.5"/>
  <cols>
    <col width="58" customWidth="1" style="67" min="1" max="1"/>
    <col width="14" customWidth="1" style="67" min="2" max="2"/>
    <col width="16" customWidth="1" style="67" min="3" max="3"/>
    <col width="48" customWidth="1" style="67" min="4" max="6"/>
    <col width="36" customWidth="1" style="67" min="7" max="7"/>
  </cols>
  <sheetData>
    <row r="1" ht="18.5" customHeight="1" s="67">
      <c r="A1" s="49" t="inlineStr">
        <is>
          <t>Manufacturing — Bangalore production facility</t>
        </is>
      </c>
    </row>
    <row r="2">
      <c r="A2" s="77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74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>
      <c r="A24" s="119" t="inlineStr">
        <is>
          <t>Operating Capacity (Workspace — Q2)</t>
        </is>
      </c>
      <c r="B24" s="103" t="n"/>
      <c r="C24" s="103" t="n"/>
      <c r="D24" s="103" t="n"/>
      <c r="E24" s="103" t="n"/>
      <c r="F24" s="103" t="n"/>
      <c r="G24" s="103" t="n"/>
      <c r="H24" s="103" t="n"/>
      <c r="I24" s="103" t="n"/>
      <c r="J24" s="103" t="n"/>
      <c r="K24" s="103" t="n"/>
    </row>
    <row r="25">
      <c r="A25" s="103" t="inlineStr">
        <is>
          <t>Fixed capacity available THIS quarter</t>
        </is>
      </c>
      <c r="B25" s="103" t="n">
        <v>24</v>
      </c>
      <c r="C25" s="103" t="inlineStr">
        <is>
          <t>units/day</t>
        </is>
      </c>
      <c r="D25" s="103" t="n"/>
      <c r="E25" s="103" t="n"/>
      <c r="F25" s="103" t="n"/>
      <c r="G25" s="103" t="n"/>
      <c r="H25" s="103" t="n"/>
      <c r="I25" s="103" t="n"/>
      <c r="J25" s="103" t="n"/>
      <c r="K25" s="103" t="n"/>
    </row>
    <row r="26">
      <c r="A26" s="103" t="inlineStr">
        <is>
          <t>Quarterly fixed capacity (×65)</t>
        </is>
      </c>
      <c r="B26" s="103">
        <f>B25*65</f>
        <v/>
      </c>
      <c r="C26" s="103" t="inlineStr">
        <is>
          <t>1,560 at full fixed</t>
        </is>
      </c>
      <c r="D26" s="103" t="n"/>
      <c r="E26" s="103" t="n"/>
      <c r="F26" s="103" t="n"/>
      <c r="G26" s="103" t="n"/>
      <c r="H26" s="103" t="n"/>
      <c r="I26" s="103" t="n"/>
      <c r="J26" s="103" t="n"/>
      <c r="K26" s="103" t="n"/>
    </row>
    <row r="27">
      <c r="A27" s="103" t="n"/>
      <c r="B27" s="103" t="n"/>
      <c r="C27" s="103" t="n"/>
      <c r="D27" s="103" t="n"/>
      <c r="E27" s="103" t="n"/>
      <c r="F27" s="103" t="n"/>
      <c r="G27" s="103" t="n"/>
      <c r="H27" s="103" t="n"/>
      <c r="I27" s="103" t="n"/>
      <c r="J27" s="103" t="n"/>
      <c r="K27" s="103" t="n"/>
    </row>
    <row r="28">
      <c r="A28" s="102" t="inlineStr">
        <is>
          <t>Demand &amp; productivity inputs</t>
        </is>
      </c>
      <c r="B28" s="103" t="n"/>
      <c r="C28" s="103" t="n"/>
      <c r="D28" s="103" t="n"/>
      <c r="E28" s="103" t="n"/>
      <c r="F28" s="103" t="n"/>
      <c r="G28" s="103" t="n"/>
      <c r="H28" s="103" t="n"/>
      <c r="I28" s="103" t="n"/>
      <c r="J28" s="103" t="n"/>
      <c r="K28" s="103" t="n"/>
    </row>
    <row r="29">
      <c r="A29" s="103" t="inlineStr">
        <is>
          <t>Total forecasted demand (all brands)</t>
        </is>
      </c>
      <c r="B29" s="105">
        <f>IF(Demand_Forecast!B12="","",Demand_Forecast!B12)</f>
        <v/>
      </c>
      <c r="C29" s="103" t="inlineStr">
        <is>
          <t>from Demand_Forecast</t>
        </is>
      </c>
      <c r="D29" s="103" t="n"/>
      <c r="E29" s="103" t="n"/>
      <c r="F29" s="103" t="n"/>
      <c r="G29" s="103" t="n"/>
      <c r="H29" s="103" t="n"/>
      <c r="I29" s="103" t="n"/>
      <c r="J29" s="103" t="n"/>
      <c r="K29" s="103" t="n"/>
    </row>
    <row r="30">
      <c r="A30" s="102" t="inlineStr">
        <is>
          <t>Worker productivity (HR)</t>
        </is>
      </c>
      <c r="B30" s="120" t="n">
        <v>0.7</v>
      </c>
      <c r="C30" s="103" t="inlineStr">
        <is>
          <t>Workspace default 70%; sync Comp_Industry when locked</t>
        </is>
      </c>
      <c r="D30" s="103" t="n"/>
      <c r="E30" s="103" t="n"/>
      <c r="F30" s="103" t="n"/>
      <c r="G30" s="103" t="n"/>
      <c r="H30" s="103" t="n"/>
      <c r="I30" s="103" t="n"/>
      <c r="J30" s="103" t="n"/>
      <c r="K30" s="103" t="n"/>
    </row>
    <row r="31">
      <c r="A31" s="103" t="inlineStr">
        <is>
          <t>(alias) demand</t>
        </is>
      </c>
      <c r="B31" s="103">
        <f>B29</f>
        <v/>
      </c>
      <c r="C31" s="103" t="n"/>
      <c r="D31" s="103" t="n"/>
      <c r="E31" s="103" t="n"/>
      <c r="F31" s="103" t="n"/>
      <c r="G31" s="103" t="n"/>
      <c r="H31" s="103" t="n"/>
      <c r="I31" s="103" t="n"/>
      <c r="J31" s="103" t="n"/>
      <c r="K31" s="103" t="n"/>
    </row>
    <row r="32">
      <c r="A32" s="103" t="inlineStr">
        <is>
          <t>(alias) productivity</t>
        </is>
      </c>
      <c r="B32" s="121">
        <f>B30</f>
        <v/>
      </c>
      <c r="C32" s="103" t="n"/>
      <c r="D32" s="103" t="n"/>
      <c r="E32" s="103" t="n"/>
      <c r="F32" s="103" t="n"/>
      <c r="G32" s="103" t="n"/>
      <c r="H32" s="103" t="n"/>
      <c r="I32" s="103" t="n"/>
      <c r="J32" s="103" t="n"/>
      <c r="K32" s="103" t="n"/>
    </row>
    <row r="33">
      <c r="A33" s="103" t="inlineStr">
        <is>
          <t>Productivity loss pad</t>
        </is>
      </c>
      <c r="B33" s="103">
        <f>IF(B30="","",1+(1-B30))</f>
        <v/>
      </c>
      <c r="C33" s="103" t="inlineStr">
        <is>
          <t>e.g. 70% → ×1.30</t>
        </is>
      </c>
      <c r="D33" s="103" t="n"/>
      <c r="E33" s="103" t="n"/>
      <c r="F33" s="103" t="n"/>
      <c r="G33" s="103" t="n"/>
      <c r="H33" s="103" t="n"/>
      <c r="I33" s="103" t="n"/>
      <c r="J33" s="103" t="n"/>
      <c r="K33" s="103" t="n"/>
    </row>
    <row r="34">
      <c r="A34" s="102" t="inlineStr">
        <is>
          <t>Operating Capacity — Workspace table</t>
        </is>
      </c>
      <c r="B34" s="103" t="n"/>
      <c r="C34" s="103" t="n"/>
      <c r="D34" s="103" t="n"/>
      <c r="E34" s="103" t="n"/>
      <c r="F34" s="103" t="n"/>
      <c r="G34" s="103" t="n"/>
      <c r="H34" s="103" t="n"/>
      <c r="I34" s="103" t="n"/>
      <c r="J34" s="103" t="n"/>
      <c r="K34" s="103" t="n"/>
    </row>
    <row r="35">
      <c r="A35" s="82" t="inlineStr">
        <is>
          <t>Metric</t>
        </is>
      </c>
      <c r="B35" s="82" t="inlineStr">
        <is>
          <t>Units per Day</t>
        </is>
      </c>
      <c r="C35" s="82" t="inlineStr">
        <is>
          <t>Units per Quarter</t>
        </is>
      </c>
      <c r="D35" s="82" t="inlineStr">
        <is>
          <t>Notes</t>
        </is>
      </c>
      <c r="E35" s="103" t="n"/>
      <c r="F35" s="103" t="n"/>
      <c r="G35" s="103" t="n"/>
      <c r="H35" s="103" t="n"/>
      <c r="I35" s="103" t="n"/>
      <c r="J35" s="103" t="n"/>
      <c r="K35" s="103" t="n"/>
    </row>
    <row r="36">
      <c r="A36" s="90" t="inlineStr">
        <is>
          <t>Fixed capacity (previous quarter)</t>
        </is>
      </c>
      <c r="B36" s="101" t="n">
        <v>0</v>
      </c>
      <c r="C36" s="101" t="n">
        <v>0</v>
      </c>
      <c r="D36" s="90" t="inlineStr">
        <is>
          <t>Q1: printers not yet online</t>
        </is>
      </c>
      <c r="E36" s="103" t="n"/>
      <c r="F36" s="103" t="n"/>
      <c r="G36" s="103" t="n"/>
      <c r="H36" s="103" t="n"/>
      <c r="I36" s="103" t="n"/>
      <c r="J36" s="103" t="n"/>
      <c r="K36" s="103" t="n"/>
    </row>
    <row r="37">
      <c r="A37" s="90" t="inlineStr">
        <is>
          <t>Operating capacity (previous quarter)</t>
        </is>
      </c>
      <c r="B37" s="101" t="n">
        <v>0</v>
      </c>
      <c r="C37" s="101" t="n">
        <v>0</v>
      </c>
      <c r="D37" s="90" t="inlineStr">
        <is>
          <t>Q1: no production</t>
        </is>
      </c>
      <c r="E37" s="103" t="n"/>
      <c r="F37" s="103" t="n"/>
      <c r="G37" s="103" t="n"/>
      <c r="H37" s="103" t="n"/>
      <c r="I37" s="103" t="n"/>
      <c r="J37" s="103" t="n"/>
      <c r="K37" s="103" t="n"/>
    </row>
    <row r="38">
      <c r="A38" s="90" t="inlineStr">
        <is>
          <t>Fixed capacity</t>
        </is>
      </c>
      <c r="B38" s="101">
        <f>B25</f>
        <v/>
      </c>
      <c r="C38" s="111">
        <f>B25*65</f>
        <v/>
      </c>
      <c r="D38" s="90" t="inlineStr">
        <is>
          <t>24 / day · 1,560 / quarter</t>
        </is>
      </c>
    </row>
    <row r="39">
      <c r="A39" s="114" t="inlineStr">
        <is>
          <t>Operating capacity  ← CHANGEABLE</t>
        </is>
      </c>
      <c r="B39" s="86" t="n">
        <v>0</v>
      </c>
      <c r="C39" s="111">
        <f>IF(B39="","",B39*65)</f>
        <v/>
      </c>
      <c r="D39" s="90" t="inlineStr">
        <is>
          <t>Cannot exceed fixed 24. Yellow = decision</t>
        </is>
      </c>
    </row>
    <row r="40">
      <c r="A40" s="90" t="inlineStr">
        <is>
          <t>Effective OC after adjustment for worker productivity</t>
        </is>
      </c>
      <c r="B40" s="122">
        <f>IF(OR(B39="",B30=""),"",B39*B30)</f>
        <v/>
      </c>
      <c r="C40" s="111">
        <f>IF(B40="","",B40*65)</f>
        <v/>
      </c>
      <c r="D40" s="90" t="inlineStr">
        <is>
          <t>Scheduled OC × productivity % (e.g. 10×0.70=7)</t>
        </is>
      </c>
    </row>
    <row r="41">
      <c r="A41" s="90" t="inlineStr">
        <is>
          <t>Effective OC needed for demand projection</t>
        </is>
      </c>
      <c r="B41" s="122">
        <f>IF(OR(B29="",B30=""),"",(B29/65)*(1+(1-B30)))</f>
        <v/>
      </c>
      <c r="C41" s="111">
        <f>IF(OR(B29="",B30=""),"",B29*(1+(1-B30)))</f>
        <v/>
      </c>
      <c r="D41" s="90" t="inlineStr">
        <is>
          <t>Demand/65 × (1 + productivity loss)</t>
        </is>
      </c>
    </row>
    <row r="42">
      <c r="A42" s="90" t="inlineStr">
        <is>
          <t>Projected worker productivity [%]</t>
        </is>
      </c>
      <c r="B42" s="116">
        <f>B30</f>
        <v/>
      </c>
      <c r="C42" s="90" t="n"/>
      <c r="D42" s="90" t="inlineStr">
        <is>
          <t>Same as B30</t>
        </is>
      </c>
    </row>
    <row r="43">
      <c r="A43" s="90" t="inlineStr">
        <is>
          <t>New direct labor cost/unit of operating capacity</t>
        </is>
      </c>
      <c r="B43" s="123">
        <f>IF(B39="","",IF(B39&lt;=1,1200,IF(B39&lt;=2,380,IF(B39&lt;=4,220,IF(B39&lt;=6,190,IF(B39&lt;=8,170,IF(B39&lt;=10,155,IF(B39&lt;=12,145,IF(B39&lt;=14,135,IF(B39&lt;=16,125,IF(B39&lt;=18,115,IF(B39&lt;=20,110,IF(B39&lt;=22,120,IF(B39&lt;=24,190,IF(B39&lt;=25,300,400))))))))))))))</f>
        <v/>
      </c>
      <c r="D43" s="90" t="inlineStr">
        <is>
          <t>Approx from Workspace cost curve</t>
        </is>
      </c>
    </row>
    <row r="44">
      <c r="A44" s="90" t="inlineStr">
        <is>
          <t>New overhead cost/unit of operating capacity</t>
        </is>
      </c>
      <c r="B44" s="123">
        <f>IF(B39="","",IF(B39&lt;=1,1400,IF(B39&lt;=2,350,IF(B39&lt;=4,180,IF(B39&lt;=6,130,IF(B39&lt;=8,95,IF(B39&lt;=10,80,IF(B39&lt;=12,70,IF(B39&lt;=14,60,IF(B39&lt;=16,55,IF(B39&lt;=20,50,IF(B39&lt;=24,45,45)))))))))))</f>
        <v/>
      </c>
      <c r="D44" s="90" t="inlineStr">
        <is>
          <t>Falls then flats ~$45–50</t>
        </is>
      </c>
    </row>
    <row r="45">
      <c r="A45" s="90" t="inlineStr">
        <is>
          <t>Expense to change operating capacity (add to overhead)</t>
        </is>
      </c>
      <c r="B45" s="88" t="n">
        <v>0</v>
      </c>
      <c r="D45" s="90" t="inlineStr">
        <is>
          <t>Paste from Workspace if non-zero</t>
        </is>
      </c>
    </row>
    <row r="46">
      <c r="A46" s="90" t="inlineStr">
        <is>
          <t>Labor + overhead $/unit at scheduled OC</t>
        </is>
      </c>
      <c r="B46" s="124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78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86" t="n">
        <v>0</v>
      </c>
      <c r="C53" t="inlineStr">
        <is>
          <t>0–4 hours</t>
        </is>
      </c>
    </row>
    <row r="55">
      <c r="A55" s="78" t="inlineStr">
        <is>
          <t>Operating Capacity Costs per Unit (approx Workspace chart)</t>
        </is>
      </c>
    </row>
    <row r="56">
      <c r="A56" s="82" t="inlineStr">
        <is>
          <t>OC units/day</t>
        </is>
      </c>
      <c r="B56" s="82" t="inlineStr">
        <is>
          <t>Labor $/unit</t>
        </is>
      </c>
      <c r="C56" s="82" t="inlineStr">
        <is>
          <t>Overhead $/unit</t>
        </is>
      </c>
      <c r="D56" s="82" t="inlineStr">
        <is>
          <t>Labor+OH</t>
        </is>
      </c>
    </row>
    <row r="57">
      <c r="A57" s="90" t="n">
        <v>1</v>
      </c>
      <c r="B57" s="84" t="n">
        <v>1200</v>
      </c>
      <c r="C57" s="84" t="n">
        <v>1400</v>
      </c>
      <c r="D57" s="84">
        <f>B57+C57</f>
        <v/>
      </c>
    </row>
    <row r="58">
      <c r="A58" s="90" t="n">
        <v>2</v>
      </c>
      <c r="B58" s="84" t="n">
        <v>380</v>
      </c>
      <c r="C58" s="84" t="n">
        <v>350</v>
      </c>
      <c r="D58" s="84">
        <f>B58+C58</f>
        <v/>
      </c>
    </row>
    <row r="59">
      <c r="A59" s="90" t="n">
        <v>4</v>
      </c>
      <c r="B59" s="84" t="n">
        <v>220</v>
      </c>
      <c r="C59" s="84" t="n">
        <v>180</v>
      </c>
      <c r="D59" s="84">
        <f>B59+C59</f>
        <v/>
      </c>
    </row>
    <row r="60">
      <c r="A60" s="90" t="n">
        <v>6</v>
      </c>
      <c r="B60" s="84" t="n">
        <v>190</v>
      </c>
      <c r="C60" s="84" t="n">
        <v>130</v>
      </c>
      <c r="D60" s="84">
        <f>B60+C60</f>
        <v/>
      </c>
    </row>
    <row r="61">
      <c r="A61" s="90" t="n">
        <v>8</v>
      </c>
      <c r="B61" s="84" t="n">
        <v>170</v>
      </c>
      <c r="C61" s="84" t="n">
        <v>95</v>
      </c>
      <c r="D61" s="84">
        <f>B61+C61</f>
        <v/>
      </c>
    </row>
    <row r="62">
      <c r="A62" s="90" t="n">
        <v>10</v>
      </c>
      <c r="B62" s="84" t="n">
        <v>155</v>
      </c>
      <c r="C62" s="84" t="n">
        <v>80</v>
      </c>
      <c r="D62" s="84">
        <f>B62+C62</f>
        <v/>
      </c>
    </row>
    <row r="63">
      <c r="A63" s="90" t="n">
        <v>12</v>
      </c>
      <c r="B63" s="84" t="n">
        <v>145</v>
      </c>
      <c r="C63" s="84" t="n">
        <v>70</v>
      </c>
      <c r="D63" s="84">
        <f>B63+C63</f>
        <v/>
      </c>
    </row>
    <row r="64">
      <c r="A64" s="90" t="n">
        <v>14</v>
      </c>
      <c r="B64" s="84" t="n">
        <v>135</v>
      </c>
      <c r="C64" s="84" t="n">
        <v>60</v>
      </c>
      <c r="D64" s="84">
        <f>B64+C64</f>
        <v/>
      </c>
    </row>
    <row r="65">
      <c r="A65" s="90" t="n">
        <v>16</v>
      </c>
      <c r="B65" s="84" t="n">
        <v>125</v>
      </c>
      <c r="C65" s="84" t="n">
        <v>55</v>
      </c>
      <c r="D65" s="84">
        <f>B65+C65</f>
        <v/>
      </c>
    </row>
    <row r="66">
      <c r="A66" s="90" t="n">
        <v>18</v>
      </c>
      <c r="B66" s="84" t="n">
        <v>115</v>
      </c>
      <c r="C66" s="84" t="n">
        <v>50</v>
      </c>
      <c r="D66" s="84">
        <f>B66+C66</f>
        <v/>
      </c>
    </row>
    <row r="67">
      <c r="A67" s="90" t="n">
        <v>20</v>
      </c>
      <c r="B67" s="84" t="n">
        <v>110</v>
      </c>
      <c r="C67" s="84" t="n">
        <v>48</v>
      </c>
      <c r="D67" s="84">
        <f>B67+C67</f>
        <v/>
      </c>
    </row>
    <row r="68">
      <c r="A68" s="90" t="n">
        <v>22</v>
      </c>
      <c r="B68" s="84" t="n">
        <v>120</v>
      </c>
      <c r="C68" s="84" t="n">
        <v>45</v>
      </c>
      <c r="D68" s="84">
        <f>B68+C68</f>
        <v/>
      </c>
    </row>
    <row r="69">
      <c r="A69" s="90" t="n">
        <v>24</v>
      </c>
      <c r="B69" s="84" t="n">
        <v>190</v>
      </c>
      <c r="C69" s="84" t="n">
        <v>45</v>
      </c>
      <c r="D69" s="84">
        <f>B69+C69</f>
        <v/>
      </c>
    </row>
    <row r="70">
      <c r="A70" s="90" t="n">
        <v>25</v>
      </c>
      <c r="B70" s="84" t="n">
        <v>300</v>
      </c>
      <c r="C70" s="84" t="n">
        <v>45</v>
      </c>
      <c r="D70" s="84">
        <f>B70+C70</f>
        <v/>
      </c>
    </row>
    <row r="71">
      <c r="A71" s="90" t="n">
        <v>26</v>
      </c>
      <c r="B71" s="84" t="n">
        <v>400</v>
      </c>
      <c r="C71" s="84" t="n">
        <v>45</v>
      </c>
      <c r="D71" s="84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86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78" t="inlineStr">
        <is>
          <t>Maximum Overtime per Day (Workspace)</t>
        </is>
      </c>
    </row>
    <row r="85">
      <c r="A85" s="82" t="inlineStr">
        <is>
          <t>Overtime</t>
        </is>
      </c>
      <c r="B85" s="82" t="inlineStr">
        <is>
          <t>Units per Quarter (add'l capacity)</t>
        </is>
      </c>
      <c r="C85" s="82" t="inlineStr">
        <is>
          <t>Productivity</t>
        </is>
      </c>
      <c r="D85" s="82" t="inlineStr">
        <is>
          <t>Average Labor Cost/Unit</t>
        </is>
      </c>
    </row>
    <row r="86">
      <c r="A86" s="90" t="inlineStr">
        <is>
          <t>No overtime</t>
        </is>
      </c>
      <c r="B86" s="84">
        <f>IF(OR($B$25="",$B$39=""),0,$B$25*(0/8)*65)</f>
        <v/>
      </c>
      <c r="C86" s="110" t="n">
        <v>0.7</v>
      </c>
      <c r="D86" s="123">
        <f>IF($B$39="","",IF($B$43="",0,$B$43))</f>
        <v/>
      </c>
    </row>
    <row r="87">
      <c r="A87" s="90" t="inlineStr">
        <is>
          <t>1 hour</t>
        </is>
      </c>
      <c r="B87" s="84">
        <f>IF(OR($B$25="",$B$39=""),0,$B$25*(1/8)*65)</f>
        <v/>
      </c>
      <c r="C87" s="110" t="n">
        <v>0.6929999999999999</v>
      </c>
      <c r="D87" s="123">
        <f>IF($B$39="","",IF($B$43="","", $B$43*(1+(1/8))))</f>
        <v/>
      </c>
    </row>
    <row r="88">
      <c r="A88" s="90" t="inlineStr">
        <is>
          <t>2 hours</t>
        </is>
      </c>
      <c r="B88" s="84">
        <f>IF(OR($B$25="",$B$39=""),0,$B$25*(2/8)*65)</f>
        <v/>
      </c>
      <c r="C88" s="110" t="n">
        <v>0.68</v>
      </c>
      <c r="D88" s="123">
        <f>IF($B$39="","",IF($B$43="","", $B$43*(1+(2/8))))</f>
        <v/>
      </c>
    </row>
    <row r="89">
      <c r="A89" s="90" t="inlineStr">
        <is>
          <t>3 hours</t>
        </is>
      </c>
      <c r="B89" s="84">
        <f>IF(OR($B$25="",$B$39=""),0,$B$25*(3/8)*65)</f>
        <v/>
      </c>
      <c r="C89" s="110" t="n">
        <v>0.664</v>
      </c>
      <c r="D89" s="123">
        <f>IF($B$39="","",IF($B$43="","", $B$43*(1+(3/8))))</f>
        <v/>
      </c>
    </row>
    <row r="90">
      <c r="A90" s="90" t="inlineStr">
        <is>
          <t>4 hours</t>
        </is>
      </c>
      <c r="B90" s="84">
        <f>IF(OR($B$25="",$B$39=""),0,$B$25*(4/8)*65)</f>
        <v/>
      </c>
      <c r="C90" s="110" t="n">
        <v>0.644</v>
      </c>
      <c r="D90" s="123">
        <f>IF($B$39="","",IF($B$43="","", $B$43*(1+(4/8))))</f>
        <v/>
      </c>
    </row>
    <row r="92">
      <c r="A92" s="78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86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99">
        <f>IF(OR(B53="",B25=""),0,B25*(B53/8)*65)</f>
        <v/>
      </c>
    </row>
    <row r="95">
      <c r="A95" t="inlineStr">
        <is>
          <t>Loss of productivity</t>
        </is>
      </c>
      <c r="B95" s="125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26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25">
        <f>IF(B53="","",IF(B53=0,0.7,IF(B53=1,0.693,IF(B53=2,0.68,IF(B53=3,0.664,IF(B53=4,0.644,0.7))))))</f>
        <v/>
      </c>
    </row>
    <row r="99">
      <c r="A99" s="78" t="inlineStr">
        <is>
          <t>Projected Change in Worker Productivity (OT curve)</t>
        </is>
      </c>
    </row>
    <row r="100">
      <c r="A100" s="82" t="inlineStr">
        <is>
          <t>Overtime Hours</t>
        </is>
      </c>
      <c r="B100" s="82" t="inlineStr">
        <is>
          <t>Productivity %</t>
        </is>
      </c>
    </row>
    <row r="101">
      <c r="A101" s="90" t="n">
        <v>0</v>
      </c>
      <c r="B101" s="110" t="n">
        <v>0.7</v>
      </c>
    </row>
    <row r="102">
      <c r="A102" s="90" t="n">
        <v>1</v>
      </c>
      <c r="B102" s="110" t="n">
        <v>0.6929999999999999</v>
      </c>
    </row>
    <row r="103">
      <c r="A103" s="90" t="n">
        <v>2</v>
      </c>
      <c r="B103" s="110" t="n">
        <v>0.68</v>
      </c>
    </row>
    <row r="104">
      <c r="A104" s="90" t="n">
        <v>3</v>
      </c>
      <c r="B104" s="110" t="n">
        <v>0.664</v>
      </c>
    </row>
    <row r="105">
      <c r="A105" s="90" t="n">
        <v>4</v>
      </c>
      <c r="B105" s="110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cols>
    <col width="48" customWidth="1" style="67" min="1" max="1"/>
    <col width="16" customWidth="1" style="67" min="2" max="2"/>
    <col width="16" customWidth="1" style="67" min="3" max="3"/>
    <col width="18" customWidth="1" style="67" min="4" max="4"/>
    <col width="16" customWidth="1" style="67" min="5" max="5"/>
    <col width="14" customWidth="1" style="67" min="6" max="6"/>
    <col width="16" customWidth="1" style="67" min="7" max="7"/>
  </cols>
  <sheetData>
    <row r="1">
      <c r="A1" s="81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27" t="n">
        <v>1</v>
      </c>
      <c r="C3" t="inlineStr">
        <is>
          <t>100% = use Demand_Forecast; try 50% / 150% scenarios</t>
        </is>
      </c>
    </row>
    <row r="5">
      <c r="A5" s="78" t="inlineStr">
        <is>
          <t>Brand — Produce / Demand / Price</t>
        </is>
      </c>
    </row>
    <row r="6">
      <c r="A6" s="82" t="inlineStr">
        <is>
          <t>Brand</t>
        </is>
      </c>
      <c r="B6" s="82" t="inlineStr">
        <is>
          <t>Produce (Y/N)</t>
        </is>
      </c>
      <c r="C6" s="82" t="inlineStr">
        <is>
          <t>Previous Demand</t>
        </is>
      </c>
      <c r="D6" s="82" t="inlineStr">
        <is>
          <t>Projected Demand</t>
        </is>
      </c>
      <c r="E6" s="82" t="inlineStr">
        <is>
          <t>Average Cost</t>
        </is>
      </c>
      <c r="F6" s="82" t="inlineStr">
        <is>
          <t>Selling Price</t>
        </is>
      </c>
      <c r="G6" s="82" t="inlineStr">
        <is>
          <t>Unit Contribution</t>
        </is>
      </c>
    </row>
    <row r="7">
      <c r="A7" s="90" t="inlineStr">
        <is>
          <t>Hike Bike</t>
        </is>
      </c>
      <c r="B7" s="86" t="inlineStr">
        <is>
          <t>Y</t>
        </is>
      </c>
      <c r="C7" s="90" t="n">
        <v>0</v>
      </c>
      <c r="D7" s="111">
        <f>IF(OR(UPPER(B7)="N",UPPER(B7)="NO"),0,IF(Demand_Forecast!D17="","",Demand_Forecast!D17*$B$3))</f>
        <v/>
      </c>
      <c r="E7" s="111">
        <f>IF(Cost_of_Production!B15="","",Cost_of_Production!B15)</f>
        <v/>
      </c>
      <c r="F7" s="88">
        <f>IF(Pricing!F5="","",Pricing!F5)</f>
        <v/>
      </c>
      <c r="G7" s="128">
        <f>IF(OR(F7="",E7=""),"",F7-E7)</f>
        <v/>
      </c>
    </row>
    <row r="9">
      <c r="A9" s="78" t="inlineStr">
        <is>
          <t>Capacity (linked to Manufacturing)</t>
        </is>
      </c>
    </row>
    <row r="10">
      <c r="A10" s="82" t="inlineStr">
        <is>
          <t>Metric</t>
        </is>
      </c>
      <c r="B10" s="82" t="inlineStr">
        <is>
          <t>Units/Day</t>
        </is>
      </c>
      <c r="C10" s="82" t="inlineStr">
        <is>
          <t>Units/Quarter</t>
        </is>
      </c>
    </row>
    <row r="11">
      <c r="A11" s="90" t="inlineStr">
        <is>
          <t>Fixed capacity</t>
        </is>
      </c>
      <c r="B11" s="122">
        <f>Manufacturing!B25</f>
        <v/>
      </c>
      <c r="C11" s="111">
        <f>Manufacturing!B25*65</f>
        <v/>
      </c>
    </row>
    <row r="12">
      <c r="A12" s="90" t="inlineStr">
        <is>
          <t>Operating capacity</t>
        </is>
      </c>
      <c r="B12" s="122">
        <f>Manufacturing!B39</f>
        <v/>
      </c>
      <c r="C12" s="111">
        <f>IF(Manufacturing!B39="","",Manufacturing!B39*65)</f>
        <v/>
      </c>
    </row>
    <row r="13">
      <c r="A13" s="90" t="inlineStr">
        <is>
          <t>Effective OC after productivity (no OT)</t>
        </is>
      </c>
      <c r="B13" s="122">
        <f>Manufacturing!B40</f>
        <v/>
      </c>
      <c r="C13" s="111">
        <f>Manufacturing!C40</f>
        <v/>
      </c>
    </row>
    <row r="14">
      <c r="A14" s="90" t="inlineStr">
        <is>
          <t>Effective OC needed for demand projection</t>
        </is>
      </c>
      <c r="B14" s="122">
        <f>Manufacturing!B41</f>
        <v/>
      </c>
      <c r="C14" s="111">
        <f>Manufacturing!C41</f>
        <v/>
      </c>
    </row>
    <row r="15">
      <c r="A15" t="inlineStr">
        <is>
          <t>Maximum hours of overtime per day</t>
        </is>
      </c>
      <c r="B15" s="100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78" t="inlineStr">
        <is>
          <t>Number of Units</t>
        </is>
      </c>
    </row>
    <row r="19">
      <c r="A19" s="82" t="inlineStr">
        <is>
          <t>Brand</t>
        </is>
      </c>
      <c r="B19" s="82" t="inlineStr">
        <is>
          <t>Units Produced</t>
        </is>
      </c>
      <c r="C19" s="82" t="inlineStr">
        <is>
          <t>Net Demand</t>
        </is>
      </c>
      <c r="D19" s="82" t="inlineStr">
        <is>
          <t>Lost Sales Due to Stock-Outs</t>
        </is>
      </c>
    </row>
    <row r="20">
      <c r="A20" s="90" t="inlineStr">
        <is>
          <t>Hike Bike</t>
        </is>
      </c>
      <c r="B20" s="111">
        <f>IF(OR(D7="",Manufacturing!B39=""),0,MIN(D7,Manufacturing!B39*IF(Manufacturing!B53=0,Manufacturing!B30,Manufacturing!B97)*65+Manufacturing!B25*(IF(Manufacturing!B53="",0,Manufacturing!B53)/8)*65))</f>
        <v/>
      </c>
      <c r="C20" s="84">
        <f>D7</f>
        <v/>
      </c>
      <c r="D20" s="111">
        <f>IF(OR(C20="",B20=""),0,MAX(0,C20-B20))</f>
        <v/>
      </c>
    </row>
    <row r="21">
      <c r="A21" s="101" t="inlineStr">
        <is>
          <t>Total</t>
        </is>
      </c>
      <c r="B21" s="111">
        <f>B20</f>
        <v/>
      </c>
      <c r="C21" s="111">
        <f>C20</f>
        <v/>
      </c>
      <c r="D21" s="111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29">
        <f>IF(B22="","",B22/2)</f>
        <v/>
      </c>
    </row>
    <row r="25">
      <c r="A25" s="78" t="inlineStr">
        <is>
          <t>Production Costs per Unit</t>
        </is>
      </c>
    </row>
    <row r="26">
      <c r="A26" s="82" t="inlineStr">
        <is>
          <t>Brand</t>
        </is>
      </c>
      <c r="B26" s="82" t="inlineStr">
        <is>
          <t>Units Produced</t>
        </is>
      </c>
      <c r="C26" s="82" t="inlineStr">
        <is>
          <t>Direct Materials</t>
        </is>
      </c>
      <c r="D26" s="82" t="inlineStr">
        <is>
          <t>+ Direct Labor</t>
        </is>
      </c>
      <c r="E26" s="82" t="inlineStr">
        <is>
          <t>+ Total Overhead</t>
        </is>
      </c>
      <c r="F26" s="82">
        <f> Production Average</f>
        <v/>
      </c>
    </row>
    <row r="27">
      <c r="A27" s="90" t="inlineStr">
        <is>
          <t>Hike Bike</t>
        </is>
      </c>
      <c r="B27" s="85">
        <f>B20</f>
        <v/>
      </c>
      <c r="C27" s="88" t="n">
        <v>337</v>
      </c>
      <c r="D27" s="123">
        <f>IF(Manufacturing!B43="","",Manufacturing!B43+IF(Manufacturing!B96="",0,Manufacturing!B96))</f>
        <v/>
      </c>
      <c r="E27" s="123">
        <f>IF(Manufacturing!B44="","",Manufacturing!B44+IF(Manufacturing!B45="",0,Manufacturing!B45))</f>
        <v/>
      </c>
      <c r="F27" s="124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78" t="inlineStr">
        <is>
          <t>Operating Capacity Utilization</t>
        </is>
      </c>
    </row>
    <row r="31">
      <c r="A31" s="96" t="inlineStr">
        <is>
          <t>Overtime</t>
        </is>
      </c>
    </row>
    <row r="32">
      <c r="A32" t="inlineStr">
        <is>
          <t>Overtime hours used</t>
        </is>
      </c>
      <c r="B32" s="130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85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31">
        <f>Manufacturing!B96</f>
        <v/>
      </c>
    </row>
    <row r="38">
      <c r="A38" s="96" t="inlineStr">
        <is>
          <t>Operating Capacity</t>
        </is>
      </c>
    </row>
    <row r="39">
      <c r="A39" t="inlineStr">
        <is>
          <t>Planned operating capacity (units/quarter)</t>
        </is>
      </c>
      <c r="B39" s="85">
        <f>IF(Manufacturing!B39="","",Manufacturing!B39*65)</f>
        <v/>
      </c>
    </row>
    <row r="40">
      <c r="A40" t="inlineStr">
        <is>
          <t>Planned operating capacity including overtime</t>
        </is>
      </c>
      <c r="B40" s="85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99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85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96" t="inlineStr">
        <is>
          <t>Excess Capacity</t>
        </is>
      </c>
    </row>
    <row r="47">
      <c r="A47" t="inlineStr">
        <is>
          <t>Unused operating capacity</t>
        </is>
      </c>
      <c r="B47" s="85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85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78" t="inlineStr">
        <is>
          <t>Fixed Capacity Increase (order this Q → available next Q)</t>
        </is>
      </c>
    </row>
    <row r="52">
      <c r="A52" s="82" t="inlineStr">
        <is>
          <t>3D Printers</t>
        </is>
      </c>
      <c r="B52" s="82" t="inlineStr">
        <is>
          <t>Units/Day</t>
        </is>
      </c>
      <c r="C52" s="82" t="inlineStr">
        <is>
          <t>Units/Quarter</t>
        </is>
      </c>
      <c r="D52" s="82" t="inlineStr">
        <is>
          <t>Capital Investment</t>
        </is>
      </c>
      <c r="E52" s="82" t="inlineStr">
        <is>
          <t>Select?</t>
        </is>
      </c>
    </row>
    <row r="53">
      <c r="A53" s="90" t="n">
        <v>0</v>
      </c>
      <c r="B53" s="90" t="n">
        <v>0</v>
      </c>
      <c r="C53" s="84" t="n">
        <v>0</v>
      </c>
      <c r="D53" s="84" t="n">
        <v>0</v>
      </c>
      <c r="E53" s="86" t="n"/>
    </row>
    <row r="54">
      <c r="A54" s="90" t="n">
        <v>1</v>
      </c>
      <c r="B54" s="90" t="n">
        <v>8</v>
      </c>
      <c r="C54" s="84" t="n">
        <v>520</v>
      </c>
      <c r="D54" s="84" t="n">
        <v>240000</v>
      </c>
      <c r="E54" s="86" t="n"/>
    </row>
    <row r="55">
      <c r="A55" s="90" t="n">
        <v>2</v>
      </c>
      <c r="B55" s="90" t="n">
        <v>16</v>
      </c>
      <c r="C55" s="84" t="n">
        <v>1040</v>
      </c>
      <c r="D55" s="84" t="n">
        <v>480000</v>
      </c>
      <c r="E55" s="86" t="n"/>
    </row>
    <row r="56">
      <c r="A56" s="90" t="n">
        <v>3</v>
      </c>
      <c r="B56" s="90" t="n">
        <v>24</v>
      </c>
      <c r="C56" s="84" t="n">
        <v>1560</v>
      </c>
      <c r="D56" s="84" t="n">
        <v>720000</v>
      </c>
      <c r="E56" s="86" t="n"/>
    </row>
    <row r="57">
      <c r="A57" s="90" t="n">
        <v>4</v>
      </c>
      <c r="B57" s="90" t="n">
        <v>32</v>
      </c>
      <c r="C57" s="84" t="n">
        <v>2080</v>
      </c>
      <c r="D57" s="84" t="n">
        <v>960000</v>
      </c>
      <c r="E57" s="86" t="n"/>
    </row>
    <row r="58">
      <c r="A58" s="90" t="n">
        <v>5</v>
      </c>
      <c r="B58" s="90" t="n">
        <v>40</v>
      </c>
      <c r="C58" s="84" t="n">
        <v>2600</v>
      </c>
      <c r="D58" s="84" t="n">
        <v>1200000</v>
      </c>
      <c r="E58" s="86" t="n"/>
    </row>
    <row r="59">
      <c r="A59" s="90" t="n">
        <v>7</v>
      </c>
      <c r="B59" s="90" t="n">
        <v>56</v>
      </c>
      <c r="C59" s="84" t="n">
        <v>3640</v>
      </c>
      <c r="D59" s="84" t="n">
        <v>1680000</v>
      </c>
      <c r="E59" s="86" t="n"/>
    </row>
    <row r="60">
      <c r="A60" s="90" t="n">
        <v>10</v>
      </c>
      <c r="B60" s="90" t="n">
        <v>80</v>
      </c>
      <c r="C60" s="84" t="n">
        <v>5200</v>
      </c>
      <c r="D60" s="84" t="n">
        <v>2400000</v>
      </c>
      <c r="E60" s="86" t="n"/>
    </row>
    <row r="62">
      <c r="A62" t="inlineStr">
        <is>
          <t>Printers to add (count)</t>
        </is>
      </c>
      <c r="B62" s="86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99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78" t="inlineStr">
        <is>
          <t>Summary</t>
        </is>
      </c>
    </row>
    <row r="67">
      <c r="A67" s="82" t="inlineStr">
        <is>
          <t>Metric</t>
        </is>
      </c>
      <c r="B67" s="82" t="inlineStr">
        <is>
          <t>Units/Day</t>
        </is>
      </c>
      <c r="C67" s="82" t="inlineStr">
        <is>
          <t>Units/Quarter</t>
        </is>
      </c>
    </row>
    <row r="68">
      <c r="A68" s="90" t="inlineStr">
        <is>
          <t>Fixed capacity available in current quarter</t>
        </is>
      </c>
      <c r="B68" s="111" t="n">
        <v>24</v>
      </c>
      <c r="C68" s="111" t="n">
        <v>1560</v>
      </c>
    </row>
    <row r="69">
      <c r="A69" s="90" t="inlineStr">
        <is>
          <t>Planned increase in fixed capacity</t>
        </is>
      </c>
      <c r="B69" s="111">
        <f>IF(B62=0,0,IF(B62=1,8,IF(B62=2,16,IF(B62=3,24,IF(B62=4,32,IF(B62=5,40,IF(B62=7,56,IF(B62=10,80,0))))))))</f>
        <v/>
      </c>
      <c r="C69" s="111">
        <f>B69*65</f>
        <v/>
      </c>
    </row>
    <row r="70">
      <c r="A70" s="90" t="inlineStr">
        <is>
          <t>Fixed capacity available in next quarter</t>
        </is>
      </c>
      <c r="B70" s="111">
        <f>B68+B69</f>
        <v/>
      </c>
      <c r="C70" s="111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78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style="67" min="1" max="1"/>
    <col width="12" customWidth="1" style="67" min="2" max="2"/>
    <col width="12" customWidth="1" style="67" min="3" max="3"/>
    <col width="12" customWidth="1" style="67" min="4" max="4"/>
    <col width="14" customWidth="1" style="67" min="5" max="5"/>
    <col width="14" customWidth="1" style="67" min="6" max="6"/>
    <col width="14" customWidth="1" style="67" min="7" max="7"/>
  </cols>
  <sheetData>
    <row r="1">
      <c r="A1" s="81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82" t="inlineStr">
        <is>
          <t>Brand</t>
        </is>
      </c>
      <c r="B5" s="82" t="inlineStr">
        <is>
          <t>100 units</t>
        </is>
      </c>
      <c r="C5" s="82" t="inlineStr">
        <is>
          <t>250 units</t>
        </is>
      </c>
      <c r="D5" s="82" t="inlineStr">
        <is>
          <t>500 units</t>
        </is>
      </c>
      <c r="E5" s="82" t="inlineStr">
        <is>
          <t>1,000 units</t>
        </is>
      </c>
      <c r="F5" s="82" t="inlineStr">
        <is>
          <t>5,000 units</t>
        </is>
      </c>
      <c r="G5" s="82" t="inlineStr">
        <is>
          <t>10,000 units</t>
        </is>
      </c>
    </row>
    <row r="6">
      <c r="A6" s="83" t="inlineStr">
        <is>
          <t>Hike Bike</t>
        </is>
      </c>
      <c r="B6" s="84" t="n">
        <v>924</v>
      </c>
      <c r="C6" s="84" t="n">
        <v>675</v>
      </c>
      <c r="D6" s="84" t="n">
        <v>550</v>
      </c>
      <c r="E6" s="84" t="n">
        <v>495</v>
      </c>
      <c r="F6" s="84" t="n">
        <v>405</v>
      </c>
      <c r="G6" s="84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79" t="inlineStr">
        <is>
          <t>Q2 current decisions</t>
        </is>
      </c>
    </row>
    <row r="12">
      <c r="A12" s="78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79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85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78" t="inlineStr">
        <is>
          <t>Room for additional brands (paste when priced)</t>
        </is>
      </c>
    </row>
    <row r="19">
      <c r="A19" s="82" t="inlineStr">
        <is>
          <t>Brand</t>
        </is>
      </c>
      <c r="B19" s="82" t="inlineStr">
        <is>
          <t>100</t>
        </is>
      </c>
      <c r="C19" s="82" t="inlineStr">
        <is>
          <t>250</t>
        </is>
      </c>
      <c r="D19" s="82" t="inlineStr">
        <is>
          <t>500</t>
        </is>
      </c>
      <c r="E19" s="82" t="inlineStr">
        <is>
          <t>1000</t>
        </is>
      </c>
      <c r="F19" s="82" t="inlineStr">
        <is>
          <t>5000</t>
        </is>
      </c>
      <c r="G19" s="82" t="inlineStr">
        <is>
          <t>10000</t>
        </is>
      </c>
    </row>
    <row r="20">
      <c r="A20" s="86" t="n"/>
      <c r="B20" s="86" t="n"/>
      <c r="C20" s="86" t="n"/>
      <c r="D20" s="86" t="n"/>
      <c r="E20" s="86" t="n"/>
      <c r="F20" s="86" t="n"/>
      <c r="G20" s="86" t="n"/>
    </row>
    <row r="21">
      <c r="A21" s="86" t="n"/>
      <c r="B21" s="86" t="n"/>
      <c r="C21" s="86" t="n"/>
      <c r="D21" s="86" t="n"/>
      <c r="E21" s="86" t="n"/>
      <c r="F21" s="86" t="n"/>
      <c r="G21" s="86" t="n"/>
    </row>
    <row r="22">
      <c r="A22" s="86" t="n"/>
      <c r="B22" s="86" t="n"/>
      <c r="C22" s="86" t="n"/>
      <c r="D22" s="86" t="n"/>
      <c r="E22" s="86" t="n"/>
      <c r="F22" s="86" t="n"/>
      <c r="G22" s="86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5"/>
  <cols>
    <col width="42" customWidth="1" style="67" min="1" max="1"/>
    <col width="14" customWidth="1" style="67" min="2" max="2"/>
    <col width="14" customWidth="1" style="67" min="3" max="3"/>
    <col width="14" customWidth="1" style="67" min="4" max="4"/>
    <col width="14" customWidth="1" style="67" min="5" max="5"/>
    <col width="14" customWidth="1" style="67" min="6" max="6"/>
    <col width="14" customWidth="1" style="67" min="7" max="7"/>
    <col width="14" customWidth="1" style="67" min="8" max="8"/>
    <col width="14" customWidth="1" style="67" min="9" max="9"/>
  </cols>
  <sheetData>
    <row r="1">
      <c r="A1" s="81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78" t="inlineStr">
        <is>
          <t>This Quarter (Projected) vs Last Quarter (Actual)</t>
        </is>
      </c>
    </row>
    <row r="6">
      <c r="A6" s="82" t="inlineStr">
        <is>
          <t>Channel</t>
        </is>
      </c>
      <c r="B6" s="82" t="inlineStr">
        <is>
          <t>Last Q — Sales People</t>
        </is>
      </c>
      <c r="C6" s="82" t="inlineStr">
        <is>
          <t>Last Q — Demand/SP</t>
        </is>
      </c>
      <c r="D6" s="82" t="inlineStr">
        <is>
          <t>Last Q — Total Demand</t>
        </is>
      </c>
      <c r="E6" s="82" t="inlineStr">
        <is>
          <t>This Q — Sales People</t>
        </is>
      </c>
      <c r="F6" s="82" t="inlineStr">
        <is>
          <t>This Q — Demand/SP</t>
        </is>
      </c>
      <c r="G6" s="82" t="inlineStr">
        <is>
          <t>This Q — Total Demand</t>
        </is>
      </c>
    </row>
    <row r="7">
      <c r="A7" s="90" t="inlineStr">
        <is>
          <t>Stores</t>
        </is>
      </c>
      <c r="B7" s="90" t="n">
        <v>0</v>
      </c>
      <c r="C7" s="90" t="n">
        <v>0</v>
      </c>
      <c r="D7" s="90" t="n">
        <v>0</v>
      </c>
      <c r="E7" s="86">
        <f>IF(Sales_Ops!C19="","",Sales_Ops!C19)</f>
        <v/>
      </c>
      <c r="F7" s="113" t="n">
        <v>40</v>
      </c>
      <c r="G7" s="111">
        <f>IF(OR(E7="",F7=""),"",E7*F7)</f>
        <v/>
      </c>
    </row>
    <row r="8">
      <c r="A8" s="90" t="inlineStr">
        <is>
          <t>Web Sales Center</t>
        </is>
      </c>
      <c r="B8" s="90" t="n">
        <v>0</v>
      </c>
      <c r="C8" s="90" t="n">
        <v>0</v>
      </c>
      <c r="D8" s="90" t="n">
        <v>0</v>
      </c>
      <c r="E8" s="86">
        <f>IF(Sales_Ops!E55="","",Sales_Ops!E55)</f>
        <v/>
      </c>
      <c r="F8" s="113" t="n">
        <v>40</v>
      </c>
      <c r="G8" s="111">
        <f>IF(OR(E8="",F8=""),"",E8*F8)</f>
        <v/>
      </c>
    </row>
    <row r="9">
      <c r="A9" s="114" t="inlineStr">
        <is>
          <t>Total</t>
        </is>
      </c>
      <c r="B9" s="101">
        <f>B7+B8</f>
        <v/>
      </c>
      <c r="C9" s="101" t="n"/>
      <c r="D9" s="101">
        <f>D7+D8</f>
        <v/>
      </c>
      <c r="E9" s="101">
        <f>IF(COUNT(E7:E8)=0,"",SUM(E7:E8))</f>
        <v/>
      </c>
      <c r="F9" s="101" t="n"/>
      <c r="G9" s="115">
        <f>IF(COUNT(G7:G8)=0,"",SUM(G7:G8))</f>
        <v/>
      </c>
    </row>
    <row r="10">
      <c r="A10" t="inlineStr">
        <is>
          <t>Scenario multiplier (lean stress-test)</t>
        </is>
      </c>
      <c r="B10" s="113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112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78" t="inlineStr">
        <is>
          <t>Brand Demand Projections</t>
        </is>
      </c>
    </row>
    <row r="16">
      <c r="A16" s="82" t="inlineStr">
        <is>
          <t>Brand</t>
        </is>
      </c>
      <c r="B16" s="82" t="inlineStr">
        <is>
          <t>Last Q Demand</t>
        </is>
      </c>
      <c r="C16" s="82" t="inlineStr">
        <is>
          <t>Last Q %</t>
        </is>
      </c>
      <c r="D16" s="82" t="inlineStr">
        <is>
          <t>This Q Demand</t>
        </is>
      </c>
      <c r="E16" s="82" t="inlineStr">
        <is>
          <t>This Q %</t>
        </is>
      </c>
      <c r="F16" s="82" t="inlineStr">
        <is>
          <t>Capacity Required (units)</t>
        </is>
      </c>
      <c r="G16" s="82" t="inlineStr">
        <is>
          <t>Segment</t>
        </is>
      </c>
      <c r="H16" s="82" t="inlineStr">
        <is>
          <t>Notes</t>
        </is>
      </c>
    </row>
    <row r="17">
      <c r="A17" s="90" t="inlineStr">
        <is>
          <t>Hike Bike</t>
        </is>
      </c>
      <c r="B17" s="90" t="inlineStr">
        <is>
          <t>n/a</t>
        </is>
      </c>
      <c r="C17" s="90" t="inlineStr">
        <is>
          <t>n/a</t>
        </is>
      </c>
      <c r="D17" s="88">
        <f>IF($B$12="","",$B$12)</f>
        <v/>
      </c>
      <c r="E17" s="110">
        <f>IF(OR($B$12="",D17="",$B$12=0),"",D17/$B$12)</f>
        <v/>
      </c>
      <c r="F17" s="84">
        <f>D17</f>
        <v/>
      </c>
      <c r="G17" s="90" t="inlineStr">
        <is>
          <t>Mountain</t>
        </is>
      </c>
      <c r="H17" s="90" t="inlineStr">
        <is>
          <t>Primary; replace D17 formula with fixed units if splitting brands</t>
        </is>
      </c>
    </row>
    <row r="18">
      <c r="A18" s="86" t="n"/>
      <c r="B18" s="90" t="n"/>
      <c r="C18" s="90" t="n"/>
      <c r="D18" s="88" t="n"/>
      <c r="E18" s="110">
        <f>IF(OR($B$12="",D18="",$B$12=0),"",D18/$B$12)</f>
        <v/>
      </c>
      <c r="F18" s="84">
        <f>D18</f>
        <v/>
      </c>
      <c r="G18" s="86" t="n"/>
      <c r="H18" s="90" t="inlineStr">
        <is>
          <t>Optional brand 2</t>
        </is>
      </c>
    </row>
    <row r="19">
      <c r="A19" s="86" t="n"/>
      <c r="B19" s="90" t="n"/>
      <c r="C19" s="90" t="n"/>
      <c r="D19" s="88" t="n"/>
      <c r="E19" s="110">
        <f>IF(OR($B$12="",D19="",$B$12=0),"",D19/$B$12)</f>
        <v/>
      </c>
      <c r="F19" s="84">
        <f>D19</f>
        <v/>
      </c>
      <c r="G19" s="86" t="n"/>
      <c r="H19" s="90" t="inlineStr">
        <is>
          <t>Optional brand 3</t>
        </is>
      </c>
    </row>
    <row r="20">
      <c r="A20" s="101" t="inlineStr">
        <is>
          <t>Total</t>
        </is>
      </c>
      <c r="B20" s="101" t="n"/>
      <c r="C20" s="101" t="n"/>
      <c r="D20" s="111">
        <f>IF(COUNT(D17:D19)=0,"",SUM(D17:D19))</f>
        <v/>
      </c>
      <c r="E20" s="116">
        <f>IF(OR($B$12="",D20=""),"",D20/$B$12)</f>
        <v/>
      </c>
      <c r="F20" s="101">
        <f>D20</f>
        <v/>
      </c>
      <c r="G20" s="101" t="n"/>
      <c r="H20" s="101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78" t="inlineStr">
        <is>
          <t>Operating capacity required to satisfy projected demand</t>
        </is>
      </c>
    </row>
    <row r="24">
      <c r="A24" s="82" t="inlineStr"/>
      <c r="B24" s="82" t="inlineStr">
        <is>
          <t>Units / Quarter</t>
        </is>
      </c>
      <c r="C24" s="82" t="inlineStr">
        <is>
          <t>Units / Day</t>
        </is>
      </c>
    </row>
    <row r="25">
      <c r="A25" t="inlineStr">
        <is>
          <t>Operating capacity required (raw demand)</t>
        </is>
      </c>
      <c r="B25" s="85">
        <f>IF(B12="","",B12)</f>
        <v/>
      </c>
      <c r="C25" s="117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17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78" t="inlineStr">
        <is>
          <t>Demand Projection — Next Quarter (for fixed capacity / printers)</t>
        </is>
      </c>
    </row>
    <row r="31">
      <c r="A31" s="82" t="inlineStr">
        <is>
          <t>Channel</t>
        </is>
      </c>
      <c r="B31" s="82" t="inlineStr">
        <is>
          <t>This Q — Outlets</t>
        </is>
      </c>
      <c r="C31" s="82" t="inlineStr">
        <is>
          <t>This Q — People</t>
        </is>
      </c>
      <c r="D31" s="82" t="inlineStr">
        <is>
          <t>This Q — Demand/SP</t>
        </is>
      </c>
      <c r="E31" s="82" t="inlineStr">
        <is>
          <t>This Q — Total</t>
        </is>
      </c>
      <c r="F31" s="82" t="inlineStr">
        <is>
          <t>Next Q — Outlets</t>
        </is>
      </c>
      <c r="G31" s="82" t="inlineStr">
        <is>
          <t>Next Q — People</t>
        </is>
      </c>
      <c r="H31" s="82" t="inlineStr">
        <is>
          <t>Next Q — Demand/SP</t>
        </is>
      </c>
      <c r="I31" s="82" t="inlineStr">
        <is>
          <t>Next Q — Total</t>
        </is>
      </c>
    </row>
    <row r="32">
      <c r="A32" s="90" t="inlineStr">
        <is>
          <t>Stores</t>
        </is>
      </c>
      <c r="B32" s="90" t="n">
        <v>1</v>
      </c>
      <c r="C32" s="90">
        <f>E7</f>
        <v/>
      </c>
      <c r="D32" s="90">
        <f>F7</f>
        <v/>
      </c>
      <c r="E32" s="90">
        <f>G7</f>
        <v/>
      </c>
      <c r="F32" s="86" t="n">
        <v>1</v>
      </c>
      <c r="G32" s="86" t="n"/>
      <c r="H32" s="113" t="n">
        <v>60</v>
      </c>
      <c r="I32" s="111">
        <f>IF(OR(G32="",H32=""),"",G32*H32)</f>
        <v/>
      </c>
    </row>
    <row r="33">
      <c r="A33" s="90" t="inlineStr">
        <is>
          <t>Web Sales Center</t>
        </is>
      </c>
      <c r="B33" s="90" t="n">
        <v>1</v>
      </c>
      <c r="C33" s="90">
        <f>E8</f>
        <v/>
      </c>
      <c r="D33" s="90">
        <f>F8</f>
        <v/>
      </c>
      <c r="E33" s="90">
        <f>G8</f>
        <v/>
      </c>
      <c r="F33" s="86" t="n">
        <v>1</v>
      </c>
      <c r="G33" s="86" t="n"/>
      <c r="H33" s="113" t="n">
        <v>60</v>
      </c>
      <c r="I33" s="111">
        <f>IF(OR(G33="",H33=""),"",G33*H33)</f>
        <v/>
      </c>
    </row>
    <row r="34">
      <c r="A34" s="118" t="inlineStr">
        <is>
          <t>Total</t>
        </is>
      </c>
      <c r="B34" s="101">
        <f>B32+B33</f>
        <v/>
      </c>
      <c r="C34" s="101">
        <f>IF(COUNT(C32:C33)=0,"",SUM(C32:C33))</f>
        <v/>
      </c>
      <c r="D34" s="101" t="n"/>
      <c r="E34" s="101">
        <f>IF(COUNT(E32:E33)=0,"",SUM(E32:E33))</f>
        <v/>
      </c>
      <c r="F34" s="101">
        <f>F32+F33</f>
        <v/>
      </c>
      <c r="G34" s="101">
        <f>IF(COUNT(G32:G33)=0,"",SUM(G32:G33))</f>
        <v/>
      </c>
      <c r="H34" s="101" t="n"/>
      <c r="I34" s="115">
        <f>IF(COUNT(I32:I33)=0,"",SUM(I32:I33))</f>
        <v/>
      </c>
    </row>
    <row r="36">
      <c r="A36" t="inlineStr">
        <is>
          <t>Next Q total demand (for printer planning)</t>
        </is>
      </c>
      <c r="B36" s="98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17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14" customWidth="1" style="67" min="1" max="1"/>
    <col width="12" customWidth="1" style="67" min="2" max="2"/>
    <col width="10" customWidth="1" style="67" min="3" max="3"/>
    <col width="12" customWidth="1" style="67" min="4" max="4"/>
    <col width="16" customWidth="1" style="67" min="5" max="5"/>
    <col width="16" customWidth="1" style="67" min="6" max="6"/>
    <col width="10" customWidth="1" style="67" min="7" max="7"/>
    <col width="16" customWidth="1" style="67" min="8" max="8"/>
    <col width="12" customWidth="1" style="67" min="9" max="9"/>
    <col width="22" customWidth="1" style="67" min="10" max="10"/>
  </cols>
  <sheetData>
    <row r="1">
      <c r="A1" s="81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82" t="inlineStr">
        <is>
          <t>Brand</t>
        </is>
      </c>
      <c r="B4" s="82" t="inlineStr">
        <is>
          <t>Segment</t>
        </is>
      </c>
      <c r="C4" s="82" t="inlineStr">
        <is>
          <t>Priority</t>
        </is>
      </c>
      <c r="D4" s="82" t="inlineStr">
        <is>
          <t>WTP ceiling</t>
        </is>
      </c>
      <c r="E4" s="82" t="inlineStr">
        <is>
          <t>Est. unit prod. cost</t>
        </is>
      </c>
      <c r="F4" s="82" t="inlineStr">
        <is>
          <t>List price (decision)</t>
        </is>
      </c>
      <c r="G4" s="82" t="inlineStr">
        <is>
          <t>vs WTP</t>
        </is>
      </c>
      <c r="H4" s="82" t="inlineStr">
        <is>
          <t>Gross vs prod. cost</t>
        </is>
      </c>
      <c r="I4" s="82" t="inlineStr">
        <is>
          <t>Gross margin %</t>
        </is>
      </c>
      <c r="J4" s="82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85">
        <f>Price_WTP!B6</f>
        <v/>
      </c>
      <c r="E5" s="85">
        <f>Cost_of_Production!B15</f>
        <v/>
      </c>
      <c r="F5" s="88" t="n"/>
      <c r="G5" s="85">
        <f>IF(OR(F5="",D5=""),"",F5-D5)</f>
        <v/>
      </c>
      <c r="H5" s="85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78" t="inlineStr">
        <is>
          <t>Pricing notes</t>
        </is>
      </c>
    </row>
    <row r="8">
      <c r="A8" t="inlineStr">
        <is>
          <t>Mountain WTP ceiling (ideal brand)</t>
        </is>
      </c>
      <c r="B8" s="85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78" t="inlineStr">
        <is>
          <t>Scenario scratch (optional)</t>
        </is>
      </c>
    </row>
    <row r="16">
      <c r="A16" t="inlineStr">
        <is>
          <t>Trial price</t>
        </is>
      </c>
      <c r="B16" s="89" t="n"/>
    </row>
    <row r="17">
      <c r="A17" t="inlineStr">
        <is>
          <t>Assumed volume</t>
        </is>
      </c>
      <c r="B17" s="79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85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85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8" customWidth="1" style="67" min="1" max="1"/>
    <col width="22" customWidth="1" style="67" min="2" max="2"/>
    <col width="14" customWidth="1" style="67" min="3" max="3"/>
    <col width="22" customWidth="1" style="67" min="4" max="4"/>
    <col width="14" customWidth="1" style="67" min="5" max="5"/>
    <col width="22" customWidth="1" style="67" min="6" max="6"/>
    <col width="12" customWidth="1" style="67" min="7" max="7"/>
  </cols>
  <sheetData>
    <row r="1">
      <c r="A1" s="81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82" t="inlineStr">
        <is>
          <t>Medium</t>
        </is>
      </c>
      <c r="B5" s="82" t="inlineStr">
        <is>
          <t>Recreation</t>
        </is>
      </c>
      <c r="C5" s="82" t="inlineStr">
        <is>
          <t>Mountain</t>
        </is>
      </c>
      <c r="D5" s="82" t="inlineStr">
        <is>
          <t>Speed</t>
        </is>
      </c>
      <c r="E5" s="82" t="inlineStr">
        <is>
          <t>Max</t>
        </is>
      </c>
      <c r="F5" s="82" t="inlineStr">
        <is>
          <t>Mtn rank</t>
        </is>
      </c>
      <c r="G5" s="82" t="inlineStr">
        <is>
          <t>Notes</t>
        </is>
      </c>
    </row>
    <row r="6">
      <c r="A6" s="90" t="inlineStr">
        <is>
          <t>Leisure &amp; Entertainment</t>
        </is>
      </c>
      <c r="B6" s="91" t="n">
        <v>143</v>
      </c>
      <c r="C6" s="90" t="n">
        <v>60</v>
      </c>
      <c r="D6" s="90" t="n">
        <v>51</v>
      </c>
      <c r="E6" s="90">
        <f>IF(COUNT(B6:D6)=0,"",MAX(B6:D6))</f>
        <v/>
      </c>
      <c r="F6" s="90">
        <f>IF(C6="","",RANK(C6,$C$6:$C$12,0))</f>
        <v/>
      </c>
      <c r="G6" s="86" t="n"/>
    </row>
    <row r="7">
      <c r="A7" s="90" t="inlineStr">
        <is>
          <t>Health &amp; Fitness Magazines</t>
        </is>
      </c>
      <c r="B7" s="91" t="n">
        <v>127</v>
      </c>
      <c r="C7" s="90" t="n">
        <v>104</v>
      </c>
      <c r="D7" s="90" t="n">
        <v>100</v>
      </c>
      <c r="E7" s="90">
        <f>IF(COUNT(B7:D7)=0,"",MAX(B7:D7))</f>
        <v/>
      </c>
      <c r="F7" s="90">
        <f>IF(C7="","",RANK(C7,$C$6:$C$12,0))</f>
        <v/>
      </c>
      <c r="G7" s="86" t="n"/>
    </row>
    <row r="8">
      <c r="A8" s="90" t="inlineStr">
        <is>
          <t>Biking Magazines</t>
        </is>
      </c>
      <c r="B8" s="90" t="n">
        <v>51</v>
      </c>
      <c r="C8" s="91" t="n">
        <v>134</v>
      </c>
      <c r="D8" s="91" t="n">
        <v>133</v>
      </c>
      <c r="E8" s="90">
        <f>IF(COUNT(B8:D8)=0,"",MAX(B8:D8))</f>
        <v/>
      </c>
      <c r="F8" s="90">
        <f>IF(C8="","",RANK(C8,$C$6:$C$12,0))</f>
        <v/>
      </c>
      <c r="G8" s="86" t="n"/>
    </row>
    <row r="9">
      <c r="A9" s="90" t="inlineStr">
        <is>
          <t>Sport Magazines</t>
        </is>
      </c>
      <c r="B9" s="90" t="n">
        <v>84</v>
      </c>
      <c r="C9" s="91" t="n">
        <v>123</v>
      </c>
      <c r="D9" s="91" t="n">
        <v>117</v>
      </c>
      <c r="E9" s="90">
        <f>IF(COUNT(B9:D9)=0,"",MAX(B9:D9))</f>
        <v/>
      </c>
      <c r="F9" s="90">
        <f>IF(C9="","",RANK(C9,$C$6:$C$12,0))</f>
        <v/>
      </c>
      <c r="G9" s="86" t="n"/>
    </row>
    <row r="10">
      <c r="A10" s="90" t="inlineStr">
        <is>
          <t>Business Magazines</t>
        </is>
      </c>
      <c r="B10" s="90" t="n">
        <v>90</v>
      </c>
      <c r="C10" s="90" t="n">
        <v>93</v>
      </c>
      <c r="D10" s="91" t="n">
        <v>125</v>
      </c>
      <c r="E10" s="90">
        <f>IF(COUNT(B10:D10)=0,"",MAX(B10:D10))</f>
        <v/>
      </c>
      <c r="F10" s="90">
        <f>IF(C10="","",RANK(C10,$C$6:$C$12,0))</f>
        <v/>
      </c>
      <c r="G10" s="86" t="n"/>
    </row>
    <row r="11">
      <c r="A11" s="90" t="inlineStr">
        <is>
          <t>New Venture Magazines</t>
        </is>
      </c>
      <c r="B11" s="90" t="n">
        <v>81</v>
      </c>
      <c r="C11" s="90" t="n">
        <v>94</v>
      </c>
      <c r="D11" s="91" t="n">
        <v>114</v>
      </c>
      <c r="E11" s="90">
        <f>IF(COUNT(B11:D11)=0,"",MAX(B11:D11))</f>
        <v/>
      </c>
      <c r="F11" s="90">
        <f>IF(C11="","",RANK(C11,$C$6:$C$12,0))</f>
        <v/>
      </c>
      <c r="G11" s="86" t="n"/>
    </row>
    <row r="12">
      <c r="A12" s="90" t="inlineStr">
        <is>
          <t>General News Magazines</t>
        </is>
      </c>
      <c r="B12" s="91" t="n">
        <v>111</v>
      </c>
      <c r="C12" s="91" t="n">
        <v>122</v>
      </c>
      <c r="D12" s="91" t="n">
        <v>113</v>
      </c>
      <c r="E12" s="90">
        <f>IF(COUNT(B12:D12)=0,"",MAX(B12:D12))</f>
        <v/>
      </c>
      <c r="F12" s="90">
        <f>IF(C12="","",RANK(C12,$C$6:$C$12,0))</f>
        <v/>
      </c>
      <c r="G12" s="86" t="n"/>
    </row>
    <row r="14">
      <c r="A14" s="78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78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78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78" t="inlineStr">
        <is>
          <t>Major media placement (OPEN — team decision)</t>
        </is>
      </c>
    </row>
    <row r="31">
      <c r="A31" s="82" t="inlineStr">
        <is>
          <t>Ad name / focus</t>
        </is>
      </c>
      <c r="B31" s="82" t="inlineStr">
        <is>
          <t>Primary medium</t>
        </is>
      </c>
      <c r="C31" s="82" t="inlineStr">
        <is>
          <t>Inserts / spend</t>
        </is>
      </c>
      <c r="D31" s="82" t="inlineStr">
        <is>
          <t>Secondary medium</t>
        </is>
      </c>
      <c r="E31" s="82" t="inlineStr">
        <is>
          <t>Inserts / spend</t>
        </is>
      </c>
      <c r="F31" s="82" t="inlineStr">
        <is>
          <t>Geo / notes</t>
        </is>
      </c>
      <c r="G31" s="82" t="inlineStr">
        <is>
          <t>Status</t>
        </is>
      </c>
    </row>
    <row r="32">
      <c r="A32" s="90" t="inlineStr">
        <is>
          <t>Hike Bike — Mountain primary</t>
        </is>
      </c>
      <c r="B32" s="86" t="n"/>
      <c r="C32" s="86" t="n"/>
      <c r="D32" s="86" t="n"/>
      <c r="E32" s="86" t="n"/>
      <c r="F32" s="90" t="inlineStr">
        <is>
          <t>AMS + web audience</t>
        </is>
      </c>
      <c r="G32" s="90" t="inlineStr">
        <is>
          <t>OPEN</t>
        </is>
      </c>
    </row>
    <row r="33">
      <c r="A33" s="90" t="inlineStr">
        <is>
          <t>Secondary segment ad (TBD)</t>
        </is>
      </c>
      <c r="B33" s="86" t="n"/>
      <c r="C33" s="86" t="n"/>
      <c r="D33" s="86" t="n"/>
      <c r="E33" s="86" t="n"/>
      <c r="F33" s="90" t="n"/>
      <c r="G33" s="90" t="inlineStr">
        <is>
          <t>OPEN</t>
        </is>
      </c>
    </row>
    <row r="34">
      <c r="A34" s="90" t="inlineStr">
        <is>
          <t>Company / corporate ad (optional)</t>
        </is>
      </c>
      <c r="B34" s="86" t="n"/>
      <c r="C34" s="86" t="n"/>
      <c r="D34" s="86" t="n"/>
      <c r="E34" s="86" t="n"/>
      <c r="F34" s="90" t="n"/>
      <c r="G34" s="90" t="inlineStr">
        <is>
          <t>OPEN</t>
        </is>
      </c>
    </row>
    <row r="36">
      <c r="A36" s="78" t="inlineStr">
        <is>
          <t>Budget / constraints</t>
        </is>
      </c>
    </row>
    <row r="37">
      <c r="A37" t="inlineStr">
        <is>
          <t>Total traditional media budget (this Q)</t>
        </is>
      </c>
      <c r="B37" s="79" t="n"/>
      <c r="C37" t="inlineStr">
        <is>
          <t>yellow = decision; keep Cash+CD ≥ $300k</t>
        </is>
      </c>
    </row>
    <row r="38">
      <c r="A38" t="inlineStr">
        <is>
          <t>Web media / SEM budget (this Q)</t>
        </is>
      </c>
      <c r="B38" s="79" t="n"/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Guidance</t>
        </is>
      </c>
      <c r="B40" t="inlineStr">
        <is>
          <t>Primary spend should follow Mountain prefs (Biking → Sport → General News). Leisure is Rec-primary — use only if Rec ad launched.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28" customWidth="1" style="67" min="1" max="1"/>
    <col width="18" customWidth="1" style="67" min="2" max="2"/>
    <col width="28" customWidth="1" style="67" min="3" max="3"/>
    <col width="18" customWidth="1" style="67" min="4" max="4"/>
    <col width="20" customWidth="1" style="67" min="5" max="5"/>
    <col width="14" customWidth="1" style="67" min="6" max="6"/>
    <col width="12" customWidth="1" style="67" min="7" max="7"/>
    <col width="36" customWidth="1" style="67" min="8" max="8"/>
  </cols>
  <sheetData>
    <row r="1">
      <c r="A1" s="81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78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79" t="n"/>
      <c r="C11" t="inlineStr">
        <is>
          <t>yellow = paste modest web-page design fee from Workspace</t>
        </is>
      </c>
    </row>
    <row r="13">
      <c r="A13" s="78" t="inlineStr">
        <is>
          <t>Web Page Content tracker (from ads)</t>
        </is>
      </c>
    </row>
    <row r="14">
      <c r="A14" s="82" t="inlineStr">
        <is>
          <t>Ad name</t>
        </is>
      </c>
      <c r="B14" s="82" t="inlineStr">
        <is>
          <t>Brand emphasized</t>
        </is>
      </c>
      <c r="C14" s="82" t="inlineStr">
        <is>
          <t>Segment + keywords</t>
        </is>
      </c>
      <c r="D14" s="82" t="inlineStr">
        <is>
          <t>Status (Inactive/Run)</t>
        </is>
      </c>
      <c r="E14" s="82" t="inlineStr">
        <is>
          <t>SERP top-3 benefits OK?</t>
        </is>
      </c>
      <c r="F14" s="82" t="inlineStr">
        <is>
          <t>Deceptive flag?</t>
        </is>
      </c>
      <c r="G14" s="82" t="inlineStr">
        <is>
          <t>Design fee</t>
        </is>
      </c>
      <c r="H14" s="82" t="inlineStr">
        <is>
          <t>Notes</t>
        </is>
      </c>
    </row>
    <row r="15">
      <c r="A15" s="86" t="inlineStr">
        <is>
          <t>TBD — Mountain primary ad</t>
        </is>
      </c>
      <c r="B15" s="86" t="inlineStr">
        <is>
          <t>Hike Bike</t>
        </is>
      </c>
      <c r="C15" s="86" t="inlineStr">
        <is>
          <t>Mountain (agency keywords)</t>
        </is>
      </c>
      <c r="D15" s="86" t="inlineStr">
        <is>
          <t>Inactive</t>
        </is>
      </c>
      <c r="E15" s="86" t="n"/>
      <c r="F15" s="86" t="n"/>
      <c r="G15" s="86" t="n"/>
      <c r="H15" s="90" t="inlineStr">
        <is>
          <t>Primary; steep-trail / adventure pool</t>
        </is>
      </c>
    </row>
    <row r="16">
      <c r="A16" s="86" t="inlineStr">
        <is>
          <t>TBD — Secondary segment ad</t>
        </is>
      </c>
      <c r="B16" s="86" t="n"/>
      <c r="C16" s="86" t="n"/>
      <c r="D16" s="86" t="inlineStr">
        <is>
          <t>Inactive</t>
        </is>
      </c>
      <c r="E16" s="86" t="n"/>
      <c r="F16" s="86" t="n"/>
      <c r="G16" s="86" t="n"/>
      <c r="H16" s="90" t="inlineStr">
        <is>
          <t>Speed or Rec if launched</t>
        </is>
      </c>
    </row>
    <row r="17">
      <c r="A17" s="86" t="inlineStr">
        <is>
          <t>TBD — Company ad (optional)</t>
        </is>
      </c>
      <c r="B17" s="86" t="inlineStr">
        <is>
          <t>WeBike (company)</t>
        </is>
      </c>
      <c r="C17" s="86" t="n"/>
      <c r="D17" s="86" t="inlineStr">
        <is>
          <t>Inactive</t>
        </is>
      </c>
      <c r="E17" s="86" t="n"/>
      <c r="F17" s="86" t="n"/>
      <c r="G17" s="86" t="n"/>
      <c r="H17" s="90" t="inlineStr">
        <is>
          <t>No brand emphasize</t>
        </is>
      </c>
    </row>
    <row r="19">
      <c r="A19" s="78" t="inlineStr">
        <is>
          <t>Segment keyword reminder</t>
        </is>
      </c>
    </row>
    <row r="20">
      <c r="A20" s="82" t="inlineStr">
        <is>
          <t>Segment</t>
        </is>
      </c>
      <c r="B20" s="82" t="inlineStr">
        <is>
          <t>Keywords (paste from Workspace when assigned)</t>
        </is>
      </c>
      <c r="C20" s="82" t="inlineStr">
        <is>
          <t>Primary use</t>
        </is>
      </c>
    </row>
    <row r="21">
      <c r="A21" s="90" t="inlineStr">
        <is>
          <t>Mountain</t>
        </is>
      </c>
      <c r="B21" s="86" t="n"/>
      <c r="C21" s="90" t="inlineStr">
        <is>
          <t>Hike Bike / primary Q2</t>
        </is>
      </c>
    </row>
    <row r="22">
      <c r="A22" s="90" t="inlineStr">
        <is>
          <t>Speed</t>
        </is>
      </c>
      <c r="B22" s="86" t="n"/>
      <c r="C22" s="90" t="inlineStr">
        <is>
          <t>If Speed ad/page launched</t>
        </is>
      </c>
    </row>
    <row r="23">
      <c r="A23" s="90" t="inlineStr">
        <is>
          <t>Recreation</t>
        </is>
      </c>
      <c r="B23" s="86" t="n"/>
      <c r="C23" s="90" t="inlineStr">
        <is>
          <t>If Rec ad/page launched</t>
        </is>
      </c>
    </row>
    <row r="25">
      <c r="A25" s="78" t="inlineStr">
        <is>
          <t>Organic support checklist</t>
        </is>
      </c>
    </row>
    <row r="26">
      <c r="A26" t="inlineStr">
        <is>
          <t>Traditional ads list brand + web URL</t>
        </is>
      </c>
      <c r="B26" s="79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79" t="n"/>
    </row>
    <row r="28">
      <c r="A28" t="inlineStr">
        <is>
          <t>Cash+CD still ≥ $300k after page fees</t>
        </is>
      </c>
      <c r="B28" s="79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78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48" customWidth="1" style="67" min="1" max="1"/>
    <col width="22" customWidth="1" style="67" min="2" max="2"/>
    <col width="18" customWidth="1" style="67" min="3" max="3"/>
    <col width="14" customWidth="1" style="67" min="4" max="4"/>
    <col width="18" customWidth="1" style="67" min="5" max="5"/>
    <col width="12" customWidth="1" style="67" min="6" max="6"/>
    <col width="12" customWidth="1" style="67" min="7" max="7"/>
    <col width="16" customWidth="1" style="67" min="8" max="8"/>
    <col width="14" customWidth="1" style="67" min="9" max="9"/>
    <col width="36" customWidth="1" style="67" min="10" max="10"/>
  </cols>
  <sheetData>
    <row r="1">
      <c r="A1" s="81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78" t="inlineStr">
        <is>
          <t>Unit cost rates (paste from Workspace — yellow)</t>
        </is>
      </c>
    </row>
    <row r="6">
      <c r="A6" s="82" t="inlineStr">
        <is>
          <t>Cost item</t>
        </is>
      </c>
      <c r="B6" s="82" t="inlineStr">
        <is>
          <t>Unit / basis</t>
        </is>
      </c>
      <c r="C6" s="82" t="inlineStr">
        <is>
          <t>$ this quarter</t>
        </is>
      </c>
      <c r="D6" s="82" t="inlineStr">
        <is>
          <t>Notes</t>
        </is>
      </c>
    </row>
    <row r="7">
      <c r="A7" s="90" t="inlineStr">
        <is>
          <t>Hiring expense</t>
        </is>
      </c>
      <c r="B7" s="90" t="inlineStr">
        <is>
          <t>per person hired</t>
        </is>
      </c>
      <c r="C7" s="88" t="n"/>
      <c r="D7" s="90" t="inlineStr">
        <is>
          <t>One-time when headcount rises</t>
        </is>
      </c>
    </row>
    <row r="8">
      <c r="A8" s="90" t="inlineStr">
        <is>
          <t>Layoff expense</t>
        </is>
      </c>
      <c r="B8" s="90" t="inlineStr">
        <is>
          <t>per person laid off</t>
        </is>
      </c>
      <c r="C8" s="88" t="n"/>
      <c r="D8" s="90" t="inlineStr">
        <is>
          <t>One-time when headcount falls</t>
        </is>
      </c>
    </row>
    <row r="9">
      <c r="A9" s="90" t="inlineStr">
        <is>
          <t>Salary + training — Service</t>
        </is>
      </c>
      <c r="B9" s="90" t="inlineStr">
        <is>
          <t>per person assigned</t>
        </is>
      </c>
      <c r="C9" s="88" t="n"/>
      <c r="D9" s="90" t="inlineStr">
        <is>
          <t>Specialty training cost</t>
        </is>
      </c>
    </row>
    <row r="10">
      <c r="A10" s="90" t="inlineStr">
        <is>
          <t>Salary + training — Recreation</t>
        </is>
      </c>
      <c r="B10" s="90" t="inlineStr">
        <is>
          <t>per person assigned</t>
        </is>
      </c>
      <c r="C10" s="88" t="n"/>
      <c r="D10" s="90" t="inlineStr"/>
    </row>
    <row r="11">
      <c r="A11" s="90" t="inlineStr">
        <is>
          <t>Salary + training — Mountain</t>
        </is>
      </c>
      <c r="B11" s="90" t="inlineStr">
        <is>
          <t>per person assigned</t>
        </is>
      </c>
      <c r="C11" s="88" t="n"/>
      <c r="D11" s="90" t="inlineStr">
        <is>
          <t>Primary segment</t>
        </is>
      </c>
    </row>
    <row r="12">
      <c r="A12" s="90" t="inlineStr">
        <is>
          <t>Salary + training — Speed</t>
        </is>
      </c>
      <c r="B12" s="90" t="inlineStr">
        <is>
          <t>per person assigned</t>
        </is>
      </c>
      <c r="C12" s="88" t="n"/>
      <c r="D12" s="90" t="inlineStr"/>
    </row>
    <row r="13">
      <c r="A13" s="90" t="inlineStr">
        <is>
          <t>Salary + training — Unassigned / general</t>
        </is>
      </c>
      <c r="B13" s="90" t="inlineStr">
        <is>
          <t>per unassigned person</t>
        </is>
      </c>
      <c r="C13" s="88" t="n"/>
      <c r="D13" s="90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78" t="inlineStr">
        <is>
          <t>Per-location staffing &amp; specialized training</t>
        </is>
      </c>
    </row>
    <row r="18">
      <c r="A18" s="82" t="inlineStr">
        <is>
          <t>Location</t>
        </is>
      </c>
      <c r="B18" s="82" t="inlineStr">
        <is>
          <t>Status</t>
        </is>
      </c>
      <c r="C18" s="82" t="inlineStr">
        <is>
          <t>Total sales+service</t>
        </is>
      </c>
      <c r="D18" s="82" t="inlineStr">
        <is>
          <t>Service</t>
        </is>
      </c>
      <c r="E18" s="82" t="inlineStr">
        <is>
          <t>Recreation</t>
        </is>
      </c>
      <c r="F18" s="82" t="inlineStr">
        <is>
          <t>Mountain</t>
        </is>
      </c>
      <c r="G18" s="82" t="inlineStr">
        <is>
          <t>Speed</t>
        </is>
      </c>
      <c r="H18" s="82" t="inlineStr">
        <is>
          <t>Unassigned (calc)</t>
        </is>
      </c>
      <c r="I18" s="82" t="inlineStr">
        <is>
          <t>Specialty sum</t>
        </is>
      </c>
      <c r="J18" s="82" t="inlineStr">
        <is>
          <t>≤7 tip / notes</t>
        </is>
      </c>
    </row>
    <row r="19">
      <c r="A19" s="90" t="inlineStr">
        <is>
          <t>Amsterdam</t>
        </is>
      </c>
      <c r="B19" s="90" t="inlineStr">
        <is>
          <t>OPEN (Q2 live)</t>
        </is>
      </c>
      <c r="C19" s="86" t="n">
        <v>0</v>
      </c>
      <c r="D19" s="86" t="n">
        <v>0</v>
      </c>
      <c r="E19" s="86" t="n">
        <v>0</v>
      </c>
      <c r="F19" s="86" t="n">
        <v>0</v>
      </c>
      <c r="G19" s="86" t="n">
        <v>0</v>
      </c>
      <c r="H19" s="90">
        <f>IF(C19="","",C19-SUM(D19:G19))</f>
        <v/>
      </c>
      <c r="I19" s="90">
        <f>IF(COUNT(D19:G19)=0,"",SUM(D19:G19))</f>
        <v/>
      </c>
      <c r="J19" s="90" t="inlineStr">
        <is>
          <t>Physical store — Hike Bike primary</t>
        </is>
      </c>
    </row>
    <row r="20">
      <c r="A20" s="90" t="inlineStr">
        <is>
          <t>World Web</t>
        </is>
      </c>
      <c r="B20" s="90" t="inlineStr">
        <is>
          <t>OPEN (Q2 live)</t>
        </is>
      </c>
      <c r="C20" s="86">
        <f>IF(E55="","",E55)</f>
        <v/>
      </c>
      <c r="D20" s="86" t="n">
        <v>0</v>
      </c>
      <c r="E20" s="86" t="n">
        <v>0</v>
      </c>
      <c r="F20" s="86" t="n">
        <v>0</v>
      </c>
      <c r="G20" s="86" t="n">
        <v>0</v>
      </c>
      <c r="H20" s="90">
        <f>IF(C20="","",C20-SUM(D20:G20))</f>
        <v/>
      </c>
      <c r="I20" s="90">
        <f>IF(COUNT(D20:G20)=0,"",SUM(D20:G20))</f>
        <v/>
      </c>
      <c r="J20" s="90" t="inlineStr">
        <is>
          <t>Total linked to Web Personnel E55 (C55+D55)</t>
        </is>
      </c>
    </row>
    <row r="21">
      <c r="A21" s="90" t="inlineStr">
        <is>
          <t>City #2 (next Q)</t>
        </is>
      </c>
      <c r="B21" s="90" t="inlineStr">
        <is>
          <t>PLANNING</t>
        </is>
      </c>
      <c r="C21" s="86" t="n"/>
      <c r="D21" s="86" t="n"/>
      <c r="E21" s="86" t="n"/>
      <c r="F21" s="86" t="n"/>
      <c r="G21" s="86" t="n"/>
      <c r="H21" s="90">
        <f>IF(C21="","",C21-SUM(D21:G21))</f>
        <v/>
      </c>
      <c r="I21" s="90">
        <f>IF(COUNT(D21:G21)=0,"",SUM(D21:G21))</f>
        <v/>
      </c>
      <c r="J21" s="90" t="inlineStr">
        <is>
          <t>Opens next quarter if scheduled</t>
        </is>
      </c>
    </row>
    <row r="22">
      <c r="A22" s="90" t="inlineStr">
        <is>
          <t>Other / TBD</t>
        </is>
      </c>
      <c r="B22" s="90" t="inlineStr">
        <is>
          <t>—</t>
        </is>
      </c>
      <c r="C22" s="86" t="n"/>
      <c r="D22" s="86" t="n"/>
      <c r="E22" s="86" t="n"/>
      <c r="F22" s="86" t="n"/>
      <c r="G22" s="86" t="n"/>
      <c r="H22" s="90">
        <f>IF(C22="","",C22-SUM(D22:G22))</f>
        <v/>
      </c>
      <c r="I22" s="90">
        <f>IF(COUNT(D22:G22)=0,"",SUM(D22:G22))</f>
        <v/>
      </c>
      <c r="J22" s="90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78" t="inlineStr">
        <is>
          <t>Estimated salary &amp; training cost by location (uses rates above)</t>
        </is>
      </c>
    </row>
    <row r="29">
      <c r="A29" s="82" t="inlineStr">
        <is>
          <t>Location</t>
        </is>
      </c>
      <c r="B29" s="82" t="inlineStr">
        <is>
          <t>Service $</t>
        </is>
      </c>
      <c r="C29" s="82" t="inlineStr">
        <is>
          <t>Rec $</t>
        </is>
      </c>
      <c r="D29" s="82" t="inlineStr">
        <is>
          <t>Mountain $</t>
        </is>
      </c>
      <c r="E29" s="82" t="inlineStr">
        <is>
          <t>Speed $</t>
        </is>
      </c>
      <c r="F29" s="82" t="inlineStr">
        <is>
          <t>Unassigned $ + Total</t>
        </is>
      </c>
    </row>
    <row r="30">
      <c r="A30" s="90">
        <f>A19</f>
        <v/>
      </c>
      <c r="B30" s="84">
        <f>IF(OR(D19="",$C$9=""),"",D19*$C$9)</f>
        <v/>
      </c>
      <c r="C30" s="84">
        <f>IF(OR(E19="",$C$10=""),"",E19*$C$10)</f>
        <v/>
      </c>
      <c r="D30" s="84">
        <f>IF(OR(F19="",$C$11=""),"",F19*$C$11)</f>
        <v/>
      </c>
      <c r="E30" s="84">
        <f>IF(OR(G19="",$C$12=""),"",G19*$C$12)</f>
        <v/>
      </c>
      <c r="F30" s="84">
        <f>IF(C19="","",IFERROR(B30,0)+IFERROR(C30,0)+IFERROR(D30,0)+IFERROR(E30,0)+IF(OR(H19="",$C$13=""),0,H19*$C$13))</f>
        <v/>
      </c>
    </row>
    <row r="31">
      <c r="A31" s="90">
        <f>A20</f>
        <v/>
      </c>
      <c r="B31" s="84">
        <f>IF(OR(D20="",$C$9=""),"",D20*$C$9)</f>
        <v/>
      </c>
      <c r="C31" s="84">
        <f>IF(OR(E20="",$C$10=""),"",E20*$C$10)</f>
        <v/>
      </c>
      <c r="D31" s="84">
        <f>IF(OR(F20="",$C$11=""),"",F20*$C$11)</f>
        <v/>
      </c>
      <c r="E31" s="84">
        <f>IF(OR(G20="",$C$12=""),"",G20*$C$12)</f>
        <v/>
      </c>
      <c r="F31" s="84">
        <f>IF(C20="","",IFERROR(B31,0)+IFERROR(C31,0)+IFERROR(D31,0)+IFERROR(E31,0)+IF(OR(H20="",$C$13=""),0,H20*$C$13))</f>
        <v/>
      </c>
    </row>
    <row r="32">
      <c r="A32" s="90">
        <f>A21</f>
        <v/>
      </c>
      <c r="B32" s="84">
        <f>IF(OR(D21="",$C$9=""),"",D21*$C$9)</f>
        <v/>
      </c>
      <c r="C32" s="84">
        <f>IF(OR(E21="",$C$10=""),"",E21*$C$10)</f>
        <v/>
      </c>
      <c r="D32" s="84">
        <f>IF(OR(F21="",$C$11=""),"",F21*$C$11)</f>
        <v/>
      </c>
      <c r="E32" s="84">
        <f>IF(OR(G21="",$C$12=""),"",G21*$C$12)</f>
        <v/>
      </c>
      <c r="F32" s="84">
        <f>IF(C21="","",IFERROR(B32,0)+IFERROR(C32,0)+IFERROR(D32,0)+IFERROR(E32,0)+IF(OR(H21="",$C$13=""),0,H21*$C$13))</f>
        <v/>
      </c>
    </row>
    <row r="33">
      <c r="A33" s="90">
        <f>A22</f>
        <v/>
      </c>
      <c r="B33" s="84">
        <f>IF(OR(D22="",$C$9=""),"",D22*$C$9)</f>
        <v/>
      </c>
      <c r="C33" s="84">
        <f>IF(OR(E22="",$C$10=""),"",E22*$C$10)</f>
        <v/>
      </c>
      <c r="D33" s="84">
        <f>IF(OR(F22="",$C$11=""),"",F22*$C$11)</f>
        <v/>
      </c>
      <c r="E33" s="84">
        <f>IF(OR(G22="",$C$12=""),"",G22*$C$12)</f>
        <v/>
      </c>
      <c r="F33" s="84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99">
        <f>IF(COUNT(F30:F33)=0,"",SUM(F30:F33))</f>
        <v/>
      </c>
    </row>
    <row r="36">
      <c r="A36" s="78" t="inlineStr">
        <is>
          <t>Regional Summary (Workspace mirror — strategic planning)</t>
        </is>
      </c>
    </row>
    <row r="37">
      <c r="A37" s="96" t="inlineStr">
        <is>
          <t>Total Number of Sales and Service People</t>
        </is>
      </c>
    </row>
    <row r="38">
      <c r="A38" t="inlineStr">
        <is>
          <t>Prior Quarter</t>
        </is>
      </c>
      <c r="B38" s="100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100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100">
        <f>IF(B39="","",B39-B38)</f>
        <v/>
      </c>
    </row>
    <row r="42">
      <c r="A42" s="96" t="inlineStr">
        <is>
          <t>Costs This Quarter</t>
        </is>
      </c>
    </row>
    <row r="43">
      <c r="A43" t="inlineStr">
        <is>
          <t>Hiring expenses</t>
        </is>
      </c>
      <c r="B43" s="99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99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99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97">
        <f>IF(COUNT(B43:B45)=0,"",SUM(B43:B45))</f>
        <v/>
      </c>
    </row>
    <row r="48">
      <c r="A48" s="78" t="inlineStr">
        <is>
          <t>Specialty mix — current quarter (all locations)</t>
        </is>
      </c>
    </row>
    <row r="49">
      <c r="A49" s="82" t="inlineStr">
        <is>
          <t>Service</t>
        </is>
      </c>
      <c r="B49" s="82" t="inlineStr">
        <is>
          <t>Recreation</t>
        </is>
      </c>
      <c r="C49" s="82" t="inlineStr">
        <is>
          <t>Mountain</t>
        </is>
      </c>
      <c r="D49" s="82" t="inlineStr">
        <is>
          <t>Speed</t>
        </is>
      </c>
      <c r="E49" s="82" t="inlineStr">
        <is>
          <t>Unassigned</t>
        </is>
      </c>
    </row>
    <row r="50">
      <c r="A50" s="101">
        <f>SUM(D19:D22)</f>
        <v/>
      </c>
      <c r="B50" s="101">
        <f>SUM(E19:E22)</f>
        <v/>
      </c>
      <c r="C50" s="101">
        <f>SUM(F19:F22)</f>
        <v/>
      </c>
      <c r="D50" s="101">
        <f>SUM(G19:G22)</f>
        <v/>
      </c>
      <c r="E50" s="101">
        <f>SUM(H19:H22)</f>
        <v/>
      </c>
    </row>
    <row r="52">
      <c r="A52" s="102" t="inlineStr">
        <is>
          <t>Web Personnel (Workspace — World Market)</t>
        </is>
      </c>
      <c r="B52" s="103" t="n"/>
      <c r="C52" s="103" t="n"/>
      <c r="D52" s="103" t="n"/>
      <c r="E52" s="103" t="n"/>
      <c r="F52" s="103" t="n"/>
      <c r="G52" s="103" t="n"/>
      <c r="H52" s="103" t="n"/>
      <c r="I52" s="103" t="n"/>
      <c r="J52" s="103" t="n"/>
      <c r="K52" s="103" t="n"/>
    </row>
    <row r="53">
      <c r="A53" s="104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104" t="n"/>
      <c r="C53" s="104" t="n"/>
      <c r="D53" s="104" t="n"/>
      <c r="E53" s="104" t="n"/>
      <c r="F53" s="103" t="n"/>
      <c r="G53" s="103" t="n"/>
      <c r="H53" s="103" t="n"/>
      <c r="I53" s="103" t="n"/>
      <c r="J53" s="103" t="n"/>
      <c r="K53" s="103" t="n"/>
    </row>
    <row r="54">
      <c r="A54" s="82" t="inlineStr">
        <is>
          <t>Location</t>
        </is>
      </c>
      <c r="B54" s="82" t="inlineStr">
        <is>
          <t>Annual Compensation</t>
        </is>
      </c>
      <c r="C54" s="82" t="inlineStr">
        <is>
          <t>Web Sales</t>
        </is>
      </c>
      <c r="D54" s="82" t="inlineStr">
        <is>
          <t>Web Support</t>
        </is>
      </c>
      <c r="E54" s="82" t="inlineStr">
        <is>
          <t>Total Sales People</t>
        </is>
      </c>
      <c r="F54" s="103" t="n"/>
      <c r="G54" s="103" t="n"/>
      <c r="H54" s="103" t="n"/>
      <c r="I54" s="103" t="n"/>
      <c r="J54" s="103" t="n"/>
      <c r="K54" s="103" t="n"/>
    </row>
    <row r="55">
      <c r="A55" s="90" t="inlineStr">
        <is>
          <t>Bangalore, World Market</t>
        </is>
      </c>
      <c r="B55" s="88" t="n">
        <v>19310</v>
      </c>
      <c r="C55" s="86" t="n">
        <v>0</v>
      </c>
      <c r="D55" s="86" t="n">
        <v>0</v>
      </c>
      <c r="E55" s="101">
        <f>IF(COUNT(C55:D55)=0,"",SUM(C55:D55))</f>
        <v/>
      </c>
      <c r="F55" s="103" t="n"/>
      <c r="G55" s="103" t="n"/>
      <c r="H55" s="103" t="n"/>
      <c r="I55" s="103" t="n"/>
      <c r="J55" s="103" t="n"/>
      <c r="K55" s="103" t="n"/>
    </row>
    <row r="56">
      <c r="A56" s="103" t="inlineStr">
        <is>
          <t>Compensation source</t>
        </is>
      </c>
      <c r="B56" s="103">
        <f>IF(Comp_Industry!C42="","Industry sales baseline $19,310 — replace when our sales package locked",Comp_Industry!C42)</f>
        <v/>
      </c>
      <c r="C56" s="103" t="inlineStr">
        <is>
          <t>Prefer Comp_Industry total when set; B55 is the $ used for employ-cost calc</t>
        </is>
      </c>
      <c r="D56" s="103" t="n"/>
      <c r="E56" s="103" t="n"/>
      <c r="F56" s="103" t="n"/>
      <c r="G56" s="103" t="n"/>
      <c r="H56" s="103" t="n"/>
      <c r="I56" s="103" t="n"/>
      <c r="J56" s="103" t="n"/>
      <c r="K56" s="103" t="n"/>
    </row>
    <row r="57">
      <c r="A57" s="103" t="inlineStr">
        <is>
          <t>Use Comp_Industry sales total for B55?</t>
        </is>
      </c>
      <c r="B57" s="103" t="inlineStr">
        <is>
          <t>Paste or set B55 = Comp_Industry!C42 when package decided</t>
        </is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</row>
    <row r="58">
      <c r="A58" s="103" t="inlineStr">
        <is>
          <t>Sync tip</t>
        </is>
      </c>
      <c r="B58" s="103" t="inlineStr">
        <is>
          <t>Set row 20 (World Web) Total ≈ E55. Specialty columns on row 20 are optional for web; Web Sales vs Web Support is the Workspace split.</t>
        </is>
      </c>
      <c r="C58" s="103" t="n"/>
      <c r="D58" s="103" t="n"/>
      <c r="E58" s="103" t="n"/>
      <c r="F58" s="103" t="n"/>
      <c r="G58" s="103" t="n"/>
      <c r="H58" s="103" t="n"/>
      <c r="I58" s="103" t="n"/>
      <c r="J58" s="103" t="n"/>
      <c r="K58" s="103" t="n"/>
    </row>
    <row r="59">
      <c r="A59" s="103" t="inlineStr">
        <is>
          <t>World Web row20 Total vs Web Personnel Total</t>
        </is>
      </c>
      <c r="B59" s="105">
        <f>IF(OR(C20="",E55=""),"",C20-E55)</f>
        <v/>
      </c>
      <c r="C59" s="103" t="inlineStr">
        <is>
          <t>0 = synced</t>
        </is>
      </c>
      <c r="D59" s="103" t="n"/>
      <c r="E59" s="103" t="n"/>
      <c r="F59" s="103" t="n"/>
      <c r="G59" s="103" t="n"/>
      <c r="H59" s="103" t="n"/>
      <c r="I59" s="103" t="n"/>
      <c r="J59" s="103" t="n"/>
      <c r="K59" s="103" t="n"/>
    </row>
    <row r="60">
      <c r="A60" s="103" t="n"/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</row>
    <row r="61">
      <c r="A61" s="104" t="inlineStr">
        <is>
          <t>Web Personnel Summary</t>
        </is>
      </c>
      <c r="B61" s="103" t="n"/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</row>
    <row r="62">
      <c r="A62" s="103" t="inlineStr">
        <is>
          <t>Total number of web personnel in the prior quarter</t>
        </is>
      </c>
      <c r="B62" s="106" t="n">
        <v>0</v>
      </c>
      <c r="C62" s="103" t="inlineStr">
        <is>
          <t>Q1: web center opening, no staff yet</t>
        </is>
      </c>
      <c r="D62" s="103" t="n"/>
      <c r="E62" s="103" t="n"/>
      <c r="F62" s="103" t="n"/>
      <c r="G62" s="103" t="n"/>
      <c r="H62" s="103" t="n"/>
      <c r="I62" s="103" t="n"/>
      <c r="J62" s="103" t="n"/>
      <c r="K62" s="103" t="n"/>
    </row>
    <row r="63">
      <c r="A63" s="103" t="inlineStr">
        <is>
          <t>Total number of web personnel in the current quarter</t>
        </is>
      </c>
      <c r="B63" s="106">
        <f>E55</f>
        <v/>
      </c>
      <c r="C63" s="103" t="n"/>
      <c r="D63" s="103" t="n"/>
      <c r="E63" s="103" t="n"/>
      <c r="F63" s="103" t="n"/>
      <c r="G63" s="103" t="n"/>
      <c r="H63" s="103" t="n"/>
      <c r="I63" s="103" t="n"/>
      <c r="J63" s="103" t="n"/>
      <c r="K63" s="103" t="n"/>
    </row>
    <row r="64">
      <c r="A64" s="103" t="inlineStr">
        <is>
          <t>Net change in number of web personnel</t>
        </is>
      </c>
      <c r="B64" s="107">
        <f>IF(B63="","",B63-B62)</f>
        <v/>
      </c>
      <c r="C64" s="103" t="n"/>
      <c r="D64" s="103" t="n"/>
      <c r="E64" s="103" t="n"/>
      <c r="F64" s="103" t="n"/>
      <c r="G64" s="103" t="n"/>
      <c r="H64" s="103" t="n"/>
      <c r="I64" s="103" t="n"/>
      <c r="J64" s="103" t="n"/>
      <c r="K64" s="103" t="n"/>
    </row>
    <row r="65">
      <c r="A65" s="103" t="n"/>
      <c r="B65" s="105" t="n"/>
      <c r="C65" s="103" t="n"/>
      <c r="D65" s="103" t="n"/>
      <c r="E65" s="103" t="n"/>
      <c r="F65" s="103" t="n"/>
      <c r="G65" s="103" t="n"/>
      <c r="H65" s="103" t="n"/>
      <c r="I65" s="103" t="n"/>
      <c r="J65" s="103" t="n"/>
      <c r="K65" s="103" t="n"/>
    </row>
    <row r="66">
      <c r="A66" s="103" t="inlineStr">
        <is>
          <t>Cost to hire new web personnel</t>
        </is>
      </c>
      <c r="B66" s="107">
        <f>IF(OR(B64="",$C$7=""),"",IF(B64&gt;0,B64*$C$7,0))</f>
        <v/>
      </c>
      <c r="C66" s="103" t="inlineStr">
        <is>
          <t>Uses Hiring expense rate C7 (paste from Workspace)</t>
        </is>
      </c>
      <c r="D66" s="103" t="n"/>
      <c r="E66" s="103" t="n"/>
      <c r="F66" s="103" t="n"/>
      <c r="G66" s="103" t="n"/>
      <c r="H66" s="103" t="n"/>
      <c r="I66" s="103" t="n"/>
      <c r="J66" s="103" t="n"/>
      <c r="K66" s="103" t="n"/>
    </row>
    <row r="67">
      <c r="A67" s="102" t="inlineStr">
        <is>
          <t>Cost to lay off web personnel</t>
        </is>
      </c>
      <c r="B67" s="107">
        <f>IF(OR(B64="",$C$8=""),"",IF(B64&lt;0,ABS(B64)*$C$8,0))</f>
        <v/>
      </c>
      <c r="C67" s="103" t="inlineStr">
        <is>
          <t>Uses Layoff expense rate C8</t>
        </is>
      </c>
      <c r="D67" s="103" t="n"/>
      <c r="E67" s="103" t="n"/>
      <c r="F67" s="103" t="n"/>
      <c r="G67" s="103" t="n"/>
      <c r="H67" s="103" t="n"/>
      <c r="I67" s="103" t="n"/>
      <c r="J67" s="103" t="n"/>
      <c r="K67" s="103" t="n"/>
    </row>
    <row r="68">
      <c r="A68" s="103" t="inlineStr">
        <is>
          <t>Cost to employ web personnel for the quarter</t>
        </is>
      </c>
      <c r="B68" s="107">
        <f>IF(OR(E55="",B55=""),"",E55*B55/4)</f>
        <v/>
      </c>
      <c r="C68" s="103" t="inlineStr">
        <is>
          <t>Assumes annual package ÷ 4 × headcount (adjust if Workspace uses different timing)</t>
        </is>
      </c>
      <c r="D68" s="103" t="n"/>
      <c r="E68" s="103" t="n"/>
      <c r="F68" s="103" t="n"/>
      <c r="G68" s="103" t="n"/>
      <c r="H68" s="103" t="n"/>
      <c r="I68" s="103" t="n"/>
      <c r="J68" s="103" t="n"/>
      <c r="K68" s="103" t="n"/>
    </row>
    <row r="69">
      <c r="A69" s="103" t="inlineStr">
        <is>
          <t>TOTAL web people costs (hire + layoff + employ)</t>
        </is>
      </c>
      <c r="B69" s="108">
        <f>IF(COUNT(B66:B68)=0,"",SUM(B66:B68))</f>
        <v/>
      </c>
      <c r="C69" s="103" t="n"/>
      <c r="D69" s="103" t="n"/>
      <c r="E69" s="103" t="n"/>
      <c r="F69" s="103" t="n"/>
      <c r="G69" s="103" t="n"/>
      <c r="H69" s="103" t="n"/>
      <c r="I69" s="103" t="n"/>
      <c r="J69" s="103" t="n"/>
      <c r="K69" s="103" t="n"/>
    </row>
    <row r="70">
      <c r="A70" s="103" t="n"/>
      <c r="B70" s="103" t="n"/>
      <c r="C70" s="103" t="n"/>
      <c r="D70" s="103" t="n"/>
      <c r="E70" s="103" t="n"/>
      <c r="F70" s="103" t="n"/>
      <c r="G70" s="103" t="n"/>
      <c r="H70" s="103" t="n"/>
      <c r="I70" s="103" t="n"/>
      <c r="J70" s="103" t="n"/>
      <c r="K70" s="103" t="n"/>
    </row>
    <row r="71">
      <c r="A71" s="103" t="inlineStr">
        <is>
          <t>Elements that can be changed</t>
        </is>
      </c>
      <c r="B71" s="103" t="inlineStr">
        <is>
          <t>Web Sales (C55) · Web Support (D55) · Annual compensation (B55) · Hire/layoff rates (C7/C8)</t>
        </is>
      </c>
      <c r="C71" s="103" t="n"/>
      <c r="D71" s="103" t="n"/>
      <c r="E71" s="103" t="n"/>
      <c r="F71" s="103" t="n"/>
      <c r="G71" s="103" t="n"/>
      <c r="H71" s="103" t="n"/>
      <c r="I71" s="103" t="n"/>
      <c r="J71" s="103" t="n"/>
      <c r="K71" s="103" t="n"/>
    </row>
    <row r="72">
      <c r="A72" s="103" t="n"/>
      <c r="B72" s="103" t="n"/>
      <c r="C72" s="103" t="n"/>
      <c r="D72" s="103" t="n"/>
      <c r="E72" s="103" t="n"/>
      <c r="F72" s="103" t="n"/>
      <c r="G72" s="103" t="n"/>
      <c r="H72" s="103" t="n"/>
      <c r="I72" s="103" t="n"/>
      <c r="J72" s="103" t="n"/>
      <c r="K72" s="103" t="n"/>
    </row>
    <row r="73">
      <c r="A73" s="102" t="inlineStr">
        <is>
          <t>Web productivity tactics — see sheet Web_Productivity</t>
        </is>
      </c>
      <c r="B73" s="103" t="n"/>
      <c r="C73" s="103" t="n"/>
      <c r="D73" s="103" t="n"/>
      <c r="E73" s="103" t="n"/>
      <c r="F73" s="103" t="n"/>
      <c r="G73" s="103" t="n"/>
      <c r="H73" s="103" t="n"/>
      <c r="I73" s="103" t="n"/>
      <c r="J73" s="103" t="n"/>
      <c r="K73" s="103" t="n"/>
    </row>
    <row r="74">
      <c r="A74" s="82" t="inlineStr">
        <is>
          <t>Active cash this Q (linked)</t>
        </is>
      </c>
      <c r="B74" s="109">
        <f>IF(Web_Productivity!B10="","",Web_Productivity!B10)</f>
        <v/>
      </c>
      <c r="C74" s="82" t="inlineStr">
        <is>
          <t>Edit Start/Budget on Web_Productivity sheet</t>
        </is>
      </c>
      <c r="D74" s="82" t="inlineStr">
        <is>
          <t>Quarters to full effect</t>
        </is>
      </c>
      <c r="E74" s="82" t="inlineStr">
        <is>
          <t>Notes</t>
        </is>
      </c>
    </row>
    <row r="75">
      <c r="A75" s="86" t="inlineStr">
        <is>
          <t>Toll-free default</t>
        </is>
      </c>
      <c r="B75" s="86" t="inlineStr">
        <is>
          <t>Setup $3,000 · Quarterly $3,000</t>
        </is>
      </c>
      <c r="C75" s="86" t="n"/>
      <c r="D75" s="86" t="n"/>
      <c r="E75" s="86" t="n"/>
    </row>
    <row r="76">
      <c r="A76" s="86" t="inlineStr">
        <is>
          <t>Page upgrades default</t>
        </is>
      </c>
      <c r="B76" s="86" t="inlineStr">
        <is>
          <t>Setup $6,000 · Quarterly $6,000</t>
        </is>
      </c>
      <c r="C76" s="86" t="n"/>
      <c r="D76" s="86" t="n"/>
      <c r="E76" s="86" t="n"/>
    </row>
    <row r="77">
      <c r="A77" s="86" t="inlineStr">
        <is>
          <t>Curve insight</t>
        </is>
      </c>
      <c r="B77" s="86" t="inlineStr">
        <is>
          <t>Toll-free &gt;&gt; page upgrades on % improvement; diminishing returns after ~$10k</t>
        </is>
      </c>
      <c r="C77" s="86" t="n"/>
      <c r="D77" s="86" t="n"/>
      <c r="E77" s="86" t="n"/>
    </row>
    <row r="78">
      <c r="A78" s="86" t="n"/>
      <c r="B78" s="86" t="n"/>
      <c r="C78" s="86" t="n"/>
      <c r="D78" s="86" t="n"/>
      <c r="E78" s="86" t="n"/>
    </row>
    <row r="79">
      <c r="A79" s="86" t="n"/>
      <c r="B79" s="86" t="n"/>
      <c r="C79" s="86" t="n"/>
      <c r="D79" s="86" t="n"/>
      <c r="E79" s="86" t="n"/>
    </row>
    <row r="80">
      <c r="A80" t="inlineStr">
        <is>
          <t>Total web tactics budget (linked)</t>
        </is>
      </c>
      <c r="B80" s="85">
        <f>B74</f>
        <v/>
      </c>
    </row>
    <row r="82">
      <c r="A82" s="78" t="inlineStr">
        <is>
          <t>New sales outlet for NEXT quarter (city #2)</t>
        </is>
      </c>
    </row>
    <row r="83">
      <c r="A83" t="inlineStr">
        <is>
          <t>Open a new store?</t>
        </is>
      </c>
      <c r="B83" s="86" t="n"/>
      <c r="C83" t="inlineStr">
        <is>
          <t>Yes/No — takes full quarter to open</t>
        </is>
      </c>
    </row>
    <row r="84">
      <c r="A84" t="inlineStr">
        <is>
          <t>City candidate</t>
        </is>
      </c>
      <c r="B84" s="86" t="n"/>
      <c r="C84" t="inlineStr">
        <is>
          <t>Strategy bias: NYC; also set row 21 headcount for opening staff</t>
        </is>
      </c>
    </row>
    <row r="85">
      <c r="A85" t="inlineStr">
        <is>
          <t>Setup cost (hint)</t>
        </is>
      </c>
      <c r="B85" s="85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85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78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90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55" customWidth="1" style="67" min="1" max="1"/>
    <col width="12" customWidth="1" style="67" min="2" max="2"/>
    <col width="12" customWidth="1" style="67" min="3" max="3"/>
    <col width="12" customWidth="1" style="67" min="4" max="4"/>
    <col width="12" customWidth="1" style="67" min="5" max="5"/>
    <col width="16" customWidth="1" style="67" min="6" max="6"/>
    <col width="22" customWidth="1" style="67" min="7" max="7"/>
    <col width="14" customWidth="1" style="67" min="8" max="8"/>
    <col width="14" customWidth="1" style="67" min="9" max="9"/>
  </cols>
  <sheetData>
    <row r="1">
      <c r="A1" s="81" t="inlineStr">
        <is>
          <t>Web Productivity — Purchase Probability Tactics</t>
        </is>
      </c>
    </row>
    <row r="2">
      <c r="A2" t="inlineStr">
        <is>
          <t>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78" t="inlineStr">
        <is>
          <t>Options to Improve the Probability of Purchase</t>
        </is>
      </c>
    </row>
    <row r="6">
      <c r="A6" s="82" t="inlineStr">
        <is>
          <t>Activity</t>
        </is>
      </c>
      <c r="B6" s="82" t="inlineStr">
        <is>
          <t>Start (Y/N)</t>
        </is>
      </c>
      <c r="C6" s="82" t="inlineStr">
        <is>
          <t>Stop (Y/N)</t>
        </is>
      </c>
      <c r="D6" s="82" t="inlineStr">
        <is>
          <t>Status</t>
        </is>
      </c>
      <c r="E6" s="82" t="inlineStr">
        <is>
          <t>Setup Cost</t>
        </is>
      </c>
      <c r="F6" s="82" t="inlineStr">
        <is>
          <t>Quarterly Budget</t>
        </is>
      </c>
      <c r="G6" s="82" t="inlineStr">
        <is>
          <t>Est. Potential Improvement %</t>
        </is>
      </c>
      <c r="H6" s="82" t="inlineStr">
        <is>
          <t>Setup due this Q?</t>
        </is>
      </c>
      <c r="I6" s="82" t="inlineStr">
        <is>
          <t>Cash hit this Q</t>
        </is>
      </c>
    </row>
    <row r="7">
      <c r="A7" s="90" t="inlineStr">
        <is>
          <t>Toll-free phone number for advising customers in the decision making process and for handling service calls</t>
        </is>
      </c>
      <c r="B7" s="86" t="n"/>
      <c r="C7" s="86" t="n"/>
      <c r="D7" s="90">
        <f>IF(OR(UPPER(B7)="Y",UPPER(B7)="YES"),"Active",IF(OR(UPPER(C7)="Y",UPPER(C7)="YES"),"Stopped","—"))</f>
        <v/>
      </c>
      <c r="E7" s="84" t="n">
        <v>3000</v>
      </c>
      <c r="F7" s="88" t="n">
        <v>3000</v>
      </c>
      <c r="G7" s="110">
        <f>IF(OR(D7&lt;&gt;"Active",F7=""),"",IF(F7&lt;=1500,0.22,IF(F7&lt;=4000,0.31,IF(F7&lt;=7500,0.35,IF(F7&lt;=12500,0.415,IF(F7&lt;=17500,0.44,IF(F7&lt;=25000,0.45,0.465)))))))</f>
        <v/>
      </c>
      <c r="H7" s="86" t="n"/>
      <c r="I7" s="111">
        <f>IF(D7&lt;&gt;"Active","",IF(OR(UPPER(H7)="Y",UPPER(H7)="YES"),E7+F7,F7))</f>
        <v/>
      </c>
    </row>
    <row r="8">
      <c r="A8" s="90" t="inlineStr">
        <is>
          <t>Continuous upgrading of the product description, pricing, and order entry pages to improve content, visual appeal and navigation</t>
        </is>
      </c>
      <c r="B8" s="86" t="n"/>
      <c r="C8" s="86" t="n"/>
      <c r="D8" s="90">
        <f>IF(OR(UPPER(B8)="Y",UPPER(B8)="YES"),"Active",IF(OR(UPPER(C8)="Y",UPPER(C8)="YES"),"Stopped","—"))</f>
        <v/>
      </c>
      <c r="E8" s="84" t="n">
        <v>6000</v>
      </c>
      <c r="F8" s="88" t="n">
        <v>6000</v>
      </c>
      <c r="G8" s="110">
        <f>IF(OR(D8&lt;&gt;"Active",F8=""),"",IF(F8&lt;=1500,0.12,IF(F8&lt;=4000,0.16,IF(F8&lt;=7500,0.185,IF(F8&lt;=12500,0.235,IF(F8&lt;=17500,0.26,IF(F8&lt;=25000,0.275,0.295)))))))</f>
        <v/>
      </c>
      <c r="H8" s="86" t="n"/>
      <c r="I8" s="111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112">
        <f>IF(COUNT(I7:I8)=0,"",SUM(I7:I8))</f>
        <v/>
      </c>
      <c r="C10" t="inlineStr">
        <is>
          <t>Sum of active tactics (setup if flagged + quarterly budget)</t>
        </is>
      </c>
    </row>
    <row r="12">
      <c r="A12" s="78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78" t="inlineStr">
        <is>
          <t>Potential Improvement [%] vs Quarterly Budget (approx chart read-off)</t>
        </is>
      </c>
    </row>
    <row r="20">
      <c r="A20" s="82" t="inlineStr">
        <is>
          <t>Quarterly Budget</t>
        </is>
      </c>
      <c r="B20" s="82" t="inlineStr">
        <is>
          <t>Toll-free phone %</t>
        </is>
      </c>
      <c r="C20" s="82" t="inlineStr">
        <is>
          <t>Page upgrades %</t>
        </is>
      </c>
    </row>
    <row r="21">
      <c r="A21" s="84" t="n">
        <v>0</v>
      </c>
      <c r="B21" s="110" t="n">
        <v>0</v>
      </c>
      <c r="C21" s="110" t="n">
        <v>0</v>
      </c>
    </row>
    <row r="22">
      <c r="A22" s="84" t="n">
        <v>3000</v>
      </c>
      <c r="B22" s="110" t="n">
        <v>0.31</v>
      </c>
      <c r="C22" s="110" t="n">
        <v>0.16</v>
      </c>
    </row>
    <row r="23">
      <c r="A23" s="84" t="n">
        <v>5000</v>
      </c>
      <c r="B23" s="110" t="n">
        <v>0.35</v>
      </c>
      <c r="C23" s="110" t="n">
        <v>0.185</v>
      </c>
    </row>
    <row r="24">
      <c r="A24" s="84" t="n">
        <v>10000</v>
      </c>
      <c r="B24" s="110" t="n">
        <v>0.415</v>
      </c>
      <c r="C24" s="110" t="n">
        <v>0.235</v>
      </c>
    </row>
    <row r="25">
      <c r="A25" s="84" t="n">
        <v>15000</v>
      </c>
      <c r="B25" s="110" t="n">
        <v>0.44</v>
      </c>
      <c r="C25" s="110" t="n">
        <v>0.26</v>
      </c>
    </row>
    <row r="26">
      <c r="A26" s="84" t="n">
        <v>20000</v>
      </c>
      <c r="B26" s="110" t="n">
        <v>0.45</v>
      </c>
      <c r="C26" s="110" t="n">
        <v>0.275</v>
      </c>
    </row>
    <row r="27">
      <c r="A27" s="84" t="n">
        <v>30000</v>
      </c>
      <c r="B27" s="110" t="n">
        <v>0.465</v>
      </c>
      <c r="C27" s="110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1"/>
  <sheetViews>
    <sheetView topLeftCell="A9" workbookViewId="0">
      <selection activeCell="F28" sqref="F28"/>
    </sheetView>
  </sheetViews>
  <sheetFormatPr baseColWidth="8" defaultRowHeight="14.5"/>
  <cols>
    <col width="28" customWidth="1" style="67" min="1" max="1"/>
    <col width="10" customWidth="1" style="67" min="2" max="2"/>
    <col width="12" customWidth="1" style="67" min="3" max="3"/>
    <col width="3" customWidth="1" style="67" min="4" max="4"/>
    <col width="28" customWidth="1" style="67" min="5" max="5"/>
    <col width="10" customWidth="1" style="67" min="6" max="6"/>
    <col width="12" customWidth="1" style="67" min="7" max="7"/>
    <col width="3" customWidth="1" style="67" min="8" max="8"/>
    <col width="28" customWidth="1" style="67" min="9" max="9"/>
    <col width="10" customWidth="1" style="67" min="10" max="10"/>
    <col width="12" customWidth="1" style="67" min="11" max="11"/>
  </cols>
  <sheetData>
    <row r="1" ht="18.5" customHeight="1" s="67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67" min="1" max="1"/>
    <col width="16" customWidth="1" style="67" min="2" max="5"/>
    <col width="12" customWidth="1" style="67" min="6" max="6"/>
    <col width="40" customWidth="1" style="67" min="7" max="7"/>
    <col width="12" customWidth="1" style="67" min="8" max="8"/>
  </cols>
  <sheetData>
    <row r="1" ht="18.5" customHeight="1" s="67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67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67" min="1" max="1"/>
    <col width="10" customWidth="1" style="67" min="2" max="2"/>
    <col width="16" customWidth="1" style="67" min="3" max="3"/>
    <col width="18" customWidth="1" style="67" min="4" max="4"/>
    <col width="22" customWidth="1" style="67" min="5" max="5"/>
    <col width="20" customWidth="1" style="67" min="6" max="6"/>
    <col width="14" customWidth="1" style="67" min="7" max="7"/>
    <col width="18" customWidth="1" style="67" min="8" max="8"/>
    <col width="28" customWidth="1" style="67" min="9" max="10"/>
  </cols>
  <sheetData>
    <row r="1" ht="18.5" customHeight="1" s="67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67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67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E14" sqref="E14"/>
    </sheetView>
  </sheetViews>
  <sheetFormatPr baseColWidth="8" defaultRowHeight="14.5"/>
  <cols>
    <col width="36" customWidth="1" style="67" min="1" max="1"/>
    <col width="28" customWidth="1" style="67" min="2" max="2"/>
    <col width="14" customWidth="1" style="67" min="3" max="3"/>
    <col width="12" customWidth="1" style="67" min="4" max="6"/>
    <col width="14" customWidth="1" style="67" min="5" max="5"/>
    <col width="12" customWidth="1" style="67" min="6" max="6"/>
    <col width="14" customWidth="1" style="67" min="7" max="7"/>
  </cols>
  <sheetData>
    <row r="1" ht="18.5" customHeight="1" s="67">
      <c r="A1" s="81" t="inlineStr">
        <is>
          <t>Compensation &amp; Productivity Planner (Q2)</t>
        </is>
      </c>
    </row>
    <row r="2">
      <c r="A2" s="35" t="inlineStr">
        <is>
          <t>Team goal: pay ABOVE average. Interactive planning: try packages → estimate productivity. Importance early: Salary → Health → Vacation → Pension.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67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67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78" t="inlineStr">
        <is>
          <t>Benefit cost menus — Sales (Workspace)</t>
        </is>
      </c>
    </row>
    <row r="23">
      <c r="A23" s="92" t="inlineStr">
        <is>
          <t>Health tier</t>
        </is>
      </c>
      <c r="B23" s="92" t="inlineStr">
        <is>
          <t>Cost</t>
        </is>
      </c>
      <c r="C23" s="92" t="inlineStr">
        <is>
          <t>Vacation weeks</t>
        </is>
      </c>
      <c r="D23" s="92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90" t="inlineStr">
        <is>
          <t>No health benefits</t>
        </is>
      </c>
      <c r="B24" s="93" t="n">
        <v>0</v>
      </c>
      <c r="C24" s="94" t="n">
        <v>0</v>
      </c>
      <c r="D24" s="93" t="n">
        <v>0</v>
      </c>
      <c r="E24" s="42" t="n"/>
      <c r="F24" s="42" t="n"/>
      <c r="G24" s="42" t="n"/>
    </row>
    <row r="25">
      <c r="A25" s="90" t="inlineStr">
        <is>
          <t>Minimum</t>
        </is>
      </c>
      <c r="B25" s="93" t="n">
        <v>1700</v>
      </c>
      <c r="C25" s="94" t="n">
        <v>1</v>
      </c>
      <c r="D25" s="93" t="n">
        <v>440</v>
      </c>
      <c r="E25" s="42" t="n"/>
      <c r="F25" s="42" t="n"/>
      <c r="G25" s="42" t="n"/>
    </row>
    <row r="26">
      <c r="A26" s="90" t="inlineStr">
        <is>
          <t>Expanded</t>
        </is>
      </c>
      <c r="B26" s="84" t="n">
        <v>2550</v>
      </c>
      <c r="C26" s="90" t="n">
        <v>2</v>
      </c>
      <c r="D26" s="84" t="n">
        <v>944</v>
      </c>
    </row>
    <row r="27">
      <c r="A27" s="90" t="inlineStr">
        <is>
          <t>Full coverage</t>
        </is>
      </c>
      <c r="B27" s="84" t="n">
        <v>3740</v>
      </c>
      <c r="C27" s="90" t="n">
        <v>3</v>
      </c>
      <c r="D27" s="84" t="n">
        <v>1475</v>
      </c>
    </row>
    <row r="28">
      <c r="A28" s="90" t="inlineStr">
        <is>
          <t>Comprehensive</t>
        </is>
      </c>
      <c r="B28" s="84" t="n">
        <v>5610</v>
      </c>
      <c r="C28" s="90" t="n">
        <v>4</v>
      </c>
      <c r="D28" s="84" t="n">
        <v>2024</v>
      </c>
    </row>
    <row r="29">
      <c r="C29" s="90" t="n">
        <v>5</v>
      </c>
      <c r="D29" s="84" t="n">
        <v>2587</v>
      </c>
    </row>
    <row r="30">
      <c r="C30" s="90" t="n">
        <v>6</v>
      </c>
      <c r="D30" s="84" t="n">
        <v>3161</v>
      </c>
    </row>
    <row r="31">
      <c r="C31" s="90" t="n">
        <v>7</v>
      </c>
      <c r="D31" s="84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78" t="inlineStr">
        <is>
          <t>OUR SALES PACKAGE (interactive — yellow)</t>
        </is>
      </c>
    </row>
    <row r="37">
      <c r="A37" s="82" t="inlineStr">
        <is>
          <t>Metric</t>
        </is>
      </c>
      <c r="B37" s="82" t="inlineStr">
        <is>
          <t>Our choice</t>
        </is>
      </c>
      <c r="C37" s="82" t="inlineStr">
        <is>
          <t>Cost $</t>
        </is>
      </c>
      <c r="D37" s="82" t="inlineStr">
        <is>
          <t>Industry</t>
        </is>
      </c>
      <c r="E37" s="82" t="inlineStr">
        <is>
          <t>vs Industry $</t>
        </is>
      </c>
      <c r="F37" s="82" t="inlineStr">
        <is>
          <t>Importance</t>
        </is>
      </c>
    </row>
    <row r="38">
      <c r="A38" t="inlineStr">
        <is>
          <t>Annual salary</t>
        </is>
      </c>
      <c r="B38" s="89" t="n"/>
      <c r="C38" s="85">
        <f>IF(B38="","",B38)</f>
        <v/>
      </c>
      <c r="D38" s="85" t="n">
        <v>17000</v>
      </c>
      <c r="E38" s="85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79" t="n"/>
      <c r="C39" s="89" t="n"/>
      <c r="D39" s="85" t="n">
        <v>1700</v>
      </c>
      <c r="E39" s="85">
        <f>IF(C39="","",C39-D39)</f>
        <v/>
      </c>
      <c r="F39" t="n">
        <v>84</v>
      </c>
    </row>
    <row r="40">
      <c r="A40" t="inlineStr">
        <is>
          <t>Vacation weeks</t>
        </is>
      </c>
      <c r="B40" s="79" t="n"/>
      <c r="C40" s="89" t="n"/>
      <c r="D40" s="85" t="n">
        <v>440</v>
      </c>
      <c r="E40" s="85">
        <f>IF(C40="","",C40-D40)</f>
        <v/>
      </c>
      <c r="F40" t="n">
        <v>72</v>
      </c>
    </row>
    <row r="41">
      <c r="A41" t="inlineStr">
        <is>
          <t>Pension %</t>
        </is>
      </c>
      <c r="B41" s="95" t="n"/>
      <c r="C41" s="85">
        <f>IF(OR(B38="",B41=""),"",B38*B41/100)</f>
        <v/>
      </c>
      <c r="D41" s="85" t="n">
        <v>170</v>
      </c>
      <c r="E41" s="85">
        <f>IF(C41="","",C41-D41)</f>
        <v/>
      </c>
      <c r="F41" t="n">
        <v>70</v>
      </c>
    </row>
    <row r="42">
      <c r="A42" s="96" t="inlineStr">
        <is>
          <t>TOTAL yearly cost / person</t>
        </is>
      </c>
      <c r="C42" s="97">
        <f>IF(COUNT(C38:C41)&lt;1,"",SUM(C38:C41))</f>
        <v/>
      </c>
      <c r="D42" s="85" t="n">
        <v>19310</v>
      </c>
      <c r="E42" s="98">
        <f>IF(C42="","",C42-D42)</f>
        <v/>
      </c>
    </row>
    <row r="43">
      <c r="A43" t="inlineStr">
        <is>
          <t>Estimated sales productivity %</t>
        </is>
      </c>
      <c r="B43" s="80" t="n">
        <v>0.7</v>
      </c>
      <c r="C43" t="inlineStr">
        <is>
          <t>Norm ~70%; raise if package clearly above industry / peers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78" t="inlineStr">
        <is>
          <t>OUR PRODUCTION PACKAGE (interactive — yellow)</t>
        </is>
      </c>
    </row>
    <row r="47">
      <c r="A47" s="82" t="inlineStr">
        <is>
          <t>Metric</t>
        </is>
      </c>
      <c r="B47" s="82" t="inlineStr">
        <is>
          <t>Our choice</t>
        </is>
      </c>
      <c r="C47" s="82" t="inlineStr">
        <is>
          <t>Cost $</t>
        </is>
      </c>
      <c r="D47" s="82" t="inlineStr">
        <is>
          <t>Industry</t>
        </is>
      </c>
      <c r="E47" s="82" t="inlineStr">
        <is>
          <t>vs Industry $</t>
        </is>
      </c>
      <c r="F47" s="82" t="inlineStr">
        <is>
          <t>Importance</t>
        </is>
      </c>
    </row>
    <row r="48">
      <c r="A48" t="inlineStr">
        <is>
          <t>Annual salary</t>
        </is>
      </c>
      <c r="B48" s="89" t="n"/>
      <c r="C48" s="85">
        <f>IF(B48="","",B48)</f>
        <v/>
      </c>
      <c r="D48" s="85" t="n">
        <v>14000</v>
      </c>
      <c r="E48" s="85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79" t="n"/>
      <c r="C49" s="89" t="n"/>
      <c r="D49" s="85" t="n">
        <v>1400</v>
      </c>
      <c r="E49" s="85">
        <f>IF(C49="","",C49-D49)</f>
        <v/>
      </c>
      <c r="F49" t="n">
        <v>84</v>
      </c>
    </row>
    <row r="50">
      <c r="A50" t="inlineStr">
        <is>
          <t>Vacation weeks / cost</t>
        </is>
      </c>
      <c r="B50" s="79" t="n"/>
      <c r="C50" s="89" t="n"/>
      <c r="D50" s="85" t="n">
        <v>363</v>
      </c>
      <c r="E50" s="85">
        <f>IF(C50="","",C50-D50)</f>
        <v/>
      </c>
      <c r="F50" t="n">
        <v>72</v>
      </c>
    </row>
    <row r="51">
      <c r="A51" t="inlineStr">
        <is>
          <t>Pension %</t>
        </is>
      </c>
      <c r="B51" s="95" t="n"/>
      <c r="C51" s="85">
        <f>IF(OR(B48="",B51=""),"",B48*B51/100)</f>
        <v/>
      </c>
      <c r="D51" s="85" t="n">
        <v>280</v>
      </c>
      <c r="E51" s="85">
        <f>IF(C51="","",C51-D51)</f>
        <v/>
      </c>
      <c r="F51" t="n">
        <v>70</v>
      </c>
    </row>
    <row r="52">
      <c r="A52" s="96" t="inlineStr">
        <is>
          <t>TOTAL yearly cost / person</t>
        </is>
      </c>
      <c r="C52" s="97">
        <f>IF(COUNT(C48:C51)&lt;1,"",SUM(C48:C51))</f>
        <v/>
      </c>
      <c r="D52" s="85" t="n">
        <v>16043</v>
      </c>
      <c r="E52" s="98">
        <f>IF(C52="","",C52-D52)</f>
        <v/>
      </c>
    </row>
    <row r="53">
      <c r="A53" t="inlineStr">
        <is>
          <t>Estimated production productivity %</t>
        </is>
      </c>
      <c r="B53" s="80" t="n">
        <v>0.7</v>
      </c>
      <c r="C53" t="inlineStr">
        <is>
          <t>Feeds Manufacturing!B32 — keep in sync when locked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78" t="inlineStr">
        <is>
          <t>Scenario scratch (optional what-ifs)</t>
        </is>
      </c>
    </row>
    <row r="58">
      <c r="A58" s="82" t="inlineStr">
        <is>
          <t>Scenario name</t>
        </is>
      </c>
      <c r="B58" s="82" t="inlineStr">
        <is>
          <t>Role</t>
        </is>
      </c>
      <c r="C58" s="82" t="inlineStr">
        <is>
          <t>Total $/person</t>
        </is>
      </c>
      <c r="D58" s="82" t="inlineStr">
        <is>
          <t>Est. productivity %</t>
        </is>
      </c>
      <c r="E58" s="82" t="inlineStr">
        <is>
          <t>$ per productivity point</t>
        </is>
      </c>
      <c r="F58" s="82" t="inlineStr">
        <is>
          <t>Notes</t>
        </is>
      </c>
    </row>
    <row r="59">
      <c r="A59" s="86" t="n"/>
      <c r="B59" s="86" t="n"/>
      <c r="C59" s="86" t="n"/>
      <c r="D59" s="86" t="n"/>
      <c r="E59" s="86">
        <f>IF(OR(C59="",D59="",D59=0),"",C59/(D59*100))</f>
        <v/>
      </c>
      <c r="F59" s="86" t="n"/>
    </row>
    <row r="60">
      <c r="A60" s="86" t="n"/>
      <c r="B60" s="86" t="n"/>
      <c r="C60" s="86" t="n"/>
      <c r="D60" s="86" t="n"/>
      <c r="E60" s="86">
        <f>IF(OR(C60="",D60="",D60=0),"",C60/(D60*100))</f>
        <v/>
      </c>
      <c r="F60" s="86" t="n"/>
    </row>
    <row r="61">
      <c r="A61" s="86" t="n"/>
      <c r="B61" s="86" t="n"/>
      <c r="C61" s="86" t="n"/>
      <c r="D61" s="86" t="n"/>
      <c r="E61" s="86">
        <f>IF(OR(C61="",D61="",D61=0),"",C61/(D61*100))</f>
        <v/>
      </c>
      <c r="F61" s="86" t="n"/>
    </row>
    <row r="62">
      <c r="A62" s="86" t="n"/>
      <c r="B62" s="86" t="n"/>
      <c r="C62" s="86" t="n"/>
      <c r="D62" s="86" t="n"/>
      <c r="E62" s="86">
        <f>IF(OR(C62="",D62="",D62=0),"",C62/(D62*100))</f>
        <v/>
      </c>
      <c r="F62" s="86" t="n"/>
    </row>
    <row r="63">
      <c r="A63" s="86" t="n"/>
      <c r="B63" s="86" t="n"/>
      <c r="C63" s="86" t="n"/>
      <c r="D63" s="86" t="n"/>
      <c r="E63" s="86">
        <f>IF(OR(C63="",D63="",D63=0),"",C63/(D63*100))</f>
        <v/>
      </c>
      <c r="F63" s="86" t="n"/>
    </row>
    <row r="65">
      <c r="A65" t="inlineStr">
        <is>
          <t>Q3 note</t>
        </is>
      </c>
      <c r="B65" t="inlineStr">
        <is>
          <t>Paste last-quarter industry average packages here when available; re-benchmark.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2026-08-27T12:33:08Z</dcterms:modified>
  <cp:lastModifiedBy>Conger, Kyle E.</cp:lastModifiedBy>
</cp:coreProperties>
</file>