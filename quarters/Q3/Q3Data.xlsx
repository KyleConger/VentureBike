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4.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5.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13" activeTab="19" autoFilterDateGrouping="1"/>
  </bookViews>
  <sheets>
    <sheet xmlns:r="http://schemas.openxmlformats.org/officeDocument/2006/relationships" name="Instructions" sheetId="1" state="visible" r:id="rId1"/>
    <sheet xmlns:r="http://schemas.openxmlformats.org/officeDocument/2006/relationships" name="Q3_Advanced_BSC" sheetId="2" state="visible" r:id="rId2"/>
    <sheet xmlns:r="http://schemas.openxmlformats.org/officeDocument/2006/relationships" name="Needs" sheetId="3" state="visible" r:id="rId3"/>
    <sheet xmlns:r="http://schemas.openxmlformats.org/officeDocument/2006/relationships" name="Applications" sheetId="4" state="visible" r:id="rId4"/>
    <sheet xmlns:r="http://schemas.openxmlformats.org/officeDocument/2006/relationships" name="Price_WTP" sheetId="5" state="visible" r:id="rId5"/>
    <sheet xmlns:r="http://schemas.openxmlformats.org/officeDocument/2006/relationships" name="Market_Potential" sheetId="6" state="visible" r:id="rId6"/>
    <sheet xmlns:r="http://schemas.openxmlformats.org/officeDocument/2006/relationships" name="Sales_Channel" sheetId="7" state="visible" r:id="rId7"/>
    <sheet xmlns:r="http://schemas.openxmlformats.org/officeDocument/2006/relationships" name="Stores_Costs" sheetId="8" state="visible" r:id="rId8"/>
    <sheet xmlns:r="http://schemas.openxmlformats.org/officeDocument/2006/relationships" name="Manufacturing" sheetId="9" state="visible" r:id="rId9"/>
    <sheet xmlns:r="http://schemas.openxmlformats.org/officeDocument/2006/relationships" name="Production_Sim" sheetId="10" state="visible" r:id="rId10"/>
    <sheet xmlns:r="http://schemas.openxmlformats.org/officeDocument/2006/relationships" name="Cost_of_Production" sheetId="11" state="visible" r:id="rId11"/>
    <sheet xmlns:r="http://schemas.openxmlformats.org/officeDocument/2006/relationships" name="Demand_Forecast" sheetId="12" state="visible" r:id="rId12"/>
    <sheet xmlns:r="http://schemas.openxmlformats.org/officeDocument/2006/relationships" name="Pricing" sheetId="13" state="visible" r:id="rId13"/>
    <sheet xmlns:r="http://schemas.openxmlformats.org/officeDocument/2006/relationships" name="Media_Preference" sheetId="14" state="visible" r:id="rId14"/>
    <sheet xmlns:r="http://schemas.openxmlformats.org/officeDocument/2006/relationships" name="Web_SEO" sheetId="15" state="visible" r:id="rId15"/>
    <sheet xmlns:r="http://schemas.openxmlformats.org/officeDocument/2006/relationships" name="Sales_Ops" sheetId="16" state="visible" r:id="rId16"/>
    <sheet xmlns:r="http://schemas.openxmlformats.org/officeDocument/2006/relationships" name="Web_Productivity" sheetId="17" state="visible" r:id="rId17"/>
    <sheet xmlns:r="http://schemas.openxmlformats.org/officeDocument/2006/relationships" name="Needs_Ranked" sheetId="18" state="visible" r:id="rId18"/>
    <sheet xmlns:r="http://schemas.openxmlformats.org/officeDocument/2006/relationships" name="Growth_Room" sheetId="19" state="visible" r:id="rId19"/>
    <sheet xmlns:r="http://schemas.openxmlformats.org/officeDocument/2006/relationships" name="Competitor_CI" sheetId="20" state="visible" r:id="rId20"/>
    <sheet xmlns:r="http://schemas.openxmlformats.org/officeDocument/2006/relationships" name="Comp_Industry" sheetId="21" state="visible" r:id="rId21"/>
    <sheet xmlns:r="http://schemas.openxmlformats.org/officeDocument/2006/relationships" name="Q3_BSC" sheetId="22" state="visible" r:id="rId22"/>
    <sheet xmlns:r="http://schemas.openxmlformats.org/officeDocument/2006/relationships" name="Q3_Market" sheetId="23" state="visible" r:id="rId23"/>
    <sheet xmlns:r="http://schemas.openxmlformats.org/officeDocument/2006/relationships" name="Q3_Financials" sheetId="24" state="visible" r:id="rId24"/>
    <sheet xmlns:r="http://schemas.openxmlformats.org/officeDocument/2006/relationships" name="Q3_Unit_Economics" sheetId="25" state="visible" r:id="rId25"/>
    <sheet xmlns:r="http://schemas.openxmlformats.org/officeDocument/2006/relationships" name="Q4_Planner" sheetId="26" state="visible" r:id="rId26"/>
    <sheet xmlns:r="http://schemas.openxmlformats.org/officeDocument/2006/relationships" name="Q3_Industry_Graphs" sheetId="27" state="visible" r:id="rId27"/>
    <sheet xmlns:r="http://schemas.openxmlformats.org/officeDocument/2006/relationships" name="Q3_Brand_Judgment" sheetId="28" state="visible" r:id="rId28"/>
    <sheet xmlns:r="http://schemas.openxmlformats.org/officeDocument/2006/relationships" name="Q3_Components" sheetId="29" state="visible" r:id="rId29"/>
    <sheet xmlns:r="http://schemas.openxmlformats.org/officeDocument/2006/relationships" name="Q3_Design_Model" sheetId="30" state="visible" r:id="rId30"/>
    <sheet xmlns:r="http://schemas.openxmlformats.org/officeDocument/2006/relationships" name="Q3_City_Demand" sheetId="31" state="visible" r:id="rId31"/>
    <sheet xmlns:r="http://schemas.openxmlformats.org/officeDocument/2006/relationships" name="Q3_City_Strategy" sheetId="32" state="visible" r:id="rId32"/>
    <sheet xmlns:r="http://schemas.openxmlformats.org/officeDocument/2006/relationships" name="Q3_Channel" sheetId="33" state="visible" r:id="rId33"/>
    <sheet xmlns:r="http://schemas.openxmlformats.org/officeDocument/2006/relationships" name="Q3_Presence" sheetId="34" state="visible" r:id="rId34"/>
    <sheet xmlns:r="http://schemas.openxmlformats.org/officeDocument/2006/relationships" name="Q3_Staffing" sheetId="35" state="visible" r:id="rId35"/>
    <sheet xmlns:r="http://schemas.openxmlformats.org/officeDocument/2006/relationships" name="Q3_Web_Ops" sheetId="36" state="visible" r:id="rId36"/>
    <sheet xmlns:r="http://schemas.openxmlformats.org/officeDocument/2006/relationships" name="Q3_Price_Judgment" sheetId="37" state="visible" r:id="rId37"/>
    <sheet xmlns:r="http://schemas.openxmlformats.org/officeDocument/2006/relationships" name="Q3_Prices" sheetId="38" state="visible" r:id="rId38"/>
    <sheet xmlns:r="http://schemas.openxmlformats.org/officeDocument/2006/relationships" name="Q3_City_Profiles" sheetId="39" state="visible" r:id="rId39"/>
    <sheet xmlns:r="http://schemas.openxmlformats.org/officeDocument/2006/relationships" name="Q3_Organic_SEM" sheetId="40" state="visible" r:id="rId40"/>
    <sheet xmlns:r="http://schemas.openxmlformats.org/officeDocument/2006/relationships" name="Q3_Competitor_Profiles" sheetId="41" state="visible" r:id="rId41"/>
    <sheet xmlns:r="http://schemas.openxmlformats.org/officeDocument/2006/relationships" name="Q3_Media" sheetId="42" state="visible" r:id="rId42"/>
    <sheet xmlns:r="http://schemas.openxmlformats.org/officeDocument/2006/relationships" name="Q3_Compensation" sheetId="43" state="visible" r:id="rId43"/>
    <sheet xmlns:r="http://schemas.openxmlformats.org/officeDocument/2006/relationships" name="Q3_Ad_Judgment" sheetId="44" state="visible" r:id="rId44"/>
    <sheet xmlns:r="http://schemas.openxmlformats.org/officeDocument/2006/relationships" name="Q3_Competitor_Ads" sheetId="45" state="visible" r:id="rId45"/>
    <sheet xmlns:r="http://schemas.openxmlformats.org/officeDocument/2006/relationships" name="Q4_Copy_The_Leader" sheetId="46" state="visible" r:id="rId46"/>
    <sheet xmlns:r="http://schemas.openxmlformats.org/officeDocument/2006/relationships" name="Q4_Brand_Count" sheetId="47" state="visible" r:id="rId47"/>
    <sheet xmlns:r="http://schemas.openxmlformats.org/officeDocument/2006/relationships" name="Q4_RD" sheetId="48" state="visible" r:id="rId48"/>
  </sheets>
  <definedNames/>
  <calcPr calcId="191029" fullCalcOnLoad="1"/>
</workbook>
</file>

<file path=xl/styles.xml><?xml version="1.0" encoding="utf-8"?>
<styleSheet xmlns="http://schemas.openxmlformats.org/spreadsheetml/2006/main">
  <numFmts count="11">
    <numFmt numFmtId="164" formatCode="0.0%"/>
    <numFmt numFmtId="165" formatCode="0.0"/>
    <numFmt numFmtId="166" formatCode="0.0000"/>
    <numFmt numFmtId="167" formatCode="0.000"/>
    <numFmt numFmtId="168" formatCode="$#,##0"/>
    <numFmt numFmtId="169" formatCode="&quot;+$&quot;#,##0;&quot;-$&quot;#,##0"/>
    <numFmt numFmtId="170" formatCode="&quot;$&quot;#,##0"/>
    <numFmt numFmtId="171" formatCode="+#,##0;-#,##0"/>
    <numFmt numFmtId="172" formatCode="#,##0;+#,##0;-#,##0"/>
    <numFmt numFmtId="173" formatCode="+0.0%;-0.0%"/>
    <numFmt numFmtId="174" formatCode="+$#,##0"/>
  </numFmts>
  <fonts count="33">
    <font>
      <name val="Calibri"/>
      <family val="2"/>
      <color theme="1"/>
      <sz val="11"/>
      <scheme val="minor"/>
    </font>
    <font>
      <name val="Calibri"/>
      <family val="2"/>
      <i val="1"/>
      <color rgb="FF666666"/>
      <sz val="9"/>
    </font>
    <font>
      <name val="Calibri"/>
      <family val="2"/>
      <b val="1"/>
      <color rgb="FFFFFFFF"/>
      <sz val="11"/>
    </font>
    <font>
      <name val="Calibri"/>
      <family val="2"/>
      <b val="1"/>
      <color rgb="FF1F4E79"/>
      <sz val="14"/>
    </font>
    <font>
      <name val="Calibri"/>
      <family val="2"/>
      <b val="1"/>
      <sz val="11"/>
    </font>
    <font>
      <name val="Calibri"/>
      <family val="2"/>
      <b val="1"/>
      <color rgb="FF1F4E79"/>
      <sz val="11"/>
    </font>
    <font>
      <name val="Arial"/>
      <family val="2"/>
      <color rgb="FF000000"/>
      <sz val="7"/>
    </font>
    <font>
      <name val="Calibri"/>
      <family val="2"/>
      <color theme="1"/>
      <sz val="11"/>
      <scheme val="minor"/>
    </font>
    <font>
      <name val="Calibri"/>
      <family val="2"/>
      <b val="1"/>
      <color rgb="FF1F4E79"/>
      <sz val="16"/>
    </font>
    <font>
      <name val="Calibri"/>
      <family val="2"/>
      <b val="1"/>
      <color rgb="FFFFFFFF"/>
      <sz val="11"/>
    </font>
    <font>
      <name val="Calibri"/>
      <family val="2"/>
      <i val="1"/>
      <color rgb="FF666666"/>
      <sz val="9"/>
    </font>
    <font>
      <name val="Calibri"/>
      <family val="2"/>
      <b val="1"/>
      <color rgb="FF006100"/>
      <sz val="11"/>
    </font>
    <font>
      <name val="Calibri"/>
      <family val="2"/>
      <b val="1"/>
      <color rgb="FF1F4E79"/>
      <sz val="14"/>
    </font>
    <font>
      <name val="Calibri"/>
      <family val="2"/>
      <b val="1"/>
      <color rgb="FF1F4E79"/>
      <sz val="11"/>
    </font>
    <font>
      <name val="Calibri"/>
      <family val="2"/>
      <b val="1"/>
      <sz val="11"/>
    </font>
    <font>
      <name val="Calibri"/>
      <family val="2"/>
      <sz val="11"/>
      <scheme val="minor"/>
    </font>
    <font>
      <name val="Calibri"/>
      <family val="2"/>
      <sz val="11"/>
    </font>
    <font>
      <name val="Calibri"/>
      <family val="2"/>
      <b val="1"/>
      <color rgb="FF1F4E79"/>
      <sz val="14"/>
    </font>
    <font>
      <name val="Calibri"/>
      <family val="2"/>
      <i val="1"/>
      <color rgb="FF666666"/>
      <sz val="9"/>
    </font>
    <font>
      <name val="Calibri"/>
      <family val="2"/>
      <b val="1"/>
      <sz val="11"/>
    </font>
    <font>
      <name val="Calibri"/>
      <family val="2"/>
      <b val="1"/>
      <color rgb="FFFFFFFF"/>
      <sz val="11"/>
    </font>
    <font>
      <name val="Calibri"/>
      <family val="2"/>
      <b val="1"/>
      <color rgb="FFC00000"/>
      <sz val="11"/>
    </font>
    <font>
      <name val="Calibri"/>
      <family val="2"/>
      <b val="1"/>
      <sz val="11"/>
    </font>
    <font>
      <name val="Calibri"/>
      <family val="2"/>
      <b val="1"/>
      <sz val="14"/>
    </font>
    <font>
      <name val="Calibri"/>
      <family val="2"/>
      <b val="1"/>
      <sz val="11"/>
    </font>
    <font>
      <name val="Calibri"/>
      <family val="2"/>
      <b val="1"/>
      <sz val="14"/>
    </font>
    <font>
      <name val="Calibri"/>
      <family val="2"/>
      <b val="1"/>
      <sz val="11"/>
    </font>
    <font>
      <name val="Calibri"/>
      <family val="2"/>
      <b val="1"/>
      <sz val="11"/>
    </font>
    <font>
      <b val="1"/>
    </font>
    <font>
      <b val="1"/>
      <sz val="13"/>
    </font>
    <font>
      <b val="1"/>
      <sz val="12"/>
    </font>
    <font>
      <b val="1"/>
      <color rgb="009C0006"/>
    </font>
    <font>
      <b val="1"/>
      <sz val="14"/>
    </font>
  </fonts>
  <fills count="34">
    <fill>
      <patternFill/>
    </fill>
    <fill>
      <patternFill patternType="gray125"/>
    </fill>
    <fill>
      <patternFill patternType="solid">
        <fgColor rgb="FF1F4E79"/>
      </patternFill>
    </fill>
    <fill>
      <patternFill patternType="solid">
        <fgColor rgb="FFFFF2CC"/>
      </patternFill>
    </fill>
    <fill>
      <patternFill patternType="solid">
        <fgColor rgb="FFD6DCE4"/>
      </patternFill>
    </fill>
    <fill>
      <patternFill patternType="solid">
        <fgColor rgb="FFFFFFFF"/>
        <bgColor indexed="64"/>
      </patternFill>
    </fill>
    <fill>
      <patternFill patternType="solid">
        <fgColor rgb="FFD7E9F8"/>
        <bgColor indexed="64"/>
      </patternFill>
    </fill>
    <fill>
      <patternFill patternType="solid">
        <fgColor rgb="FFF1F8FD"/>
        <bgColor indexed="64"/>
      </patternFill>
    </fill>
    <fill>
      <patternFill patternType="solid">
        <fgColor theme="6" tint="0.5999938962981048"/>
        <bgColor indexed="64"/>
      </patternFill>
    </fill>
    <fill>
      <patternFill patternType="solid">
        <fgColor theme="4" tint="0.7999816888943144"/>
        <bgColor indexed="65"/>
      </patternFill>
    </fill>
    <fill>
      <patternFill patternType="solid">
        <fgColor rgb="FFFFFF00"/>
        <bgColor indexed="64"/>
      </patternFill>
    </fill>
    <fill>
      <patternFill patternType="solid">
        <fgColor rgb="FF1F4E79"/>
      </patternFill>
    </fill>
    <fill>
      <patternFill patternType="solid">
        <fgColor rgb="FFC6EFCE"/>
      </patternFill>
    </fill>
    <fill>
      <patternFill patternType="solid">
        <fgColor rgb="FFFFF2CC"/>
      </patternFill>
    </fill>
    <fill>
      <patternFill patternType="solid">
        <fgColor rgb="FFD6DCE4"/>
      </patternFill>
    </fill>
    <fill>
      <patternFill patternType="solid">
        <fgColor rgb="FF1F4E79"/>
      </patternFill>
    </fill>
    <fill>
      <patternFill patternType="solid">
        <fgColor rgb="FFC6EFCE"/>
      </patternFill>
    </fill>
    <fill>
      <patternFill patternType="solid">
        <fgColor rgb="FFFFC7CE"/>
      </patternFill>
    </fill>
    <fill>
      <patternFill patternType="solid">
        <fgColor rgb="FFFFF2CC"/>
      </patternFill>
    </fill>
    <fill>
      <patternFill patternType="solid">
        <fgColor rgb="FFFFF2CC"/>
      </patternFill>
    </fill>
    <fill>
      <patternFill patternType="solid">
        <fgColor rgb="FFD9E2F3"/>
      </patternFill>
    </fill>
    <fill>
      <patternFill patternType="solid">
        <fgColor rgb="FFE2EFDA"/>
      </patternFill>
    </fill>
    <fill>
      <patternFill patternType="solid">
        <fgColor rgb="FFC6EFCE"/>
      </patternFill>
    </fill>
    <fill>
      <patternFill patternType="solid">
        <fgColor rgb="FFDDEBF7"/>
      </patternFill>
    </fill>
    <fill>
      <patternFill patternType="solid">
        <fgColor rgb="FFD9E2F3"/>
      </patternFill>
    </fill>
    <fill>
      <patternFill patternType="solid">
        <fgColor rgb="FFDDEBF7"/>
      </patternFill>
    </fill>
    <fill>
      <patternFill patternType="solid">
        <fgColor rgb="FFC6EFCE"/>
      </patternFill>
    </fill>
    <fill>
      <patternFill patternType="solid">
        <fgColor rgb="FFFCE4D6"/>
      </patternFill>
    </fill>
    <fill>
      <patternFill patternType="solid">
        <fgColor rgb="FFFFF2CC"/>
      </patternFill>
    </fill>
    <fill>
      <patternFill patternType="solid">
        <fgColor rgb="00C6EFCE"/>
      </patternFill>
    </fill>
    <fill>
      <patternFill patternType="solid">
        <fgColor rgb="00DDEBF7"/>
      </patternFill>
    </fill>
    <fill>
      <patternFill patternType="solid">
        <fgColor rgb="00FFC7CE"/>
      </patternFill>
    </fill>
    <fill>
      <patternFill patternType="solid">
        <fgColor rgb="00FFEB9C"/>
      </patternFill>
    </fill>
    <fill>
      <patternFill patternType="solid">
        <fgColor rgb="00FFF2CC"/>
      </patternFill>
    </fill>
  </fills>
  <borders count="19">
    <border>
      <left/>
      <right/>
      <top/>
      <bottom/>
      <diagonal/>
    </border>
    <border>
      <left style="thin">
        <color rgb="FFB0B0B0"/>
      </left>
      <right style="thin">
        <color rgb="FFB0B0B0"/>
      </right>
      <top style="thin">
        <color rgb="FFB0B0B0"/>
      </top>
      <bottom style="thin">
        <color rgb="FFB0B0B0"/>
      </bottom>
      <diagonal/>
    </border>
    <border>
      <left/>
      <right style="medium">
        <color rgb="FFD1D1D1"/>
      </right>
      <top style="medium">
        <color rgb="FFE7E7E7"/>
      </top>
      <bottom style="medium">
        <color rgb="FFE7E7E7"/>
      </bottom>
      <diagonal/>
    </border>
    <border>
      <left/>
      <right/>
      <top style="medium">
        <color rgb="FFE7E7E7"/>
      </top>
      <bottom style="medium">
        <color rgb="FFE7E7E7"/>
      </bottom>
      <diagonal/>
    </border>
    <border>
      <left/>
      <right/>
      <top style="thin">
        <color rgb="FFB0B0B0"/>
      </top>
      <bottom/>
      <diagonal/>
    </border>
    <border>
      <left style="thin">
        <color rgb="FFB0B0B0"/>
      </left>
      <right/>
      <top/>
      <bottom/>
      <diagonal/>
    </border>
    <border>
      <left/>
      <right style="thin">
        <color rgb="FFB0B0B0"/>
      </right>
      <top style="thin">
        <color rgb="FFB0B0B0"/>
      </top>
      <bottom/>
      <diagonal/>
    </border>
    <border>
      <left/>
      <right style="thin">
        <color rgb="FFB0B0B0"/>
      </right>
      <top/>
      <bottom/>
      <diagonal/>
    </border>
    <border>
      <left style="thin">
        <color rgb="FFB0B0B0"/>
      </left>
      <right/>
      <top/>
      <bottom style="thin">
        <color rgb="FFB0B0B0"/>
      </bottom>
      <diagonal/>
    </border>
    <border>
      <left/>
      <right/>
      <top/>
      <bottom style="thin">
        <color rgb="FFB0B0B0"/>
      </bottom>
      <diagonal/>
    </border>
    <border>
      <left/>
      <right style="thin">
        <color rgb="FFB0B0B0"/>
      </right>
      <top/>
      <bottom style="thin">
        <color rgb="FFB0B0B0"/>
      </bottom>
      <diagonal/>
    </border>
    <border>
      <left/>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style="thin">
        <color rgb="FFB0B0B0"/>
      </top>
      <bottom style="thin">
        <color rgb="FFB0B0B0"/>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rgb="00D0D0D0"/>
      </left>
      <right style="thin">
        <color rgb="00D0D0D0"/>
      </right>
      <top style="thin">
        <color rgb="00D0D0D0"/>
      </top>
      <bottom style="thin">
        <color rgb="00D0D0D0"/>
      </bottom>
    </border>
  </borders>
  <cellStyleXfs count="2">
    <xf numFmtId="0" fontId="7" fillId="0" borderId="16"/>
    <xf numFmtId="0" fontId="7" fillId="9" borderId="16"/>
  </cellStyleXfs>
  <cellXfs count="267">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0" pivotButton="0" quotePrefix="0" xfId="0"/>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4" fillId="4" borderId="1" pivotButton="0" quotePrefix="0" xfId="0"/>
    <xf numFmtId="0" fontId="0" fillId="4" borderId="1" pivotButton="0" quotePrefix="0" xfId="0"/>
    <xf numFmtId="164" fontId="0" fillId="0" borderId="0" pivotButton="0" quotePrefix="0" xfId="0"/>
    <xf numFmtId="0" fontId="0" fillId="3" borderId="1" pivotButton="0" quotePrefix="0" xfId="0"/>
    <xf numFmtId="0" fontId="5" fillId="0" borderId="0" pivotButton="0" quotePrefix="0" xfId="0"/>
    <xf numFmtId="0" fontId="0" fillId="0" borderId="1" pivotButton="0" quotePrefix="0" xfId="0"/>
    <xf numFmtId="0" fontId="4" fillId="0" borderId="0" pivotButton="0" quotePrefix="0" xfId="0"/>
    <xf numFmtId="0" fontId="6" fillId="6" borderId="2" applyAlignment="1" pivotButton="0" quotePrefix="0" xfId="0">
      <alignment horizontal="left" vertical="center" wrapText="1"/>
    </xf>
    <xf numFmtId="0" fontId="6" fillId="6" borderId="3" applyAlignment="1" pivotButton="0" quotePrefix="0" xfId="0">
      <alignment horizontal="right" vertical="center" wrapText="1"/>
    </xf>
    <xf numFmtId="0" fontId="6" fillId="5" borderId="2" applyAlignment="1" pivotButton="0" quotePrefix="0" xfId="0">
      <alignment horizontal="left" vertical="center" wrapText="1"/>
    </xf>
    <xf numFmtId="0" fontId="6" fillId="5" borderId="3" applyAlignment="1" pivotButton="0" quotePrefix="0" xfId="0">
      <alignment horizontal="right" vertical="center" wrapText="1"/>
    </xf>
    <xf numFmtId="0" fontId="6" fillId="7" borderId="2" applyAlignment="1" pivotButton="0" quotePrefix="0" xfId="0">
      <alignment horizontal="left" vertical="center" wrapText="1"/>
    </xf>
    <xf numFmtId="0" fontId="6" fillId="7" borderId="3" applyAlignment="1" pivotButton="0" quotePrefix="0" xfId="0">
      <alignment horizontal="right" vertical="center" wrapText="1"/>
    </xf>
    <xf numFmtId="0" fontId="6" fillId="8" borderId="2" applyAlignment="1" pivotButton="0" quotePrefix="0" xfId="0">
      <alignment horizontal="left" vertical="center" wrapText="1"/>
    </xf>
    <xf numFmtId="0" fontId="6" fillId="8" borderId="3" applyAlignment="1" pivotButton="0" quotePrefix="0" xfId="0">
      <alignment horizontal="right" vertical="center" wrapText="1"/>
    </xf>
    <xf numFmtId="3" fontId="6" fillId="7" borderId="3" applyAlignment="1" pivotButton="0" quotePrefix="0" xfId="0">
      <alignment horizontal="right" vertical="center" wrapText="1"/>
    </xf>
    <xf numFmtId="3" fontId="6" fillId="5" borderId="3" applyAlignment="1" pivotButton="0" quotePrefix="0" xfId="0">
      <alignment horizontal="right" vertical="center" wrapText="1"/>
    </xf>
    <xf numFmtId="3" fontId="6" fillId="6" borderId="3" applyAlignment="1" pivotButton="0" quotePrefix="0" xfId="0">
      <alignment horizontal="right" vertical="center" wrapText="1"/>
    </xf>
    <xf numFmtId="0" fontId="7" fillId="9" borderId="1" pivotButton="0" quotePrefix="0" xfId="1"/>
    <xf numFmtId="0" fontId="0" fillId="10" borderId="0" pivotButton="0" quotePrefix="0" xfId="0"/>
    <xf numFmtId="0" fontId="8" fillId="0" borderId="0" pivotButton="0" quotePrefix="0" xfId="0"/>
    <xf numFmtId="0" fontId="9" fillId="11" borderId="12" applyAlignment="1" pivotButton="0" quotePrefix="0" xfId="0">
      <alignment horizontal="center" vertical="center" wrapText="1"/>
    </xf>
    <xf numFmtId="0" fontId="0" fillId="0" borderId="12" applyAlignment="1" pivotButton="0" quotePrefix="0" xfId="0">
      <alignment horizontal="left" vertical="center" wrapText="1"/>
    </xf>
    <xf numFmtId="0" fontId="0" fillId="0" borderId="12" pivotButton="0" quotePrefix="0" xfId="0"/>
    <xf numFmtId="0" fontId="0" fillId="0" borderId="11" pivotButton="0" quotePrefix="0" xfId="0"/>
    <xf numFmtId="0" fontId="10" fillId="0" borderId="11" pivotButton="0" quotePrefix="0" xfId="0"/>
    <xf numFmtId="0" fontId="11" fillId="0" borderId="11" pivotButton="0" quotePrefix="0" xfId="0"/>
    <xf numFmtId="0" fontId="10" fillId="0" borderId="0" pivotButton="0" quotePrefix="0" xfId="0"/>
    <xf numFmtId="0" fontId="12" fillId="0" borderId="0" pivotButton="0" quotePrefix="0" xfId="0"/>
    <xf numFmtId="0" fontId="13" fillId="0" borderId="0" pivotButton="0" quotePrefix="0" xfId="0"/>
    <xf numFmtId="0" fontId="0" fillId="0" borderId="12" applyAlignment="1" pivotButton="0" quotePrefix="0" xfId="0">
      <alignment horizontal="center" vertical="center" wrapText="1"/>
    </xf>
    <xf numFmtId="0" fontId="0" fillId="12" borderId="12" applyAlignment="1" pivotButton="0" quotePrefix="0" xfId="0">
      <alignment horizontal="left" vertical="center" wrapText="1"/>
    </xf>
    <xf numFmtId="0" fontId="0" fillId="12" borderId="12" applyAlignment="1" pivotButton="0" quotePrefix="0" xfId="0">
      <alignment horizontal="center" vertical="center" wrapText="1"/>
    </xf>
    <xf numFmtId="0" fontId="0" fillId="13" borderId="12" applyAlignment="1" pivotButton="0" quotePrefix="0" xfId="0">
      <alignment horizontal="left" vertical="center" wrapText="1"/>
    </xf>
    <xf numFmtId="0" fontId="0" fillId="13" borderId="12" pivotButton="0" quotePrefix="0" xfId="0"/>
    <xf numFmtId="0" fontId="14" fillId="0" borderId="0" pivotButton="0" quotePrefix="0" xfId="0"/>
    <xf numFmtId="0" fontId="0" fillId="14" borderId="12" pivotButton="0" quotePrefix="0" xfId="0"/>
    <xf numFmtId="0" fontId="15" fillId="0" borderId="11" pivotButton="0" quotePrefix="0" xfId="0"/>
    <xf numFmtId="0" fontId="16" fillId="0" borderId="12" pivotButton="0" quotePrefix="0" xfId="0"/>
    <xf numFmtId="0" fontId="1" fillId="0" borderId="13" pivotButton="0" quotePrefix="0" xfId="0"/>
    <xf numFmtId="0" fontId="0" fillId="0" borderId="13" pivotButton="0" quotePrefix="0" xfId="0"/>
    <xf numFmtId="0" fontId="17" fillId="0" borderId="0" pivotButton="0" quotePrefix="0" xfId="0"/>
    <xf numFmtId="0" fontId="18" fillId="0" borderId="0" pivotButton="0" quotePrefix="0" xfId="0"/>
    <xf numFmtId="0" fontId="20" fillId="15" borderId="13" applyAlignment="1" pivotButton="0" quotePrefix="0" xfId="0">
      <alignment horizontal="center" vertical="center" wrapText="1"/>
    </xf>
    <xf numFmtId="0" fontId="0" fillId="16" borderId="13" pivotButton="0" quotePrefix="0" xfId="0"/>
    <xf numFmtId="0" fontId="0" fillId="18" borderId="13" pivotButton="0" quotePrefix="0" xfId="0"/>
    <xf numFmtId="0" fontId="19" fillId="0" borderId="0" pivotButton="0" quotePrefix="0" xfId="0"/>
    <xf numFmtId="0" fontId="0" fillId="17" borderId="13" pivotButton="0" quotePrefix="0" xfId="0"/>
    <xf numFmtId="0" fontId="0" fillId="0" borderId="13" applyAlignment="1" pivotButton="0" quotePrefix="0" xfId="0">
      <alignment horizontal="center" vertical="center" wrapText="1"/>
    </xf>
    <xf numFmtId="0" fontId="0" fillId="0" borderId="13" applyAlignment="1" pivotButton="0" quotePrefix="0" xfId="0">
      <alignment horizontal="left" vertical="center" wrapText="1"/>
    </xf>
    <xf numFmtId="0" fontId="0" fillId="16" borderId="13" applyAlignment="1" pivotButton="0" quotePrefix="0" xfId="0">
      <alignment horizontal="center" vertical="center" wrapText="1"/>
    </xf>
    <xf numFmtId="0" fontId="0" fillId="16" borderId="13" applyAlignment="1" pivotButton="0" quotePrefix="0" xfId="0">
      <alignment horizontal="left" vertical="center" wrapText="1"/>
    </xf>
    <xf numFmtId="0" fontId="0" fillId="17" borderId="13" applyAlignment="1" pivotButton="0" quotePrefix="0" xfId="0">
      <alignment horizontal="center" vertical="center" wrapText="1"/>
    </xf>
    <xf numFmtId="0" fontId="0" fillId="17" borderId="13" applyAlignment="1" pivotButton="0" quotePrefix="0" xfId="0">
      <alignment horizontal="left" vertical="center" wrapText="1"/>
    </xf>
    <xf numFmtId="0" fontId="21" fillId="0" borderId="0" pivotButton="0" quotePrefix="0" xfId="0"/>
    <xf numFmtId="0" fontId="0" fillId="10" borderId="13" pivotButton="0" quotePrefix="0" xfId="0"/>
    <xf numFmtId="0" fontId="22" fillId="0" borderId="0" pivotButton="0" quotePrefix="0" xfId="0"/>
    <xf numFmtId="0" fontId="0" fillId="19" borderId="0" pivotButton="0" quotePrefix="0" xfId="0"/>
    <xf numFmtId="164" fontId="0" fillId="19" borderId="0" pivotButton="0" quotePrefix="0" xfId="0"/>
    <xf numFmtId="0" fontId="23" fillId="0" borderId="0" pivotButton="0" quotePrefix="0" xfId="0"/>
    <xf numFmtId="0" fontId="24" fillId="20" borderId="14" pivotButton="0" quotePrefix="0" xfId="0"/>
    <xf numFmtId="0" fontId="0" fillId="21" borderId="14" pivotButton="0" quotePrefix="0" xfId="0"/>
    <xf numFmtId="3" fontId="0" fillId="0" borderId="14" pivotButton="0" quotePrefix="0" xfId="0"/>
    <xf numFmtId="3" fontId="0" fillId="0" borderId="0" pivotButton="0" quotePrefix="0" xfId="0"/>
    <xf numFmtId="0" fontId="0" fillId="19" borderId="14" pivotButton="0" quotePrefix="0" xfId="0"/>
    <xf numFmtId="3" fontId="0" fillId="19" borderId="14" pivotButton="0" quotePrefix="0" xfId="0"/>
    <xf numFmtId="3" fontId="0" fillId="19" borderId="0" pivotButton="0" quotePrefix="0" xfId="0"/>
    <xf numFmtId="0" fontId="0" fillId="0" borderId="14" pivotButton="0" quotePrefix="0" xfId="0"/>
    <xf numFmtId="0" fontId="0" fillId="22" borderId="14" pivotButton="0" quotePrefix="0" xfId="0"/>
    <xf numFmtId="0" fontId="24" fillId="20" borderId="14" applyAlignment="1" pivotButton="0" quotePrefix="0" xfId="0">
      <alignment horizontal="center" vertical="center" wrapText="1"/>
    </xf>
    <xf numFmtId="3" fontId="0" fillId="13" borderId="14" pivotButton="0" quotePrefix="0" xfId="0"/>
    <xf numFmtId="0" fontId="0" fillId="13" borderId="14" pivotButton="0" quotePrefix="0" xfId="0"/>
    <xf numFmtId="165" fontId="0" fillId="19" borderId="0" pivotButton="0" quotePrefix="0" xfId="0"/>
    <xf numFmtId="0" fontId="24" fillId="0" borderId="0" pivotButton="0" quotePrefix="0" xfId="0"/>
    <xf numFmtId="3" fontId="24" fillId="0" borderId="0" pivotButton="0" quotePrefix="0" xfId="0"/>
    <xf numFmtId="3" fontId="0" fillId="22" borderId="0" pivotButton="0" quotePrefix="0" xfId="0"/>
    <xf numFmtId="3" fontId="0" fillId="23" borderId="0" pivotButton="0" quotePrefix="0" xfId="0"/>
    <xf numFmtId="0" fontId="0" fillId="23" borderId="0" pivotButton="0" quotePrefix="0" xfId="0"/>
    <xf numFmtId="0" fontId="0" fillId="23" borderId="14" pivotButton="0" quotePrefix="0" xfId="0"/>
    <xf numFmtId="0" fontId="22" fillId="0" borderId="15" pivotButton="0" quotePrefix="0" xfId="0"/>
    <xf numFmtId="0" fontId="0" fillId="0" borderId="15" pivotButton="0" quotePrefix="0" xfId="0"/>
    <xf numFmtId="0" fontId="24" fillId="0" borderId="15" pivotButton="0" quotePrefix="0" xfId="0"/>
    <xf numFmtId="3" fontId="0" fillId="0" borderId="15" pivotButton="0" quotePrefix="0" xfId="0"/>
    <xf numFmtId="0" fontId="0" fillId="23" borderId="15" pivotButton="0" quotePrefix="0" xfId="0"/>
    <xf numFmtId="3" fontId="0" fillId="23" borderId="15" pivotButton="0" quotePrefix="0" xfId="0"/>
    <xf numFmtId="3" fontId="24" fillId="0" borderId="15" pivotButton="0" quotePrefix="0" xfId="0"/>
    <xf numFmtId="3" fontId="24" fillId="20" borderId="14" pivotButton="0" quotePrefix="0" xfId="0"/>
    <xf numFmtId="164" fontId="0" fillId="0" borderId="14" pivotButton="0" quotePrefix="0" xfId="0"/>
    <xf numFmtId="3" fontId="0" fillId="23" borderId="14" pivotButton="0" quotePrefix="0" xfId="0"/>
    <xf numFmtId="3" fontId="24" fillId="22" borderId="0" pivotButton="0" quotePrefix="0" xfId="0"/>
    <xf numFmtId="2" fontId="0" fillId="19" borderId="14" pivotButton="0" quotePrefix="0" xfId="0"/>
    <xf numFmtId="0" fontId="24" fillId="0" borderId="14" pivotButton="0" quotePrefix="0" xfId="0"/>
    <xf numFmtId="3" fontId="24" fillId="23" borderId="14" pivotButton="0" quotePrefix="0" xfId="0"/>
    <xf numFmtId="164" fontId="0" fillId="23" borderId="14" pivotButton="0" quotePrefix="0" xfId="0"/>
    <xf numFmtId="2" fontId="0" fillId="0" borderId="0" pivotButton="0" quotePrefix="0" xfId="0"/>
    <xf numFmtId="0" fontId="24" fillId="23" borderId="14" pivotButton="0" quotePrefix="0" xfId="0"/>
    <xf numFmtId="0" fontId="23" fillId="0" borderId="15" pivotButton="0" quotePrefix="0" xfId="0"/>
    <xf numFmtId="164" fontId="0" fillId="19" borderId="14" pivotButton="0" quotePrefix="0" xfId="0"/>
    <xf numFmtId="164" fontId="0" fillId="0" borderId="15" pivotButton="0" quotePrefix="0" xfId="0"/>
    <xf numFmtId="2" fontId="0" fillId="23" borderId="14" pivotButton="0" quotePrefix="0" xfId="0"/>
    <xf numFmtId="4" fontId="0" fillId="23" borderId="14" pivotButton="0" quotePrefix="0" xfId="0"/>
    <xf numFmtId="4" fontId="0" fillId="22" borderId="14" pivotButton="0" quotePrefix="0" xfId="0"/>
    <xf numFmtId="164" fontId="0" fillId="23" borderId="0" pivotButton="0" quotePrefix="0" xfId="0"/>
    <xf numFmtId="4" fontId="0" fillId="23" borderId="0" pivotButton="0" quotePrefix="0" xfId="0"/>
    <xf numFmtId="9" fontId="0" fillId="19" borderId="14" pivotButton="0" quotePrefix="0" xfId="0"/>
    <xf numFmtId="3" fontId="0" fillId="22" borderId="14" pivotButton="0" quotePrefix="0" xfId="0"/>
    <xf numFmtId="164" fontId="0" fillId="22" borderId="0" pivotButton="0" quotePrefix="0" xfId="0"/>
    <xf numFmtId="2" fontId="0" fillId="23" borderId="0" pivotButton="0" quotePrefix="0" xfId="0"/>
    <xf numFmtId="4" fontId="0" fillId="0" borderId="0" pivotButton="0" quotePrefix="0" xfId="0"/>
    <xf numFmtId="0" fontId="25" fillId="0" borderId="16" pivotButton="0" quotePrefix="0" xfId="0"/>
    <xf numFmtId="0" fontId="0" fillId="0" borderId="16" pivotButton="0" quotePrefix="0" xfId="0"/>
    <xf numFmtId="0" fontId="26" fillId="24" borderId="17" pivotButton="0" quotePrefix="0" xfId="0"/>
    <xf numFmtId="0" fontId="0" fillId="0" borderId="17" pivotButton="0" quotePrefix="0" xfId="0"/>
    <xf numFmtId="0" fontId="0" fillId="25" borderId="17" pivotButton="0" quotePrefix="0" xfId="0"/>
    <xf numFmtId="164" fontId="0" fillId="0" borderId="17" pivotButton="0" quotePrefix="0" xfId="0"/>
    <xf numFmtId="0" fontId="0" fillId="26" borderId="17" pivotButton="0" quotePrefix="0" xfId="0"/>
    <xf numFmtId="0" fontId="27" fillId="0" borderId="0" pivotButton="0" quotePrefix="0" xfId="0"/>
    <xf numFmtId="3" fontId="0" fillId="0" borderId="17" pivotButton="0" quotePrefix="0" xfId="0"/>
    <xf numFmtId="3" fontId="0" fillId="25" borderId="17" pivotButton="0" quotePrefix="0" xfId="0"/>
    <xf numFmtId="0" fontId="0" fillId="27" borderId="17" pivotButton="0" quotePrefix="0" xfId="0"/>
    <xf numFmtId="2" fontId="0" fillId="25" borderId="17" pivotButton="0" quotePrefix="0" xfId="0"/>
    <xf numFmtId="2" fontId="0" fillId="0" borderId="17" pivotButton="0" quotePrefix="0" xfId="0"/>
    <xf numFmtId="0" fontId="26" fillId="25" borderId="17" pivotButton="0" quotePrefix="0" xfId="0"/>
    <xf numFmtId="2" fontId="0" fillId="26" borderId="0" pivotButton="0" quotePrefix="0" xfId="0"/>
    <xf numFmtId="164" fontId="0" fillId="25" borderId="0" pivotButton="0" quotePrefix="0" xfId="0"/>
    <xf numFmtId="0" fontId="0" fillId="28" borderId="17" pivotButton="0" quotePrefix="0" xfId="0"/>
    <xf numFmtId="3" fontId="0" fillId="28" borderId="17" pivotButton="0" quotePrefix="0" xfId="0"/>
    <xf numFmtId="3" fontId="0" fillId="26" borderId="17" pivotButton="0" quotePrefix="0" xfId="0"/>
    <xf numFmtId="3" fontId="0" fillId="26" borderId="0" pivotButton="0" quotePrefix="0" xfId="0"/>
    <xf numFmtId="0" fontId="0" fillId="26" borderId="0" pivotButton="0" quotePrefix="0" xfId="0"/>
    <xf numFmtId="0" fontId="27" fillId="0" borderId="16" pivotButton="0" quotePrefix="0" xfId="0"/>
    <xf numFmtId="164" fontId="0" fillId="25" borderId="17" pivotButton="0" quotePrefix="0" xfId="0"/>
    <xf numFmtId="2" fontId="0" fillId="28" borderId="17" pivotButton="0" quotePrefix="0" xfId="0"/>
    <xf numFmtId="164" fontId="0" fillId="28" borderId="17" pivotButton="0" quotePrefix="0" xfId="0"/>
    <xf numFmtId="0" fontId="0" fillId="3" borderId="13" applyAlignment="1" pivotButton="0" quotePrefix="0" xfId="0">
      <alignment vertical="top" wrapText="1"/>
    </xf>
    <xf numFmtId="0" fontId="0" fillId="0" borderId="4" pivotButton="0" quotePrefix="0" xfId="0"/>
    <xf numFmtId="0" fontId="0" fillId="0" borderId="6" pivotButton="0" quotePrefix="0" xfId="0"/>
    <xf numFmtId="0" fontId="0" fillId="0" borderId="5" pivotButton="0" quotePrefix="0" xfId="0"/>
    <xf numFmtId="0" fontId="0" fillId="0" borderId="0"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5" pivotButton="0" quotePrefix="0" xfId="0"/>
    <xf numFmtId="0" fontId="10" fillId="0" borderId="15" pivotButton="0" quotePrefix="0" xfId="0"/>
    <xf numFmtId="0" fontId="18" fillId="0" borderId="15" pivotButton="0" quotePrefix="0" xfId="0"/>
    <xf numFmtId="0" fontId="10" fillId="0" borderId="16" pivotButton="0" quotePrefix="0" xfId="0"/>
    <xf numFmtId="0" fontId="18" fillId="0" borderId="16" pivotButton="0" quotePrefix="0" xfId="0"/>
    <xf numFmtId="164" fontId="0" fillId="29" borderId="14" pivotButton="0" quotePrefix="0" xfId="0"/>
    <xf numFmtId="3" fontId="0" fillId="29" borderId="14" pivotButton="0" quotePrefix="0" xfId="0"/>
    <xf numFmtId="3" fontId="0" fillId="29" borderId="0" pivotButton="0" quotePrefix="0" xfId="0"/>
    <xf numFmtId="0" fontId="0" fillId="29" borderId="0" pivotButton="0" quotePrefix="0" xfId="0"/>
    <xf numFmtId="165" fontId="0" fillId="29" borderId="0" pivotButton="0" quotePrefix="0" xfId="0"/>
    <xf numFmtId="164" fontId="0" fillId="29" borderId="0" pivotButton="0" quotePrefix="0" xfId="0"/>
    <xf numFmtId="0" fontId="0" fillId="29" borderId="13" pivotButton="0" quotePrefix="0" xfId="0"/>
    <xf numFmtId="0" fontId="0" fillId="29" borderId="14" pivotButton="0" quotePrefix="0" xfId="0"/>
    <xf numFmtId="2" fontId="0" fillId="29" borderId="14" pivotButton="0" quotePrefix="0" xfId="0"/>
    <xf numFmtId="0" fontId="28" fillId="0" borderId="0" pivotButton="0" quotePrefix="0" xfId="0"/>
    <xf numFmtId="0" fontId="28" fillId="30" borderId="0" pivotButton="0" quotePrefix="0" xfId="0"/>
    <xf numFmtId="0" fontId="0" fillId="31" borderId="0" pivotButton="0" quotePrefix="0" xfId="0"/>
    <xf numFmtId="0" fontId="0" fillId="32" borderId="0" pivotButton="0" quotePrefix="0" xfId="0"/>
    <xf numFmtId="0" fontId="29" fillId="0" borderId="0" pivotButton="0" quotePrefix="0" xfId="0"/>
    <xf numFmtId="0" fontId="0" fillId="0" borderId="0" applyAlignment="1" pivotButton="0" quotePrefix="0" xfId="0">
      <alignment wrapText="1"/>
    </xf>
    <xf numFmtId="0" fontId="28" fillId="33" borderId="0" pivotButton="0" quotePrefix="0" xfId="0"/>
    <xf numFmtId="0" fontId="28" fillId="29" borderId="0" pivotButton="0" quotePrefix="0" xfId="0"/>
    <xf numFmtId="0" fontId="0" fillId="33" borderId="0" pivotButton="0" quotePrefix="0" xfId="0"/>
    <xf numFmtId="0" fontId="0" fillId="32" borderId="0" applyAlignment="1" pivotButton="0" quotePrefix="0" xfId="0">
      <alignment wrapText="1"/>
    </xf>
    <xf numFmtId="0" fontId="28" fillId="30" borderId="0" applyAlignment="1" pivotButton="0" quotePrefix="0" xfId="0">
      <alignment vertical="bottom" textRotation="90"/>
    </xf>
    <xf numFmtId="0" fontId="28" fillId="33" borderId="0" applyAlignment="1" pivotButton="0" quotePrefix="0" xfId="0">
      <alignment vertical="bottom" textRotation="90"/>
    </xf>
    <xf numFmtId="0" fontId="0" fillId="29" borderId="0" applyAlignment="1" pivotButton="0" quotePrefix="0" xfId="0">
      <alignment horizontal="center"/>
    </xf>
    <xf numFmtId="0" fontId="0" fillId="33" borderId="0" applyAlignment="1" pivotButton="0" quotePrefix="0" xfId="0">
      <alignment horizontal="center"/>
    </xf>
    <xf numFmtId="164" fontId="0" fillId="31" borderId="0" pivotButton="0" quotePrefix="0" xfId="0"/>
    <xf numFmtId="164" fontId="0" fillId="33" borderId="0" pivotButton="0" quotePrefix="0" xfId="0"/>
    <xf numFmtId="0" fontId="0" fillId="29" borderId="0" applyAlignment="1" pivotButton="0" quotePrefix="0" xfId="0">
      <alignment wrapText="1"/>
    </xf>
    <xf numFmtId="1" fontId="0" fillId="0" borderId="0" pivotButton="0" quotePrefix="0" xfId="0"/>
    <xf numFmtId="164" fontId="28" fillId="33" borderId="0" pivotButton="0" quotePrefix="0" xfId="0"/>
    <xf numFmtId="1" fontId="28" fillId="33" borderId="0" pivotButton="0" quotePrefix="0" xfId="0"/>
    <xf numFmtId="0" fontId="0" fillId="31" borderId="0" applyAlignment="1" pivotButton="0" quotePrefix="0" xfId="0">
      <alignment wrapText="1"/>
    </xf>
    <xf numFmtId="1" fontId="0" fillId="31" borderId="0" pivotButton="0" quotePrefix="0" xfId="0"/>
    <xf numFmtId="1" fontId="0" fillId="29" borderId="0" pivotButton="0" quotePrefix="0" xfId="0"/>
    <xf numFmtId="0" fontId="28" fillId="31" borderId="0" pivotButton="0" quotePrefix="0" xfId="0"/>
    <xf numFmtId="165" fontId="0" fillId="0" borderId="0" pivotButton="0" quotePrefix="0" xfId="0"/>
    <xf numFmtId="165" fontId="28" fillId="31" borderId="0" pivotButton="0" quotePrefix="0" xfId="0"/>
    <xf numFmtId="165" fontId="0" fillId="31" borderId="0" pivotButton="0" quotePrefix="0" xfId="0"/>
    <xf numFmtId="0" fontId="30" fillId="29" borderId="0" pivotButton="0" quotePrefix="0" xfId="0"/>
    <xf numFmtId="0" fontId="0" fillId="33" borderId="0" applyAlignment="1" pivotButton="0" quotePrefix="0" xfId="0">
      <alignment wrapText="1"/>
    </xf>
    <xf numFmtId="0" fontId="28" fillId="33" borderId="0" applyAlignment="1" pivotButton="0" quotePrefix="0" xfId="0">
      <alignment wrapText="1"/>
    </xf>
    <xf numFmtId="166" fontId="0" fillId="0" borderId="0" pivotButton="0" quotePrefix="0" xfId="0"/>
    <xf numFmtId="166" fontId="28" fillId="33" borderId="0" pivotButton="0" quotePrefix="0" xfId="0"/>
    <xf numFmtId="166" fontId="0" fillId="31" borderId="0" pivotButton="0" quotePrefix="0" xfId="0"/>
    <xf numFmtId="166" fontId="28" fillId="29" borderId="0" pivotButton="0" quotePrefix="0" xfId="0"/>
    <xf numFmtId="0" fontId="28" fillId="30" borderId="18" pivotButton="0" quotePrefix="0" xfId="0"/>
    <xf numFmtId="0" fontId="0" fillId="0" borderId="18" pivotButton="0" quotePrefix="0" xfId="0"/>
    <xf numFmtId="167" fontId="0" fillId="0" borderId="18" pivotButton="0" quotePrefix="0" xfId="0"/>
    <xf numFmtId="167" fontId="28" fillId="31" borderId="18" pivotButton="0" quotePrefix="0" xfId="0"/>
    <xf numFmtId="167" fontId="0" fillId="29" borderId="18" pivotButton="0" quotePrefix="0" xfId="0"/>
    <xf numFmtId="0" fontId="0" fillId="31" borderId="18" pivotButton="0" quotePrefix="0" xfId="0"/>
    <xf numFmtId="167" fontId="28" fillId="29" borderId="18" pivotButton="0" quotePrefix="0" xfId="0"/>
    <xf numFmtId="0" fontId="0" fillId="29" borderId="18" pivotButton="0" quotePrefix="0" xfId="0"/>
    <xf numFmtId="167" fontId="28" fillId="33" borderId="18" pivotButton="0" quotePrefix="0" xfId="0"/>
    <xf numFmtId="0" fontId="0" fillId="0" borderId="18" applyAlignment="1" pivotButton="0" quotePrefix="0" xfId="0">
      <alignment wrapText="1"/>
    </xf>
    <xf numFmtId="0" fontId="28" fillId="33" borderId="18" pivotButton="0" quotePrefix="0" xfId="0"/>
    <xf numFmtId="0" fontId="28" fillId="33" borderId="18" applyAlignment="1" pivotButton="0" quotePrefix="0" xfId="0">
      <alignment wrapText="1"/>
    </xf>
    <xf numFmtId="0" fontId="0" fillId="32" borderId="18" pivotButton="0" quotePrefix="0" xfId="0"/>
    <xf numFmtId="164" fontId="0" fillId="32" borderId="0" pivotButton="0" quotePrefix="0" xfId="0"/>
    <xf numFmtId="10" fontId="0" fillId="0" borderId="0" pivotButton="0" quotePrefix="0" xfId="0"/>
    <xf numFmtId="10" fontId="28" fillId="33" borderId="0" pivotButton="0" quotePrefix="0" xfId="0"/>
    <xf numFmtId="2" fontId="0" fillId="32" borderId="0" pivotButton="0" quotePrefix="0" xfId="0"/>
    <xf numFmtId="2" fontId="28" fillId="33" borderId="0" pivotButton="0" quotePrefix="0" xfId="0"/>
    <xf numFmtId="10" fontId="0" fillId="0" borderId="0" applyAlignment="1" pivotButton="0" quotePrefix="0" xfId="0">
      <alignment wrapText="1"/>
    </xf>
    <xf numFmtId="0" fontId="31" fillId="32" borderId="0" applyAlignment="1" pivotButton="0" quotePrefix="0" xfId="0">
      <alignment wrapText="1"/>
    </xf>
    <xf numFmtId="0" fontId="28" fillId="31" borderId="18" pivotButton="0" quotePrefix="0" xfId="0"/>
    <xf numFmtId="3" fontId="0" fillId="0" borderId="18" pivotButton="0" quotePrefix="0" xfId="0"/>
    <xf numFmtId="3" fontId="28" fillId="33" borderId="18" pivotButton="0" quotePrefix="0" xfId="0"/>
    <xf numFmtId="0" fontId="28" fillId="29" borderId="18" pivotButton="0" quotePrefix="0" xfId="0"/>
    <xf numFmtId="0" fontId="28" fillId="32" borderId="18" pivotButton="0" quotePrefix="0" xfId="0"/>
    <xf numFmtId="3" fontId="28" fillId="31" borderId="18" pivotButton="0" quotePrefix="0" xfId="0"/>
    <xf numFmtId="2" fontId="0" fillId="0" borderId="18" pivotButton="0" quotePrefix="0" xfId="0"/>
    <xf numFmtId="2" fontId="28" fillId="33" borderId="18" pivotButton="0" quotePrefix="0" xfId="0"/>
    <xf numFmtId="2" fontId="0" fillId="29" borderId="18" pivotButton="0" quotePrefix="0" xfId="0"/>
    <xf numFmtId="164" fontId="0" fillId="0" borderId="18" pivotButton="0" quotePrefix="0" xfId="0"/>
    <xf numFmtId="2" fontId="28" fillId="31" borderId="18" pivotButton="0" quotePrefix="0" xfId="0"/>
    <xf numFmtId="164" fontId="28" fillId="31" borderId="18" pivotButton="0" quotePrefix="0" xfId="0"/>
    <xf numFmtId="0" fontId="0" fillId="31" borderId="18" applyAlignment="1" pivotButton="0" quotePrefix="0" xfId="0">
      <alignment wrapText="1"/>
    </xf>
    <xf numFmtId="168" fontId="0" fillId="0" borderId="18" pivotButton="0" quotePrefix="0" xfId="0"/>
    <xf numFmtId="169" fontId="0" fillId="0" borderId="18" pivotButton="0" quotePrefix="0" xfId="0"/>
    <xf numFmtId="168" fontId="28" fillId="33" borderId="18" pivotButton="0" quotePrefix="0" xfId="0"/>
    <xf numFmtId="169" fontId="28" fillId="31" borderId="18" pivotButton="0" quotePrefix="0" xfId="0"/>
    <xf numFmtId="165" fontId="0" fillId="0" borderId="18" pivotButton="0" quotePrefix="0" xfId="0"/>
    <xf numFmtId="165" fontId="28" fillId="31" borderId="18" pivotButton="0" quotePrefix="0" xfId="0"/>
    <xf numFmtId="0" fontId="0" fillId="32" borderId="18" applyAlignment="1" pivotButton="0" quotePrefix="0" xfId="0">
      <alignment wrapText="1"/>
    </xf>
    <xf numFmtId="165" fontId="28" fillId="33" borderId="18" pivotButton="0" quotePrefix="0" xfId="0"/>
    <xf numFmtId="170" fontId="0" fillId="0" borderId="0" pivotButton="0" quotePrefix="0" xfId="0"/>
    <xf numFmtId="170" fontId="28" fillId="33" borderId="0" pivotButton="0" quotePrefix="0" xfId="0"/>
    <xf numFmtId="9" fontId="0" fillId="0" borderId="18" pivotButton="0" quotePrefix="0" xfId="0"/>
    <xf numFmtId="164" fontId="0" fillId="29" borderId="18" pivotButton="0" quotePrefix="0" xfId="0"/>
    <xf numFmtId="3" fontId="0" fillId="29" borderId="18" pivotButton="0" quotePrefix="0" xfId="0"/>
    <xf numFmtId="9" fontId="0" fillId="29" borderId="18" pivotButton="0" quotePrefix="0" xfId="0"/>
    <xf numFmtId="164" fontId="28" fillId="33" borderId="18" pivotButton="0" quotePrefix="0" xfId="0"/>
    <xf numFmtId="9" fontId="28" fillId="33" borderId="18" pivotButton="0" quotePrefix="0" xfId="0"/>
    <xf numFmtId="0" fontId="28" fillId="0" borderId="18" pivotButton="0" quotePrefix="0" xfId="0"/>
    <xf numFmtId="3" fontId="0" fillId="32" borderId="18" pivotButton="0" quotePrefix="0" xfId="0"/>
    <xf numFmtId="171" fontId="0" fillId="0" borderId="18" pivotButton="0" quotePrefix="0" xfId="0"/>
    <xf numFmtId="172" fontId="0" fillId="0" borderId="18" pivotButton="0" quotePrefix="0" xfId="0"/>
    <xf numFmtId="172" fontId="0" fillId="0" borderId="0" pivotButton="0" quotePrefix="0" xfId="0"/>
    <xf numFmtId="173" fontId="0" fillId="0" borderId="0" pivotButton="0" quotePrefix="0" xfId="0"/>
    <xf numFmtId="172" fontId="0" fillId="32" borderId="18" pivotButton="0" quotePrefix="0" xfId="0"/>
    <xf numFmtId="174" fontId="0" fillId="0" borderId="18" pivotButton="0" quotePrefix="0" xfId="0"/>
    <xf numFmtId="9" fontId="0" fillId="32" borderId="0" pivotButton="0" quotePrefix="0" xfId="0"/>
    <xf numFmtId="0" fontId="32" fillId="0" borderId="0" pivotButton="0" quotePrefix="0" xfId="0"/>
    <xf numFmtId="0" fontId="0" fillId="0" borderId="0" applyAlignment="1" pivotButton="0" quotePrefix="0" xfId="0">
      <alignment vertical="top" wrapText="1"/>
    </xf>
    <xf numFmtId="0" fontId="28" fillId="30" borderId="18" applyAlignment="1" pivotButton="0" quotePrefix="0" xfId="0">
      <alignment vertical="top" wrapText="1"/>
    </xf>
    <xf numFmtId="0" fontId="0" fillId="0" borderId="18" applyAlignment="1" pivotButton="0" quotePrefix="0" xfId="0">
      <alignment vertical="top" wrapText="1"/>
    </xf>
    <xf numFmtId="0" fontId="0" fillId="29" borderId="18" applyAlignment="1" pivotButton="0" quotePrefix="0" xfId="0">
      <alignment vertical="top" wrapText="1"/>
    </xf>
    <xf numFmtId="0" fontId="0" fillId="32" borderId="18" applyAlignment="1" pivotButton="0" quotePrefix="0" xfId="0">
      <alignment vertical="top" wrapText="1"/>
    </xf>
    <xf numFmtId="0" fontId="28" fillId="29" borderId="18" applyAlignment="1" pivotButton="0" quotePrefix="0" xfId="0">
      <alignment vertical="top" wrapText="1"/>
    </xf>
    <xf numFmtId="0" fontId="0" fillId="31" borderId="18" applyAlignment="1" pivotButton="0" quotePrefix="0" xfId="0">
      <alignment vertical="top" wrapText="1"/>
    </xf>
    <xf numFmtId="3" fontId="28" fillId="29" borderId="18" pivotButton="0" quotePrefix="0" xfId="0"/>
    <xf numFmtId="3" fontId="0" fillId="0" borderId="18" applyAlignment="1" pivotButton="0" quotePrefix="0" xfId="0">
      <alignment vertical="top" wrapText="1"/>
    </xf>
  </cellXfs>
  <cellStyles count="2">
    <cellStyle name="Normal" xfId="0" builtinId="0"/>
    <cellStyle name="20% - Accent1" xfId="1" builtinId="30"/>
  </cellStyles>
  <dxfs count="5">
    <dxf>
      <fill>
        <patternFill>
          <bgColor rgb="FFFF0000"/>
        </patternFill>
      </fill>
    </dxf>
    <dxf>
      <fill>
        <patternFill>
          <bgColor rgb="FF92D050"/>
        </patternFill>
      </fill>
    </dxf>
    <dxf>
      <font>
        <b val="1"/>
      </font>
      <fill>
        <patternFill>
          <bgColor rgb="FFFFFF00"/>
        </patternFill>
      </fill>
    </dxf>
    <dxf>
      <font>
        <b val="1"/>
      </font>
      <fill>
        <patternFill>
          <bgColor rgb="FFFFFF00"/>
        </patternFill>
      </fill>
    </dxf>
    <dxf>
      <font>
        <b val="1"/>
      </font>
      <fill>
        <patternFill>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Operating Capacity Costs per Unit</a:t>
            </a:r>
          </a:p>
        </rich>
      </tx>
      <overlay val="1"/>
    </title>
    <plotArea>
      <layout/>
      <lineChart>
        <grouping val="standard"/>
        <varyColors val="1"/>
        <ser>
          <idx val="0"/>
          <order val="0"/>
          <tx>
            <strRef>
              <f>Manufacturing!$B$56</f>
              <strCache>
                <ptCount val="1"/>
                <pt idx="0">
                  <v>Labor $/unit</v>
                </pt>
              </strCache>
            </strRef>
          </tx>
          <spPr>
            <a:ln xmlns:a="http://schemas.openxmlformats.org/drawingml/2006/main">
              <a:prstDash val="solid"/>
            </a:ln>
          </spPr>
          <marker>
            <symbol val="none"/>
            <spPr>
              <a:ln xmlns:a="http://schemas.openxmlformats.org/drawingml/2006/main">
                <a:prstDash val="solid"/>
              </a:ln>
            </spPr>
          </marker>
          <cat>
            <numRef>
              <f>Manufacturing!$A$57:$A$71</f>
              <numCache>
                <formatCode>General</formatCode>
                <ptCount val="15"/>
                <pt idx="0">
                  <v>1</v>
                </pt>
                <pt idx="1">
                  <v>2</v>
                </pt>
                <pt idx="2">
                  <v>4</v>
                </pt>
                <pt idx="3">
                  <v>6</v>
                </pt>
                <pt idx="4">
                  <v>8</v>
                </pt>
                <pt idx="5">
                  <v>10</v>
                </pt>
                <pt idx="6">
                  <v>12</v>
                </pt>
                <pt idx="7">
                  <v>14</v>
                </pt>
                <pt idx="8">
                  <v>16</v>
                </pt>
                <pt idx="9">
                  <v>18</v>
                </pt>
                <pt idx="10">
                  <v>20</v>
                </pt>
                <pt idx="11">
                  <v>22</v>
                </pt>
                <pt idx="12">
                  <v>24</v>
                </pt>
                <pt idx="13">
                  <v>25</v>
                </pt>
                <pt idx="14">
                  <v>26</v>
                </pt>
              </numCache>
            </numRef>
          </cat>
          <val>
            <numRef>
              <f>Manufacturing!$B$57:$B$71</f>
              <numCache>
                <formatCode>#,##0</formatCode>
                <ptCount val="15"/>
                <pt idx="0">
                  <v>1200</v>
                </pt>
                <pt idx="1">
                  <v>380</v>
                </pt>
                <pt idx="2">
                  <v>220</v>
                </pt>
                <pt idx="3">
                  <v>190</v>
                </pt>
                <pt idx="4">
                  <v>170</v>
                </pt>
                <pt idx="5">
                  <v>155</v>
                </pt>
                <pt idx="6">
                  <v>145</v>
                </pt>
                <pt idx="7">
                  <v>135</v>
                </pt>
                <pt idx="8">
                  <v>125</v>
                </pt>
                <pt idx="9">
                  <v>115</v>
                </pt>
                <pt idx="10">
                  <v>110</v>
                </pt>
                <pt idx="11">
                  <v>120</v>
                </pt>
                <pt idx="12">
                  <v>190</v>
                </pt>
                <pt idx="13">
                  <v>300</v>
                </pt>
                <pt idx="14">
                  <v>400</v>
                </pt>
              </numCache>
            </numRef>
          </val>
          <smooth val="1"/>
        </ser>
        <ser>
          <idx val="1"/>
          <order val="1"/>
          <tx>
            <strRef>
              <f>Manufacturing!$C$56</f>
              <strCache>
                <ptCount val="1"/>
                <pt idx="0">
                  <v>Overhead $/unit</v>
                </pt>
              </strCache>
            </strRef>
          </tx>
          <spPr>
            <a:ln xmlns:a="http://schemas.openxmlformats.org/drawingml/2006/main">
              <a:prstDash val="solid"/>
            </a:ln>
          </spPr>
          <marker>
            <symbol val="none"/>
            <spPr>
              <a:ln xmlns:a="http://schemas.openxmlformats.org/drawingml/2006/main">
                <a:prstDash val="solid"/>
              </a:ln>
            </spPr>
          </marker>
          <cat>
            <numRef>
              <f>Manufacturing!$A$57:$A$71</f>
              <numCache>
                <formatCode>General</formatCode>
                <ptCount val="15"/>
                <pt idx="0">
                  <v>1</v>
                </pt>
                <pt idx="1">
                  <v>2</v>
                </pt>
                <pt idx="2">
                  <v>4</v>
                </pt>
                <pt idx="3">
                  <v>6</v>
                </pt>
                <pt idx="4">
                  <v>8</v>
                </pt>
                <pt idx="5">
                  <v>10</v>
                </pt>
                <pt idx="6">
                  <v>12</v>
                </pt>
                <pt idx="7">
                  <v>14</v>
                </pt>
                <pt idx="8">
                  <v>16</v>
                </pt>
                <pt idx="9">
                  <v>18</v>
                </pt>
                <pt idx="10">
                  <v>20</v>
                </pt>
                <pt idx="11">
                  <v>22</v>
                </pt>
                <pt idx="12">
                  <v>24</v>
                </pt>
                <pt idx="13">
                  <v>25</v>
                </pt>
                <pt idx="14">
                  <v>26</v>
                </pt>
              </numCache>
            </numRef>
          </cat>
          <val>
            <numRef>
              <f>Manufacturing!$C$57:$C$71</f>
              <numCache>
                <formatCode>#,##0</formatCode>
                <ptCount val="15"/>
                <pt idx="0">
                  <v>1400</v>
                </pt>
                <pt idx="1">
                  <v>350</v>
                </pt>
                <pt idx="2">
                  <v>180</v>
                </pt>
                <pt idx="3">
                  <v>130</v>
                </pt>
                <pt idx="4">
                  <v>95</v>
                </pt>
                <pt idx="5">
                  <v>80</v>
                </pt>
                <pt idx="6">
                  <v>70</v>
                </pt>
                <pt idx="7">
                  <v>60</v>
                </pt>
                <pt idx="8">
                  <v>55</v>
                </pt>
                <pt idx="9">
                  <v>50</v>
                </pt>
                <pt idx="10">
                  <v>48</v>
                </pt>
                <pt idx="11">
                  <v>45</v>
                </pt>
                <pt idx="12">
                  <v>45</v>
                </pt>
                <pt idx="13">
                  <v>45</v>
                </pt>
                <pt idx="14">
                  <v>45</v>
                </pt>
              </numCache>
            </numRef>
          </val>
          <smooth val="1"/>
        </ser>
        <dLbls>
          <showLegendKey val="0"/>
          <showVal val="0"/>
          <showCatName val="0"/>
          <showSerName val="0"/>
          <showPercent val="0"/>
          <showBubbleSize val="0"/>
        </dLbls>
        <smooth val="0"/>
        <axId val="10"/>
        <axId val="100"/>
      </lineChart>
      <catAx>
        <axId val="10"/>
        <scaling>
          <orientation val="minMax"/>
        </scaling>
        <delete val="1"/>
        <axPos val="b"/>
        <title>
          <tx>
            <rich>
              <a:bodyPr xmlns:a="http://schemas.openxmlformats.org/drawingml/2006/main"/>
              <a:lstStyle xmlns:a="http://schemas.openxmlformats.org/drawingml/2006/main"/>
              <a:p xmlns:a="http://schemas.openxmlformats.org/drawingml/2006/main">
                <a:pPr>
                  <a:defRPr/>
                </a:pPr>
                <a:r>
                  <a:rPr lang="en-US"/>
                  <a:t>Operating Capacity (units/day)</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en-US"/>
                  <a:t>Cost per unit</a:t>
                </a:r>
              </a:p>
            </rich>
          </tx>
          <overlay val="1"/>
        </title>
        <numFmt formatCode="#,##0" sourceLinked="1"/>
        <majorTickMark val="none"/>
        <minorTickMark val="none"/>
        <tickLblPos val="nextTo"/>
        <crossAx val="10"/>
        <crosses val="autoZero"/>
        <crossBetween val="between"/>
      </valAx>
    </plotArea>
    <legend>
      <legendPos val="r"/>
      <overlay val="1"/>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Projected Change in Worker Productivity</a:t>
            </a:r>
          </a:p>
        </rich>
      </tx>
      <overlay val="1"/>
    </title>
    <plotArea>
      <layout/>
      <lineChart>
        <grouping val="standard"/>
        <varyColors val="1"/>
        <ser>
          <idx val="0"/>
          <order val="0"/>
          <tx>
            <strRef>
              <f>Manufacturing!$B$100</f>
              <strCache>
                <ptCount val="1"/>
                <pt idx="0">
                  <v>Productivity %</v>
                </pt>
              </strCache>
            </strRef>
          </tx>
          <spPr>
            <a:ln xmlns:a="http://schemas.openxmlformats.org/drawingml/2006/main">
              <a:prstDash val="solid"/>
            </a:ln>
          </spPr>
          <marker>
            <symbol val="none"/>
            <spPr>
              <a:ln xmlns:a="http://schemas.openxmlformats.org/drawingml/2006/main">
                <a:prstDash val="solid"/>
              </a:ln>
            </spPr>
          </marker>
          <cat>
            <numRef>
              <f>Manufacturing!$A$101:$A$105</f>
              <numCache>
                <formatCode>General</formatCode>
                <ptCount val="5"/>
                <pt idx="0">
                  <v>0</v>
                </pt>
                <pt idx="1">
                  <v>1</v>
                </pt>
                <pt idx="2">
                  <v>2</v>
                </pt>
                <pt idx="3">
                  <v>3</v>
                </pt>
                <pt idx="4">
                  <v>4</v>
                </pt>
              </numCache>
            </numRef>
          </cat>
          <val>
            <numRef>
              <f>Manufacturing!$B$101:$B$105</f>
              <numCache>
                <formatCode>0.0%</formatCode>
                <ptCount val="5"/>
                <pt idx="0">
                  <v>0.7</v>
                </pt>
                <pt idx="1">
                  <v>0.6929999999999999</v>
                </pt>
                <pt idx="2">
                  <v>0.68</v>
                </pt>
                <pt idx="3">
                  <v>0.664</v>
                </pt>
                <pt idx="4">
                  <v>0.644</v>
                </pt>
              </numCache>
            </numRef>
          </val>
          <smooth val="1"/>
        </ser>
        <dLbls>
          <showLegendKey val="0"/>
          <showVal val="0"/>
          <showCatName val="0"/>
          <showSerName val="0"/>
          <showPercent val="0"/>
          <showBubbleSize val="0"/>
        </dLbls>
        <smooth val="0"/>
        <axId val="10"/>
        <axId val="100"/>
      </lineChart>
      <catAx>
        <axId val="10"/>
        <scaling>
          <orientation val="minMax"/>
        </scaling>
        <delete val="1"/>
        <axPos val="b"/>
        <title>
          <tx>
            <rich>
              <a:bodyPr xmlns:a="http://schemas.openxmlformats.org/drawingml/2006/main"/>
              <a:lstStyle xmlns:a="http://schemas.openxmlformats.org/drawingml/2006/main"/>
              <a:p xmlns:a="http://schemas.openxmlformats.org/drawingml/2006/main">
                <a:pPr>
                  <a:defRPr/>
                </a:pPr>
                <a:r>
                  <a:rPr lang="en-US"/>
                  <a:t>Overtime Hours</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en-US"/>
                  <a:t>Productivity %</a:t>
                </a:r>
              </a:p>
            </rich>
          </tx>
          <overlay val="1"/>
        </title>
        <numFmt formatCode="0.0%" sourceLinked="1"/>
        <majorTickMark val="none"/>
        <minorTickMark val="none"/>
        <tickLblPos val="nextTo"/>
        <crossAx val="10"/>
        <crosses val="autoZero"/>
        <crossBetween val="between"/>
      </valAx>
    </plotArea>
    <legend>
      <legendPos val="r"/>
      <overlay val="0"/>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Hike Bike unit cost vs volume</a:t>
            </a:r>
          </a:p>
        </rich>
      </tx>
      <overlay val="1"/>
    </title>
    <plotArea>
      <layout/>
      <lineChart>
        <grouping val="standard"/>
        <varyColors val="1"/>
        <ser>
          <idx val="0"/>
          <order val="0"/>
          <tx>
            <strRef>
              <f>Cost_of_Production!$B$5</f>
              <strCache>
                <ptCount val="1"/>
                <pt idx="0">
                  <v>100 units</v>
                </pt>
              </strCache>
            </strRef>
          </tx>
          <spPr>
            <a:ln xmlns:a="http://schemas.openxmlformats.org/drawingml/2006/main">
              <a:prstDash val="solid"/>
            </a:ln>
          </spPr>
          <marker>
            <symbol val="none"/>
            <spPr>
              <a:ln xmlns:a="http://schemas.openxmlformats.org/drawingml/2006/main">
                <a:prstDash val="solid"/>
              </a:ln>
            </spPr>
          </marker>
          <cat>
            <numRef>
              <f>Cost_of_Production!$B$8:$G$8</f>
              <numCache>
                <formatCode>General</formatCode>
                <ptCount val="6"/>
                <pt idx="0">
                  <v>100</v>
                </pt>
                <pt idx="1">
                  <v>250</v>
                </pt>
                <pt idx="2">
                  <v>500</v>
                </pt>
                <pt idx="3">
                  <v>1000</v>
                </pt>
                <pt idx="4">
                  <v>5000</v>
                </pt>
                <pt idx="5">
                  <v>10000</v>
                </pt>
              </numCache>
            </numRef>
          </cat>
          <val>
            <numRef>
              <f>Cost_of_Production!$C$5:$G$5</f>
              <numCache>
                <formatCode>General</formatCode>
                <ptCount val="5"/>
                <pt idx="0">
                  <v>0</v>
                </pt>
                <pt idx="1">
                  <v>0</v>
                </pt>
                <pt idx="2">
                  <v>0</v>
                </pt>
                <pt idx="3">
                  <v>0</v>
                </pt>
                <pt idx="4">
                  <v>0</v>
                </pt>
              </numCache>
            </numRef>
          </val>
          <smooth val="1"/>
        </ser>
        <ser>
          <idx val="1"/>
          <order val="1"/>
          <tx>
            <strRef>
              <f>Cost_of_Production!$B$6</f>
              <strCache>
                <ptCount val="1"/>
                <pt idx="0">
                  <v>924</v>
                </pt>
              </strCache>
            </strRef>
          </tx>
          <spPr>
            <a:ln xmlns:a="http://schemas.openxmlformats.org/drawingml/2006/main">
              <a:prstDash val="solid"/>
            </a:ln>
          </spPr>
          <marker>
            <symbol val="none"/>
            <spPr>
              <a:ln xmlns:a="http://schemas.openxmlformats.org/drawingml/2006/main">
                <a:prstDash val="solid"/>
              </a:ln>
            </spPr>
          </marker>
          <cat>
            <numRef>
              <f>Cost_of_Production!$B$8:$G$8</f>
              <numCache>
                <formatCode>General</formatCode>
                <ptCount val="6"/>
                <pt idx="0">
                  <v>100</v>
                </pt>
                <pt idx="1">
                  <v>250</v>
                </pt>
                <pt idx="2">
                  <v>500</v>
                </pt>
                <pt idx="3">
                  <v>1000</v>
                </pt>
                <pt idx="4">
                  <v>5000</v>
                </pt>
                <pt idx="5">
                  <v>10000</v>
                </pt>
              </numCache>
            </numRef>
          </cat>
          <val>
            <numRef>
              <f>Cost_of_Production!$C$6:$G$6</f>
              <numCache>
                <formatCode>#,##0</formatCode>
                <ptCount val="5"/>
                <pt idx="0">
                  <v>675</v>
                </pt>
                <pt idx="1">
                  <v>550</v>
                </pt>
                <pt idx="2">
                  <v>495</v>
                </pt>
                <pt idx="3">
                  <v>405</v>
                </pt>
                <pt idx="4">
                  <v>363</v>
                </pt>
              </numCache>
            </numRef>
          </val>
          <smooth val="1"/>
        </ser>
        <dLbls>
          <showLegendKey val="0"/>
          <showVal val="0"/>
          <showCatName val="0"/>
          <showSerName val="0"/>
          <showPercent val="0"/>
          <showBubbleSize val="0"/>
        </dLbls>
        <smooth val="0"/>
        <axId val="10"/>
        <axId val="100"/>
      </lineChart>
      <catAx>
        <axId val="10"/>
        <scaling>
          <orientation val="minMax"/>
        </scaling>
        <delete val="1"/>
        <axPos val="b"/>
        <title>
          <tx>
            <rich>
              <a:bodyPr xmlns:a="http://schemas.openxmlformats.org/drawingml/2006/main"/>
              <a:lstStyle xmlns:a="http://schemas.openxmlformats.org/drawingml/2006/main"/>
              <a:p xmlns:a="http://schemas.openxmlformats.org/drawingml/2006/main">
                <a:pPr>
                  <a:defRPr/>
                </a:pPr>
                <a:r>
                  <a:rPr lang="en-US"/>
                  <a:t>Units (all brands)</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en-US"/>
                  <a:t>Unit cost ($)</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Media preference by segment</a:t>
            </a:r>
          </a:p>
        </rich>
      </tx>
      <overlay val="1"/>
    </title>
    <plotArea>
      <layout/>
      <barChart>
        <barDir val="col"/>
        <grouping val="clustered"/>
        <varyColors val="1"/>
        <ser>
          <idx val="0"/>
          <order val="0"/>
          <tx>
            <strRef>
              <f>Media_Preference!$B$5</f>
              <strCache>
                <ptCount val="1"/>
                <pt idx="0">
                  <v>Recreation</v>
                </pt>
              </strCache>
            </strRef>
          </tx>
          <spPr>
            <a:ln xmlns:a="http://schemas.openxmlformats.org/drawingml/2006/main">
              <a:prstDash val="solid"/>
            </a:ln>
          </spPr>
          <invertIfNegative val="1"/>
          <cat>
            <strRef>
              <f>Media_Preference!$A$6:$A$12</f>
              <strCache>
                <ptCount val="7"/>
                <pt idx="0">
                  <v>Leisure &amp; Entertainment</v>
                </pt>
                <pt idx="1">
                  <v>Health &amp; Fitness Magazines</v>
                </pt>
                <pt idx="2">
                  <v>Biking Magazines</v>
                </pt>
                <pt idx="3">
                  <v>Sport Magazines</v>
                </pt>
                <pt idx="4">
                  <v>Business Magazines</v>
                </pt>
                <pt idx="5">
                  <v>New Venture Magazines</v>
                </pt>
                <pt idx="6">
                  <v>General News Magazines</v>
                </pt>
              </strCache>
            </strRef>
          </cat>
          <val>
            <numRef>
              <f>Media_Preference!$B$6:$B$12</f>
              <numCache>
                <formatCode>General</formatCode>
                <ptCount val="7"/>
                <pt idx="0">
                  <v>143</v>
                </pt>
                <pt idx="1">
                  <v>127</v>
                </pt>
                <pt idx="2">
                  <v>51</v>
                </pt>
                <pt idx="3">
                  <v>84</v>
                </pt>
                <pt idx="4">
                  <v>90</v>
                </pt>
                <pt idx="5">
                  <v>81</v>
                </pt>
                <pt idx="6">
                  <v>111</v>
                </pt>
              </numCache>
            </numRef>
          </val>
        </ser>
        <ser>
          <idx val="1"/>
          <order val="1"/>
          <tx>
            <strRef>
              <f>Media_Preference!$C$5</f>
              <strCache>
                <ptCount val="1"/>
                <pt idx="0">
                  <v>Mountain</v>
                </pt>
              </strCache>
            </strRef>
          </tx>
          <spPr>
            <a:ln xmlns:a="http://schemas.openxmlformats.org/drawingml/2006/main">
              <a:prstDash val="solid"/>
            </a:ln>
          </spPr>
          <invertIfNegative val="1"/>
          <cat>
            <strRef>
              <f>Media_Preference!$A$6:$A$12</f>
              <strCache>
                <ptCount val="7"/>
                <pt idx="0">
                  <v>Leisure &amp; Entertainment</v>
                </pt>
                <pt idx="1">
                  <v>Health &amp; Fitness Magazines</v>
                </pt>
                <pt idx="2">
                  <v>Biking Magazines</v>
                </pt>
                <pt idx="3">
                  <v>Sport Magazines</v>
                </pt>
                <pt idx="4">
                  <v>Business Magazines</v>
                </pt>
                <pt idx="5">
                  <v>New Venture Magazines</v>
                </pt>
                <pt idx="6">
                  <v>General News Magazines</v>
                </pt>
              </strCache>
            </strRef>
          </cat>
          <val>
            <numRef>
              <f>Media_Preference!$C$6:$C$12</f>
              <numCache>
                <formatCode>General</formatCode>
                <ptCount val="7"/>
                <pt idx="0">
                  <v>60</v>
                </pt>
                <pt idx="1">
                  <v>104</v>
                </pt>
                <pt idx="2">
                  <v>134</v>
                </pt>
                <pt idx="3">
                  <v>123</v>
                </pt>
                <pt idx="4">
                  <v>93</v>
                </pt>
                <pt idx="5">
                  <v>94</v>
                </pt>
                <pt idx="6">
                  <v>122</v>
                </pt>
              </numCache>
            </numRef>
          </val>
        </ser>
        <ser>
          <idx val="2"/>
          <order val="2"/>
          <tx>
            <strRef>
              <f>Media_Preference!$D$5</f>
              <strCache>
                <ptCount val="1"/>
                <pt idx="0">
                  <v>Speed</v>
                </pt>
              </strCache>
            </strRef>
          </tx>
          <spPr>
            <a:ln xmlns:a="http://schemas.openxmlformats.org/drawingml/2006/main">
              <a:prstDash val="solid"/>
            </a:ln>
          </spPr>
          <invertIfNegative val="1"/>
          <cat>
            <strRef>
              <f>Media_Preference!$A$6:$A$12</f>
              <strCache>
                <ptCount val="7"/>
                <pt idx="0">
                  <v>Leisure &amp; Entertainment</v>
                </pt>
                <pt idx="1">
                  <v>Health &amp; Fitness Magazines</v>
                </pt>
                <pt idx="2">
                  <v>Biking Magazines</v>
                </pt>
                <pt idx="3">
                  <v>Sport Magazines</v>
                </pt>
                <pt idx="4">
                  <v>Business Magazines</v>
                </pt>
                <pt idx="5">
                  <v>New Venture Magazines</v>
                </pt>
                <pt idx="6">
                  <v>General News Magazines</v>
                </pt>
              </strCache>
            </strRef>
          </cat>
          <val>
            <numRef>
              <f>Media_Preference!$D$6:$D$12</f>
              <numCache>
                <formatCode>General</formatCode>
                <ptCount val="7"/>
                <pt idx="0">
                  <v>51</v>
                </pt>
                <pt idx="1">
                  <v>100</v>
                </pt>
                <pt idx="2">
                  <v>133</v>
                </pt>
                <pt idx="3">
                  <v>117</v>
                </pt>
                <pt idx="4">
                  <v>125</v>
                </pt>
                <pt idx="5">
                  <v>114</v>
                </pt>
                <pt idx="6">
                  <v>113</v>
                </pt>
              </numCache>
            </numRef>
          </val>
        </ser>
        <dLbls>
          <showLegendKey val="0"/>
          <showVal val="0"/>
          <showCatName val="0"/>
          <showSerName val="0"/>
          <showPercent val="0"/>
          <showBubbleSize val="0"/>
        </dLbls>
        <gapWidth val="150"/>
        <axId val="10"/>
        <axId val="100"/>
      </barChart>
      <catAx>
        <axId val="10"/>
        <scaling>
          <orientation val="minMax"/>
        </scaling>
        <delete val="1"/>
        <axPos val="b"/>
        <title>
          <tx>
            <rich>
              <a:bodyPr xmlns:a="http://schemas.openxmlformats.org/drawingml/2006/main"/>
              <a:lstStyle xmlns:a="http://schemas.openxmlformats.org/drawingml/2006/main"/>
              <a:p xmlns:a="http://schemas.openxmlformats.org/drawingml/2006/main">
                <a:pPr>
                  <a:defRPr/>
                </a:pPr>
                <a:r>
                  <a:rPr lang="en-US"/>
                  <a:t>Medium</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en-US"/>
                  <a:t>Preference score</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Potential Improvement [%] vs Quarterly Budget</a:t>
            </a:r>
          </a:p>
        </rich>
      </tx>
      <overlay val="1"/>
    </title>
    <plotArea>
      <layout/>
      <lineChart>
        <grouping val="standard"/>
        <varyColors val="1"/>
        <ser>
          <idx val="0"/>
          <order val="0"/>
          <tx>
            <strRef>
              <f>Web_Productivity!$B$20</f>
              <strCache>
                <ptCount val="1"/>
                <pt idx="0">
                  <v>Toll-free phone %</v>
                </pt>
              </strCache>
            </strRef>
          </tx>
          <spPr>
            <a:ln xmlns:a="http://schemas.openxmlformats.org/drawingml/2006/main">
              <a:prstDash val="solid"/>
            </a:ln>
          </spPr>
          <marker>
            <symbol val="none"/>
            <spPr>
              <a:ln xmlns:a="http://schemas.openxmlformats.org/drawingml/2006/main">
                <a:prstDash val="solid"/>
              </a:ln>
            </spPr>
          </marker>
          <cat>
            <numRef>
              <f>Web_Productivity!$A$21:$A$27</f>
              <numCache>
                <formatCode>#,##0</formatCode>
                <ptCount val="7"/>
                <pt idx="0">
                  <v>0</v>
                </pt>
                <pt idx="1">
                  <v>3000</v>
                </pt>
                <pt idx="2">
                  <v>5000</v>
                </pt>
                <pt idx="3">
                  <v>10000</v>
                </pt>
                <pt idx="4">
                  <v>15000</v>
                </pt>
                <pt idx="5">
                  <v>20000</v>
                </pt>
                <pt idx="6">
                  <v>30000</v>
                </pt>
              </numCache>
            </numRef>
          </cat>
          <val>
            <numRef>
              <f>Web_Productivity!$B$21:$B$27</f>
              <numCache>
                <formatCode>0.0%</formatCode>
                <ptCount val="7"/>
                <pt idx="0">
                  <v>0</v>
                </pt>
                <pt idx="1">
                  <v>0.31</v>
                </pt>
                <pt idx="2">
                  <v>0.35</v>
                </pt>
                <pt idx="3">
                  <v>0.415</v>
                </pt>
                <pt idx="4">
                  <v>0.44</v>
                </pt>
                <pt idx="5">
                  <v>0.45</v>
                </pt>
                <pt idx="6">
                  <v>0.465</v>
                </pt>
              </numCache>
            </numRef>
          </val>
          <smooth val="1"/>
        </ser>
        <ser>
          <idx val="1"/>
          <order val="1"/>
          <tx>
            <strRef>
              <f>Web_Productivity!$C$20</f>
              <strCache>
                <ptCount val="1"/>
                <pt idx="0">
                  <v>Page upgrades %</v>
                </pt>
              </strCache>
            </strRef>
          </tx>
          <spPr>
            <a:ln xmlns:a="http://schemas.openxmlformats.org/drawingml/2006/main">
              <a:prstDash val="solid"/>
            </a:ln>
          </spPr>
          <marker>
            <symbol val="none"/>
            <spPr>
              <a:ln xmlns:a="http://schemas.openxmlformats.org/drawingml/2006/main">
                <a:prstDash val="solid"/>
              </a:ln>
            </spPr>
          </marker>
          <cat>
            <numRef>
              <f>Web_Productivity!$A$21:$A$27</f>
              <numCache>
                <formatCode>#,##0</formatCode>
                <ptCount val="7"/>
                <pt idx="0">
                  <v>0</v>
                </pt>
                <pt idx="1">
                  <v>3000</v>
                </pt>
                <pt idx="2">
                  <v>5000</v>
                </pt>
                <pt idx="3">
                  <v>10000</v>
                </pt>
                <pt idx="4">
                  <v>15000</v>
                </pt>
                <pt idx="5">
                  <v>20000</v>
                </pt>
                <pt idx="6">
                  <v>30000</v>
                </pt>
              </numCache>
            </numRef>
          </cat>
          <val>
            <numRef>
              <f>Web_Productivity!$C$21:$C$27</f>
              <numCache>
                <formatCode>0.0%</formatCode>
                <ptCount val="7"/>
                <pt idx="0">
                  <v>0</v>
                </pt>
                <pt idx="1">
                  <v>0.16</v>
                </pt>
                <pt idx="2">
                  <v>0.185</v>
                </pt>
                <pt idx="3">
                  <v>0.235</v>
                </pt>
                <pt idx="4">
                  <v>0.26</v>
                </pt>
                <pt idx="5">
                  <v>0.275</v>
                </pt>
                <pt idx="6">
                  <v>0.295</v>
                </pt>
              </numCache>
            </numRef>
          </val>
          <smooth val="1"/>
        </ser>
        <dLbls>
          <showLegendKey val="0"/>
          <showVal val="0"/>
          <showCatName val="0"/>
          <showSerName val="0"/>
          <showPercent val="0"/>
          <showBubbleSize val="0"/>
        </dLbls>
        <smooth val="0"/>
        <axId val="10"/>
        <axId val="100"/>
      </lineChart>
      <catAx>
        <axId val="10"/>
        <scaling>
          <orientation val="minMax"/>
        </scaling>
        <delete val="1"/>
        <axPos val="b"/>
        <title>
          <tx>
            <rich>
              <a:bodyPr xmlns:a="http://schemas.openxmlformats.org/drawingml/2006/main"/>
              <a:lstStyle xmlns:a="http://schemas.openxmlformats.org/drawingml/2006/main"/>
              <a:p xmlns:a="http://schemas.openxmlformats.org/drawingml/2006/main">
                <a:pPr>
                  <a:defRPr/>
                </a:pPr>
                <a:r>
                  <a:rPr lang="en-US"/>
                  <a:t>Quarterly Budget</a:t>
                </a:r>
              </a:p>
            </rich>
          </tx>
          <overlay val="1"/>
        </title>
        <numFmt formatCode="#,##0"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en-US"/>
                  <a:t>Potential Improvement %</a:t>
                </a:r>
              </a:p>
            </rich>
          </tx>
          <overlay val="1"/>
        </title>
        <numFmt formatCode="0.0%" sourceLinked="1"/>
        <majorTickMark val="none"/>
        <minorTickMark val="none"/>
        <tickLblPos val="nextTo"/>
        <crossAx val="10"/>
        <crosses val="autoZero"/>
        <crossBetween val="between"/>
      </valAx>
    </plotArea>
    <legend>
      <legendPos val="r"/>
      <overlay val="1"/>
    </legend>
    <plotVisOnly val="1"/>
    <dispBlanksAs val="gap"/>
  </chart>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Importance of Further Improvement</a:t>
            </a:r>
          </a:p>
        </rich>
      </tx>
      <overlay val="1"/>
    </title>
    <plotArea>
      <layout/>
      <barChart>
        <barDir val="col"/>
        <grouping val="clustered"/>
        <varyColors val="1"/>
        <ser>
          <idx val="0"/>
          <order val="0"/>
          <tx>
            <strRef>
              <f>Comp_Industry!$B$67</f>
              <strCache>
                <ptCount val="1"/>
                <pt idx="0">
                  <v>Industry Importance</v>
                </pt>
              </strCache>
            </strRef>
          </tx>
          <spPr>
            <a:ln xmlns:a="http://schemas.openxmlformats.org/drawingml/2006/main">
              <a:prstDash val="solid"/>
            </a:ln>
          </spPr>
          <invertIfNegative val="1"/>
          <cat>
            <strRef>
              <f>Comp_Industry!$A$68:$A$71</f>
              <strCache>
                <ptCount val="4"/>
                <pt idx="0">
                  <v>Salary</v>
                </pt>
                <pt idx="1">
                  <v>Health Benefits</v>
                </pt>
                <pt idx="2">
                  <v>Vacation</v>
                </pt>
                <pt idx="3">
                  <v>Pension</v>
                </pt>
              </strCache>
            </strRef>
          </cat>
          <val>
            <numRef>
              <f>Comp_Industry!$B$68:$B$71</f>
              <numCache>
                <formatCode>General</formatCode>
                <ptCount val="4"/>
                <pt idx="0">
                  <v>87</v>
                </pt>
                <pt idx="1">
                  <v>84</v>
                </pt>
                <pt idx="2">
                  <v>72</v>
                </pt>
                <pt idx="3">
                  <v>70</v>
                </pt>
              </numCache>
            </numRef>
          </val>
        </ser>
        <dLbls>
          <showLegendKey val="0"/>
          <showVal val="0"/>
          <showCatName val="0"/>
          <showSerName val="0"/>
          <showPercent val="0"/>
          <showBubbleSize val="0"/>
        </dLbls>
        <gapWidth val="150"/>
        <axId val="10"/>
        <axId val="100"/>
      </barChart>
      <catAx>
        <axId val="10"/>
        <scaling>
          <orientation val="minMax"/>
        </scaling>
        <delete val="1"/>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en-US"/>
                  <a:t>Importance</a:t>
                </a:r>
              </a:p>
            </rich>
          </tx>
          <overlay val="1"/>
        </title>
        <numFmt formatCode="General" sourceLinked="1"/>
        <majorTickMark val="none"/>
        <minorTickMark val="none"/>
        <tickLblPos val="nextTo"/>
        <crossAx val="10"/>
        <crosses val="autoZero"/>
        <crossBetween val="between"/>
      </valAx>
    </plotArea>
    <legend>
      <legendPos val="r"/>
      <overlay val="0"/>
    </legend>
    <plotVisOnly val="1"/>
    <dispBlanksAs val="gap"/>
  </chart>
</chartSpace>
</file>

<file path=xl/charts/chart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Our Planning Weights over Time</a:t>
            </a:r>
          </a:p>
        </rich>
      </tx>
      <overlay val="1"/>
    </title>
    <plotArea>
      <layout/>
      <lineChart>
        <grouping val="standard"/>
        <varyColors val="1"/>
        <ser>
          <idx val="0"/>
          <order val="0"/>
          <tx>
            <strRef>
              <f>Comp_Industry!$B$124</f>
              <strCache>
                <ptCount val="1"/>
                <pt idx="0">
                  <v>Salary</v>
                </pt>
              </strCache>
            </strRef>
          </tx>
          <spPr>
            <a:ln xmlns:a="http://schemas.openxmlformats.org/drawingml/2006/main">
              <a:prstDash val="solid"/>
            </a:ln>
          </spPr>
          <marker>
            <symbol val="none"/>
            <spPr>
              <a:ln xmlns:a="http://schemas.openxmlformats.org/drawingml/2006/main">
                <a:prstDash val="solid"/>
              </a:ln>
            </spPr>
          </marker>
          <cat>
            <strRef>
              <f>Comp_Industry!$A$125:$A$130</f>
              <strCache>
                <ptCount val="6"/>
                <pt idx="0">
                  <v>Q1</v>
                </pt>
                <pt idx="1">
                  <v>Q2 (current)</v>
                </pt>
                <pt idx="2">
                  <v>Q3</v>
                </pt>
                <pt idx="3">
                  <v>Q4</v>
                </pt>
                <pt idx="4">
                  <v>Q5</v>
                </pt>
                <pt idx="5">
                  <v>Q6</v>
                </pt>
              </strCache>
            </strRef>
          </cat>
          <val>
            <numRef>
              <f>Comp_Industry!$B$125:$B$130</f>
              <numCache>
                <formatCode>General</formatCode>
                <ptCount val="6"/>
                <pt idx="1">
                  <v>87</v>
                </pt>
              </numCache>
            </numRef>
          </val>
          <smooth val="1"/>
        </ser>
        <ser>
          <idx val="1"/>
          <order val="1"/>
          <tx>
            <strRef>
              <f>Comp_Industry!$C$124</f>
              <strCache>
                <ptCount val="1"/>
                <pt idx="0">
                  <v>Health</v>
                </pt>
              </strCache>
            </strRef>
          </tx>
          <spPr>
            <a:ln xmlns:a="http://schemas.openxmlformats.org/drawingml/2006/main">
              <a:prstDash val="solid"/>
            </a:ln>
          </spPr>
          <marker>
            <symbol val="none"/>
            <spPr>
              <a:ln xmlns:a="http://schemas.openxmlformats.org/drawingml/2006/main">
                <a:prstDash val="solid"/>
              </a:ln>
            </spPr>
          </marker>
          <cat>
            <strRef>
              <f>Comp_Industry!$A$125:$A$130</f>
              <strCache>
                <ptCount val="6"/>
                <pt idx="0">
                  <v>Q1</v>
                </pt>
                <pt idx="1">
                  <v>Q2 (current)</v>
                </pt>
                <pt idx="2">
                  <v>Q3</v>
                </pt>
                <pt idx="3">
                  <v>Q4</v>
                </pt>
                <pt idx="4">
                  <v>Q5</v>
                </pt>
                <pt idx="5">
                  <v>Q6</v>
                </pt>
              </strCache>
            </strRef>
          </cat>
          <val>
            <numRef>
              <f>Comp_Industry!$C$125:$C$130</f>
              <numCache>
                <formatCode>General</formatCode>
                <ptCount val="6"/>
                <pt idx="1">
                  <v>84</v>
                </pt>
              </numCache>
            </numRef>
          </val>
          <smooth val="1"/>
        </ser>
        <ser>
          <idx val="2"/>
          <order val="2"/>
          <tx>
            <strRef>
              <f>Comp_Industry!$D$124</f>
              <strCache>
                <ptCount val="1"/>
                <pt idx="0">
                  <v>Vacation</v>
                </pt>
              </strCache>
            </strRef>
          </tx>
          <spPr>
            <a:ln xmlns:a="http://schemas.openxmlformats.org/drawingml/2006/main">
              <a:prstDash val="solid"/>
            </a:ln>
          </spPr>
          <marker>
            <symbol val="none"/>
            <spPr>
              <a:ln xmlns:a="http://schemas.openxmlformats.org/drawingml/2006/main">
                <a:prstDash val="solid"/>
              </a:ln>
            </spPr>
          </marker>
          <cat>
            <strRef>
              <f>Comp_Industry!$A$125:$A$130</f>
              <strCache>
                <ptCount val="6"/>
                <pt idx="0">
                  <v>Q1</v>
                </pt>
                <pt idx="1">
                  <v>Q2 (current)</v>
                </pt>
                <pt idx="2">
                  <v>Q3</v>
                </pt>
                <pt idx="3">
                  <v>Q4</v>
                </pt>
                <pt idx="4">
                  <v>Q5</v>
                </pt>
                <pt idx="5">
                  <v>Q6</v>
                </pt>
              </strCache>
            </strRef>
          </cat>
          <val>
            <numRef>
              <f>Comp_Industry!$D$125:$D$130</f>
              <numCache>
                <formatCode>General</formatCode>
                <ptCount val="6"/>
                <pt idx="1">
                  <v>72</v>
                </pt>
              </numCache>
            </numRef>
          </val>
          <smooth val="1"/>
        </ser>
        <ser>
          <idx val="3"/>
          <order val="3"/>
          <tx>
            <strRef>
              <f>Comp_Industry!$E$124</f>
              <strCache>
                <ptCount val="1"/>
                <pt idx="0">
                  <v>Pension</v>
                </pt>
              </strCache>
            </strRef>
          </tx>
          <spPr>
            <a:ln xmlns:a="http://schemas.openxmlformats.org/drawingml/2006/main">
              <a:prstDash val="solid"/>
            </a:ln>
          </spPr>
          <marker>
            <symbol val="none"/>
            <spPr>
              <a:ln xmlns:a="http://schemas.openxmlformats.org/drawingml/2006/main">
                <a:prstDash val="solid"/>
              </a:ln>
            </spPr>
          </marker>
          <cat>
            <strRef>
              <f>Comp_Industry!$A$125:$A$130</f>
              <strCache>
                <ptCount val="6"/>
                <pt idx="0">
                  <v>Q1</v>
                </pt>
                <pt idx="1">
                  <v>Q2 (current)</v>
                </pt>
                <pt idx="2">
                  <v>Q3</v>
                </pt>
                <pt idx="3">
                  <v>Q4</v>
                </pt>
                <pt idx="4">
                  <v>Q5</v>
                </pt>
                <pt idx="5">
                  <v>Q6</v>
                </pt>
              </strCache>
            </strRef>
          </cat>
          <val>
            <numRef>
              <f>Comp_Industry!$E$125:$E$130</f>
              <numCache>
                <formatCode>General</formatCode>
                <ptCount val="6"/>
                <pt idx="1">
                  <v>70</v>
                </pt>
              </numCache>
            </numRef>
          </val>
          <smooth val="1"/>
        </ser>
        <dLbls>
          <showLegendKey val="0"/>
          <showVal val="0"/>
          <showCatName val="0"/>
          <showSerName val="0"/>
          <showPercent val="0"/>
          <showBubbleSize val="0"/>
        </dLbls>
        <smooth val="0"/>
        <axId val="10"/>
        <axId val="100"/>
      </lineChart>
      <catAx>
        <axId val="10"/>
        <scaling>
          <orientation val="minMax"/>
        </scaling>
        <delete val="1"/>
        <axPos val="b"/>
        <title>
          <tx>
            <rich>
              <a:bodyPr xmlns:a="http://schemas.openxmlformats.org/drawingml/2006/main"/>
              <a:lstStyle xmlns:a="http://schemas.openxmlformats.org/drawingml/2006/main"/>
              <a:p xmlns:a="http://schemas.openxmlformats.org/drawingml/2006/main">
                <a:pPr>
                  <a:defRPr/>
                </a:pPr>
                <a:r>
                  <a:rPr lang="en-US"/>
                  <a:t>Quarter</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en-US"/>
                  <a:t>Weight</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Industry Importance over Time</a:t>
            </a:r>
          </a:p>
        </rich>
      </tx>
      <overlay val="1"/>
    </title>
    <plotArea>
      <layout/>
      <lineChart>
        <grouping val="standard"/>
        <varyColors val="1"/>
        <ser>
          <idx val="0"/>
          <order val="0"/>
          <tx>
            <strRef>
              <f>Comp_Industry!$B$133</f>
              <strCache>
                <ptCount val="1"/>
                <pt idx="0">
                  <v>Salary</v>
                </pt>
              </strCache>
            </strRef>
          </tx>
          <spPr>
            <a:ln xmlns:a="http://schemas.openxmlformats.org/drawingml/2006/main">
              <a:prstDash val="solid"/>
            </a:ln>
          </spPr>
          <marker>
            <symbol val="none"/>
            <spPr>
              <a:ln xmlns:a="http://schemas.openxmlformats.org/drawingml/2006/main">
                <a:prstDash val="solid"/>
              </a:ln>
            </spPr>
          </marker>
          <cat>
            <strRef>
              <f>Comp_Industry!$A$134:$A$139</f>
              <strCache>
                <ptCount val="6"/>
                <pt idx="0">
                  <v>Q1</v>
                </pt>
                <pt idx="1">
                  <v>Q2 (current)</v>
                </pt>
                <pt idx="2">
                  <v>Q3</v>
                </pt>
                <pt idx="3">
                  <v>Q4</v>
                </pt>
                <pt idx="4">
                  <v>Q5</v>
                </pt>
                <pt idx="5">
                  <v>Q6</v>
                </pt>
              </strCache>
            </strRef>
          </cat>
          <val>
            <numRef>
              <f>Comp_Industry!$B$134:$B$139</f>
              <numCache>
                <formatCode>General</formatCode>
                <ptCount val="6"/>
                <pt idx="0">
                  <v>87</v>
                </pt>
                <pt idx="1">
                  <v>87</v>
                </pt>
              </numCache>
            </numRef>
          </val>
          <smooth val="1"/>
        </ser>
        <ser>
          <idx val="1"/>
          <order val="1"/>
          <tx>
            <strRef>
              <f>Comp_Industry!$C$133</f>
              <strCache>
                <ptCount val="1"/>
                <pt idx="0">
                  <v>Health</v>
                </pt>
              </strCache>
            </strRef>
          </tx>
          <spPr>
            <a:ln xmlns:a="http://schemas.openxmlformats.org/drawingml/2006/main">
              <a:prstDash val="solid"/>
            </a:ln>
          </spPr>
          <marker>
            <symbol val="none"/>
            <spPr>
              <a:ln xmlns:a="http://schemas.openxmlformats.org/drawingml/2006/main">
                <a:prstDash val="solid"/>
              </a:ln>
            </spPr>
          </marker>
          <cat>
            <strRef>
              <f>Comp_Industry!$A$134:$A$139</f>
              <strCache>
                <ptCount val="6"/>
                <pt idx="0">
                  <v>Q1</v>
                </pt>
                <pt idx="1">
                  <v>Q2 (current)</v>
                </pt>
                <pt idx="2">
                  <v>Q3</v>
                </pt>
                <pt idx="3">
                  <v>Q4</v>
                </pt>
                <pt idx="4">
                  <v>Q5</v>
                </pt>
                <pt idx="5">
                  <v>Q6</v>
                </pt>
              </strCache>
            </strRef>
          </cat>
          <val>
            <numRef>
              <f>Comp_Industry!$C$134:$C$139</f>
              <numCache>
                <formatCode>General</formatCode>
                <ptCount val="6"/>
                <pt idx="0">
                  <v>84</v>
                </pt>
                <pt idx="1">
                  <v>84</v>
                </pt>
              </numCache>
            </numRef>
          </val>
          <smooth val="1"/>
        </ser>
        <ser>
          <idx val="2"/>
          <order val="2"/>
          <tx>
            <strRef>
              <f>Comp_Industry!$D$133</f>
              <strCache>
                <ptCount val="1"/>
                <pt idx="0">
                  <v>Vacation</v>
                </pt>
              </strCache>
            </strRef>
          </tx>
          <spPr>
            <a:ln xmlns:a="http://schemas.openxmlformats.org/drawingml/2006/main">
              <a:prstDash val="solid"/>
            </a:ln>
          </spPr>
          <marker>
            <symbol val="none"/>
            <spPr>
              <a:ln xmlns:a="http://schemas.openxmlformats.org/drawingml/2006/main">
                <a:prstDash val="solid"/>
              </a:ln>
            </spPr>
          </marker>
          <cat>
            <strRef>
              <f>Comp_Industry!$A$134:$A$139</f>
              <strCache>
                <ptCount val="6"/>
                <pt idx="0">
                  <v>Q1</v>
                </pt>
                <pt idx="1">
                  <v>Q2 (current)</v>
                </pt>
                <pt idx="2">
                  <v>Q3</v>
                </pt>
                <pt idx="3">
                  <v>Q4</v>
                </pt>
                <pt idx="4">
                  <v>Q5</v>
                </pt>
                <pt idx="5">
                  <v>Q6</v>
                </pt>
              </strCache>
            </strRef>
          </cat>
          <val>
            <numRef>
              <f>Comp_Industry!$D$134:$D$139</f>
              <numCache>
                <formatCode>General</formatCode>
                <ptCount val="6"/>
                <pt idx="0">
                  <v>72</v>
                </pt>
                <pt idx="1">
                  <v>72</v>
                </pt>
              </numCache>
            </numRef>
          </val>
          <smooth val="1"/>
        </ser>
        <ser>
          <idx val="3"/>
          <order val="3"/>
          <tx>
            <strRef>
              <f>Comp_Industry!$E$133</f>
              <strCache>
                <ptCount val="1"/>
                <pt idx="0">
                  <v>Pension</v>
                </pt>
              </strCache>
            </strRef>
          </tx>
          <spPr>
            <a:ln xmlns:a="http://schemas.openxmlformats.org/drawingml/2006/main">
              <a:prstDash val="solid"/>
            </a:ln>
          </spPr>
          <marker>
            <symbol val="none"/>
            <spPr>
              <a:ln xmlns:a="http://schemas.openxmlformats.org/drawingml/2006/main">
                <a:prstDash val="solid"/>
              </a:ln>
            </spPr>
          </marker>
          <cat>
            <strRef>
              <f>Comp_Industry!$A$134:$A$139</f>
              <strCache>
                <ptCount val="6"/>
                <pt idx="0">
                  <v>Q1</v>
                </pt>
                <pt idx="1">
                  <v>Q2 (current)</v>
                </pt>
                <pt idx="2">
                  <v>Q3</v>
                </pt>
                <pt idx="3">
                  <v>Q4</v>
                </pt>
                <pt idx="4">
                  <v>Q5</v>
                </pt>
                <pt idx="5">
                  <v>Q6</v>
                </pt>
              </strCache>
            </strRef>
          </cat>
          <val>
            <numRef>
              <f>Comp_Industry!$E$134:$E$139</f>
              <numCache>
                <formatCode>General</formatCode>
                <ptCount val="6"/>
                <pt idx="0">
                  <v>70</v>
                </pt>
                <pt idx="1">
                  <v>70</v>
                </pt>
              </numCache>
            </numRef>
          </val>
          <smooth val="1"/>
        </ser>
        <dLbls>
          <showLegendKey val="0"/>
          <showVal val="0"/>
          <showCatName val="0"/>
          <showSerName val="0"/>
          <showPercent val="0"/>
          <showBubbleSize val="0"/>
        </dLbls>
        <smooth val="0"/>
        <axId val="10"/>
        <axId val="100"/>
      </lineChart>
      <catAx>
        <axId val="10"/>
        <scaling>
          <orientation val="minMax"/>
        </scaling>
        <delete val="1"/>
        <axPos val="b"/>
        <title>
          <tx>
            <rich>
              <a:bodyPr xmlns:a="http://schemas.openxmlformats.org/drawingml/2006/main"/>
              <a:lstStyle xmlns:a="http://schemas.openxmlformats.org/drawingml/2006/main"/>
              <a:p xmlns:a="http://schemas.openxmlformats.org/drawingml/2006/main">
                <a:pPr>
                  <a:defRPr/>
                </a:pPr>
                <a:r>
                  <a:rPr lang="en-US"/>
                  <a:t>Quarter</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en-US"/>
                  <a:t>Importance</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Package Value Index over Time</a:t>
            </a:r>
          </a:p>
        </rich>
      </tx>
      <overlay val="1"/>
    </title>
    <plotArea>
      <layout/>
      <lineChart>
        <grouping val="standard"/>
        <varyColors val="1"/>
        <ser>
          <idx val="0"/>
          <order val="0"/>
          <tx>
            <strRef>
              <f>Comp_Industry!$B$142</f>
              <strCache>
                <ptCount val="1"/>
                <pt idx="0">
                  <v>Sales Value Index</v>
                </pt>
              </strCache>
            </strRef>
          </tx>
          <spPr>
            <a:ln xmlns:a="http://schemas.openxmlformats.org/drawingml/2006/main">
              <a:prstDash val="solid"/>
            </a:ln>
          </spPr>
          <marker>
            <symbol val="none"/>
            <spPr>
              <a:ln xmlns:a="http://schemas.openxmlformats.org/drawingml/2006/main">
                <a:prstDash val="solid"/>
              </a:ln>
            </spPr>
          </marker>
          <cat>
            <strRef>
              <f>Comp_Industry!$A$143:$A$148</f>
              <strCache>
                <ptCount val="6"/>
                <pt idx="0">
                  <v>Q1</v>
                </pt>
                <pt idx="1">
                  <v>Q2 (current)</v>
                </pt>
                <pt idx="2">
                  <v>Q3</v>
                </pt>
                <pt idx="3">
                  <v>Q4</v>
                </pt>
                <pt idx="4">
                  <v>Q5</v>
                </pt>
                <pt idx="5">
                  <v>Q6</v>
                </pt>
              </strCache>
            </strRef>
          </cat>
          <val>
            <numRef>
              <f>Comp_Industry!$B$143:$B$148</f>
              <numCache>
                <formatCode>0.00</formatCode>
                <ptCount val="6"/>
                <pt idx="1">
                  <v>0</v>
                </pt>
              </numCache>
            </numRef>
          </val>
          <smooth val="1"/>
        </ser>
        <ser>
          <idx val="1"/>
          <order val="1"/>
          <tx>
            <strRef>
              <f>Comp_Industry!$C$142</f>
              <strCache>
                <ptCount val="1"/>
                <pt idx="0">
                  <v>Prod Value Index</v>
                </pt>
              </strCache>
            </strRef>
          </tx>
          <spPr>
            <a:ln xmlns:a="http://schemas.openxmlformats.org/drawingml/2006/main">
              <a:prstDash val="solid"/>
            </a:ln>
          </spPr>
          <marker>
            <symbol val="none"/>
            <spPr>
              <a:ln xmlns:a="http://schemas.openxmlformats.org/drawingml/2006/main">
                <a:prstDash val="solid"/>
              </a:ln>
            </spPr>
          </marker>
          <cat>
            <strRef>
              <f>Comp_Industry!$A$143:$A$148</f>
              <strCache>
                <ptCount val="6"/>
                <pt idx="0">
                  <v>Q1</v>
                </pt>
                <pt idx="1">
                  <v>Q2 (current)</v>
                </pt>
                <pt idx="2">
                  <v>Q3</v>
                </pt>
                <pt idx="3">
                  <v>Q4</v>
                </pt>
                <pt idx="4">
                  <v>Q5</v>
                </pt>
                <pt idx="5">
                  <v>Q6</v>
                </pt>
              </strCache>
            </strRef>
          </cat>
          <val>
            <numRef>
              <f>Comp_Industry!$C$143:$C$148</f>
              <numCache>
                <formatCode>0.00</formatCode>
                <ptCount val="6"/>
                <pt idx="1">
                  <v>0</v>
                </pt>
              </numCache>
            </numRef>
          </val>
          <smooth val="1"/>
        </ser>
        <dLbls>
          <showLegendKey val="0"/>
          <showVal val="0"/>
          <showCatName val="0"/>
          <showSerName val="0"/>
          <showPercent val="0"/>
          <showBubbleSize val="0"/>
        </dLbls>
        <smooth val="0"/>
        <axId val="10"/>
        <axId val="100"/>
      </lineChart>
      <catAx>
        <axId val="10"/>
        <scaling>
          <orientation val="minMax"/>
        </scaling>
        <delete val="1"/>
        <axPos val="b"/>
        <title>
          <tx>
            <rich>
              <a:bodyPr xmlns:a="http://schemas.openxmlformats.org/drawingml/2006/main"/>
              <a:lstStyle xmlns:a="http://schemas.openxmlformats.org/drawingml/2006/main"/>
              <a:p xmlns:a="http://schemas.openxmlformats.org/drawingml/2006/main">
                <a:pPr>
                  <a:defRPr/>
                </a:pPr>
                <a:r>
                  <a:rPr lang="en-US"/>
                  <a:t>Quarter</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en-US"/>
                  <a:t>Value Index</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1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Estimated Productivity over Time</a:t>
            </a:r>
          </a:p>
        </rich>
      </tx>
      <overlay val="1"/>
    </title>
    <plotArea>
      <layout/>
      <lineChart>
        <grouping val="standard"/>
        <varyColors val="1"/>
        <ser>
          <idx val="0"/>
          <order val="0"/>
          <tx>
            <strRef>
              <f>Comp_Industry!$F$142</f>
              <strCache>
                <ptCount val="1"/>
                <pt idx="0">
                  <v>Sales prod %</v>
                </pt>
              </strCache>
            </strRef>
          </tx>
          <spPr>
            <a:ln xmlns:a="http://schemas.openxmlformats.org/drawingml/2006/main">
              <a:prstDash val="solid"/>
            </a:ln>
          </spPr>
          <marker>
            <symbol val="none"/>
            <spPr>
              <a:ln xmlns:a="http://schemas.openxmlformats.org/drawingml/2006/main">
                <a:prstDash val="solid"/>
              </a:ln>
            </spPr>
          </marker>
          <cat>
            <strRef>
              <f>Comp_Industry!$A$143:$A$148</f>
              <strCache>
                <ptCount val="6"/>
                <pt idx="0">
                  <v>Q1</v>
                </pt>
                <pt idx="1">
                  <v>Q2 (current)</v>
                </pt>
                <pt idx="2">
                  <v>Q3</v>
                </pt>
                <pt idx="3">
                  <v>Q4</v>
                </pt>
                <pt idx="4">
                  <v>Q5</v>
                </pt>
                <pt idx="5">
                  <v>Q6</v>
                </pt>
              </strCache>
            </strRef>
          </cat>
          <val>
            <numRef>
              <f>Comp_Industry!$F$143:$F$148</f>
              <numCache>
                <formatCode>0.0%</formatCode>
                <ptCount val="6"/>
                <pt idx="1">
                  <v>0.7</v>
                </pt>
              </numCache>
            </numRef>
          </val>
          <smooth val="1"/>
        </ser>
        <ser>
          <idx val="1"/>
          <order val="1"/>
          <tx>
            <strRef>
              <f>Comp_Industry!$G$142</f>
              <strCache>
                <ptCount val="1"/>
                <pt idx="0">
                  <v>Prod prod %</v>
                </pt>
              </strCache>
            </strRef>
          </tx>
          <spPr>
            <a:ln xmlns:a="http://schemas.openxmlformats.org/drawingml/2006/main">
              <a:prstDash val="solid"/>
            </a:ln>
          </spPr>
          <marker>
            <symbol val="none"/>
            <spPr>
              <a:ln xmlns:a="http://schemas.openxmlformats.org/drawingml/2006/main">
                <a:prstDash val="solid"/>
              </a:ln>
            </spPr>
          </marker>
          <cat>
            <strRef>
              <f>Comp_Industry!$A$143:$A$148</f>
              <strCache>
                <ptCount val="6"/>
                <pt idx="0">
                  <v>Q1</v>
                </pt>
                <pt idx="1">
                  <v>Q2 (current)</v>
                </pt>
                <pt idx="2">
                  <v>Q3</v>
                </pt>
                <pt idx="3">
                  <v>Q4</v>
                </pt>
                <pt idx="4">
                  <v>Q5</v>
                </pt>
                <pt idx="5">
                  <v>Q6</v>
                </pt>
              </strCache>
            </strRef>
          </cat>
          <val>
            <numRef>
              <f>Comp_Industry!$G$143:$G$148</f>
              <numCache>
                <formatCode>0.0%</formatCode>
                <ptCount val="6"/>
                <pt idx="1">
                  <v>0.7</v>
                </pt>
              </numCache>
            </numRef>
          </val>
          <smooth val="1"/>
        </ser>
        <dLbls>
          <showLegendKey val="0"/>
          <showVal val="0"/>
          <showCatName val="0"/>
          <showSerName val="0"/>
          <showPercent val="0"/>
          <showBubbleSize val="0"/>
        </dLbls>
        <smooth val="0"/>
        <axId val="10"/>
        <axId val="100"/>
      </lineChart>
      <catAx>
        <axId val="10"/>
        <scaling>
          <orientation val="minMax"/>
        </scaling>
        <delete val="1"/>
        <axPos val="b"/>
        <title>
          <tx>
            <rich>
              <a:bodyPr xmlns:a="http://schemas.openxmlformats.org/drawingml/2006/main"/>
              <a:lstStyle xmlns:a="http://schemas.openxmlformats.org/drawingml/2006/main"/>
              <a:p xmlns:a="http://schemas.openxmlformats.org/drawingml/2006/main">
                <a:pPr>
                  <a:defRPr/>
                </a:pPr>
                <a:r>
                  <a:rPr lang="en-US"/>
                  <a:t>Quarter</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en-US"/>
                  <a:t>Productivity %</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1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Industry vs Our Weights (current)</a:t>
            </a:r>
          </a:p>
        </rich>
      </tx>
      <overlay val="1"/>
    </title>
    <plotArea>
      <layout/>
      <barChart>
        <barDir val="col"/>
        <grouping val="clustered"/>
        <varyColors val="1"/>
        <ser>
          <idx val="0"/>
          <order val="0"/>
          <tx>
            <strRef>
              <f>Comp_Industry!$B$153</f>
              <strCache>
                <ptCount val="1"/>
                <pt idx="0">
                  <v>Industry</v>
                </pt>
              </strCache>
            </strRef>
          </tx>
          <spPr>
            <a:ln xmlns:a="http://schemas.openxmlformats.org/drawingml/2006/main">
              <a:prstDash val="solid"/>
            </a:ln>
          </spPr>
          <invertIfNegative val="1"/>
          <cat>
            <strRef>
              <f>Comp_Industry!$A$154:$A$157</f>
              <strCache>
                <ptCount val="4"/>
                <pt idx="0">
                  <v>Salary</v>
                </pt>
                <pt idx="1">
                  <v>Health Benefits</v>
                </pt>
                <pt idx="2">
                  <v>Vacation</v>
                </pt>
                <pt idx="3">
                  <v>Pension</v>
                </pt>
              </strCache>
            </strRef>
          </cat>
          <val>
            <numRef>
              <f>Comp_Industry!$B$154:$B$157</f>
              <numCache>
                <formatCode>General</formatCode>
                <ptCount val="4"/>
                <pt idx="0">
                  <v>87</v>
                </pt>
                <pt idx="1">
                  <v>84</v>
                </pt>
                <pt idx="2">
                  <v>72</v>
                </pt>
                <pt idx="3">
                  <v>70</v>
                </pt>
              </numCache>
            </numRef>
          </val>
        </ser>
        <ser>
          <idx val="1"/>
          <order val="1"/>
          <tx>
            <strRef>
              <f>Comp_Industry!$C$153</f>
              <strCache>
                <ptCount val="1"/>
                <pt idx="0">
                  <v>Our</v>
                </pt>
              </strCache>
            </strRef>
          </tx>
          <spPr>
            <a:ln xmlns:a="http://schemas.openxmlformats.org/drawingml/2006/main">
              <a:prstDash val="solid"/>
            </a:ln>
          </spPr>
          <invertIfNegative val="1"/>
          <cat>
            <strRef>
              <f>Comp_Industry!$A$154:$A$157</f>
              <strCache>
                <ptCount val="4"/>
                <pt idx="0">
                  <v>Salary</v>
                </pt>
                <pt idx="1">
                  <v>Health Benefits</v>
                </pt>
                <pt idx="2">
                  <v>Vacation</v>
                </pt>
                <pt idx="3">
                  <v>Pension</v>
                </pt>
              </strCache>
            </strRef>
          </cat>
          <val>
            <numRef>
              <f>Comp_Industry!$C$154:$C$157</f>
              <numCache>
                <formatCode>General</formatCode>
                <ptCount val="4"/>
                <pt idx="0">
                  <v>87</v>
                </pt>
                <pt idx="1">
                  <v>84</v>
                </pt>
                <pt idx="2">
                  <v>72</v>
                </pt>
                <pt idx="3">
                  <v>70</v>
                </pt>
              </numCache>
            </numRef>
          </val>
        </ser>
        <dLbls>
          <showLegendKey val="0"/>
          <showVal val="0"/>
          <showCatName val="0"/>
          <showSerName val="0"/>
          <showPercent val="0"/>
          <showBubbleSize val="0"/>
        </dLbls>
        <gapWidth val="150"/>
        <axId val="10"/>
        <axId val="100"/>
      </barChart>
      <catAx>
        <axId val="10"/>
        <scaling>
          <orientation val="minMax"/>
        </scaling>
        <delete val="1"/>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en-US"/>
                  <a:t>Weight</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s>
</file>

<file path=xl/drawings/_rels/drawing5.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 Type="http://schemas.openxmlformats.org/officeDocument/2006/relationships/chart" Target="/xl/charts/chart8.xml" Id="rId3"/><Relationship Type="http://schemas.openxmlformats.org/officeDocument/2006/relationships/chart" Target="/xl/charts/chart9.xml" Id="rId4"/><Relationship Type="http://schemas.openxmlformats.org/officeDocument/2006/relationships/chart" Target="/xl/charts/chart10.xml" Id="rId5"/><Relationship Type="http://schemas.openxmlformats.org/officeDocument/2006/relationships/chart" Target="/xl/charts/chart11.xml" Id="rId6"/></Relationships>
</file>

<file path=xl/drawings/drawing1.xml><?xml version="1.0" encoding="utf-8"?>
<wsDr xmlns="http://schemas.openxmlformats.org/drawingml/2006/spreadsheetDrawing">
  <oneCellAnchor>
    <from>
      <col>5</col>
      <colOff>0</colOff>
      <row>54</row>
      <rowOff>0</rowOff>
    </from>
    <ext cx="54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98</row>
      <rowOff>0</rowOff>
    </from>
    <ext cx="43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0</col>
      <colOff>0</colOff>
      <row>23</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41</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4</col>
      <colOff>0</colOff>
      <row>18</row>
      <rowOff>0</rowOff>
    </from>
    <ext cx="54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6</col>
      <colOff>0</colOff>
      <row>64</row>
      <rowOff>0</rowOff>
    </from>
    <ext cx="43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122</row>
      <rowOff>0</rowOff>
    </from>
    <ext cx="540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8</col>
      <colOff>0</colOff>
      <row>131</row>
      <rowOff>0</rowOff>
    </from>
    <ext cx="540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140</row>
      <rowOff>0</rowOff>
    </from>
    <ext cx="540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8</col>
      <colOff>0</colOff>
      <row>149</row>
      <rowOff>0</rowOff>
    </from>
    <ext cx="5400000" cy="324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4</col>
      <colOff>0</colOff>
      <row>151</row>
      <rowOff>0</rowOff>
    </from>
    <ext cx="432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_rels/sheet17.xml.rels><Relationships xmlns="http://schemas.openxmlformats.org/package/2006/relationships"><Relationship Type="http://schemas.openxmlformats.org/officeDocument/2006/relationships/drawing" Target="/xl/drawings/drawing4.xml" Id="rId1"/></Relationships>
</file>

<file path=xl/worksheets/_rels/sheet21.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C23"/>
  <sheetViews>
    <sheetView workbookViewId="0">
      <selection activeCell="B26" sqref="B26"/>
    </sheetView>
  </sheetViews>
  <sheetFormatPr baseColWidth="8" defaultRowHeight="14.5"/>
  <cols>
    <col width="18" customWidth="1" style="146" min="1" max="1"/>
    <col width="48" customWidth="1" style="146" min="2" max="2"/>
    <col width="40" customWidth="1" style="146" min="3" max="3"/>
  </cols>
  <sheetData>
    <row r="1" ht="21" customHeight="1" s="146">
      <c r="A1" s="28" t="inlineStr">
        <is>
          <t>Q2Data — Unified Q2 team workbook (WeBike)</t>
        </is>
      </c>
    </row>
    <row r="2">
      <c r="A2" s="1" t="inlineStr">
        <is>
          <t>Built from Q1Data. Paste new Workspace reports into yellow cells. Keep Q1 survey sheets as baseline until refreshed.</t>
        </is>
      </c>
    </row>
    <row r="4">
      <c r="A4" s="29" t="inlineStr">
        <is>
          <t>Sheet</t>
        </is>
      </c>
      <c r="B4" s="29" t="inlineStr">
        <is>
          <t>Contents</t>
        </is>
      </c>
      <c r="C4" s="29" t="inlineStr">
        <is>
          <t>Decision use</t>
        </is>
      </c>
    </row>
    <row r="5" ht="29" customHeight="1" s="146">
      <c r="A5" s="30" t="inlineStr">
        <is>
          <t>Needs</t>
        </is>
      </c>
      <c r="B5" s="30" t="inlineStr">
        <is>
          <t>Customer need scores by segment (from Q1; refresh if new survey)</t>
        </is>
      </c>
      <c r="C5" s="30" t="inlineStr">
        <is>
          <t>Brand Judgment / ads</t>
        </is>
      </c>
    </row>
    <row r="6">
      <c r="A6" s="30" t="inlineStr">
        <is>
          <t>Applications</t>
        </is>
      </c>
      <c r="B6" s="30" t="inlineStr">
        <is>
          <t>Use-pattern importance (from Q1)</t>
        </is>
      </c>
      <c r="C6" s="30" t="inlineStr">
        <is>
          <t>Brand design / ads tone</t>
        </is>
      </c>
    </row>
    <row r="7">
      <c r="A7" s="30" t="inlineStr">
        <is>
          <t>Price_WTP</t>
        </is>
      </c>
      <c r="B7" s="30" t="inlineStr">
        <is>
          <t>Ideal-brand price ceilings (from Q1)</t>
        </is>
      </c>
      <c r="C7" s="30" t="inlineStr">
        <is>
          <t>Pricing frame vs WTP</t>
        </is>
      </c>
    </row>
    <row r="8">
      <c r="A8" s="30" t="inlineStr">
        <is>
          <t>Market_Potential</t>
        </is>
      </c>
      <c r="B8" s="30" t="inlineStr">
        <is>
          <t>12-mo units by city × segment (from Q1)</t>
        </is>
      </c>
      <c r="C8" s="30" t="inlineStr">
        <is>
          <t>Demand / city #2 / capacity</t>
        </is>
      </c>
    </row>
    <row r="9">
      <c r="A9" s="30" t="inlineStr">
        <is>
          <t>Sales_Channel</t>
        </is>
      </c>
      <c r="B9" s="30" t="inlineStr">
        <is>
          <t>Shop vs web posture — AMS + World web LIVE</t>
        </is>
      </c>
      <c r="C9" s="30" t="inlineStr">
        <is>
          <t>City #2 + staffing</t>
        </is>
      </c>
    </row>
    <row r="10">
      <c r="A10" s="30" t="inlineStr">
        <is>
          <t>Stores_Costs</t>
        </is>
      </c>
      <c r="B10" s="30" t="inlineStr">
        <is>
          <t>Store/web setup + lease — update open status</t>
        </is>
      </c>
      <c r="C10" s="30" t="inlineStr">
        <is>
          <t>Cash / lease burn</t>
        </is>
      </c>
    </row>
    <row r="11">
      <c r="A11" s="30" t="inlineStr">
        <is>
          <t>Manufacturing</t>
        </is>
      </c>
      <c r="B11" s="30" t="inlineStr">
        <is>
          <t>Fixed capacity live + OC / OT helpers</t>
        </is>
      </c>
      <c r="C11" s="30" t="inlineStr">
        <is>
          <t>Operating capacity ≤ 24/day</t>
        </is>
      </c>
    </row>
    <row r="12">
      <c r="A12" s="31" t="inlineStr">
        <is>
          <t>Production_Sim</t>
        </is>
      </c>
      <c r="B12" s="31" t="inlineStr">
        <is>
          <t>Produce/demand/stockouts/utilization + printer add summary</t>
        </is>
      </c>
      <c r="C12" s="31" t="inlineStr">
        <is>
          <t>Production simulation &amp; fixed capacity plan</t>
        </is>
      </c>
    </row>
    <row r="13">
      <c r="A13" s="46" t="inlineStr">
        <is>
          <t>Cost_of_Production</t>
        </is>
      </c>
      <c r="B13" s="31" t="inlineStr">
        <is>
          <t>Unit cost by volume (Workspace Q2)</t>
        </is>
      </c>
      <c r="C13" s="31" t="inlineStr">
        <is>
          <t>Price vs COGS; volume scenarios</t>
        </is>
      </c>
    </row>
    <row r="14">
      <c r="A14" s="45" t="inlineStr">
        <is>
          <t>Demand_Forecast</t>
        </is>
      </c>
      <c r="B14" s="32" t="inlineStr">
        <is>
          <t>Demand = units/SP × people; brand split; this Q + next Q</t>
        </is>
      </c>
      <c r="C14" s="32" t="inlineStr">
        <is>
          <t>OC schedule + printer planning + pricing volume</t>
        </is>
      </c>
    </row>
    <row r="15">
      <c r="A15" s="32" t="inlineStr">
        <is>
          <t>Pricing</t>
        </is>
      </c>
      <c r="B15" s="32" t="inlineStr">
        <is>
          <t>Brand list price decision (Hike Bike)</t>
        </is>
      </c>
      <c r="C15" s="32" t="inlineStr">
        <is>
          <t>Price vs WTP and unit cost</t>
        </is>
      </c>
    </row>
    <row r="16">
      <c r="A16" s="33" t="inlineStr">
        <is>
          <t>Media_Preference</t>
        </is>
      </c>
      <c r="B16" s="32" t="inlineStr">
        <is>
          <t>One-time media preference by segment + placement</t>
        </is>
      </c>
      <c r="C16" s="32" t="inlineStr">
        <is>
          <t>Major media buys</t>
        </is>
      </c>
    </row>
    <row r="17">
      <c r="A17" s="34" t="inlineStr">
        <is>
          <t>Web_SEO</t>
        </is>
      </c>
      <c r="B17" s="32" t="inlineStr">
        <is>
          <t>Organic SEM web pages from ads + segment keywords</t>
        </is>
      </c>
      <c r="C17" s="32" t="inlineStr">
        <is>
          <t>Website / organic search</t>
        </is>
      </c>
    </row>
    <row r="18">
      <c r="A18" s="32" t="inlineStr">
        <is>
          <t>Sales_Ops</t>
        </is>
      </c>
      <c r="B18" s="32" t="inlineStr">
        <is>
          <t>Store/web staffing, city #2, demand bridge</t>
        </is>
      </c>
      <c r="C18" s="32" t="inlineStr">
        <is>
          <t>Sales channel execution</t>
        </is>
      </c>
    </row>
    <row r="19">
      <c r="A19" s="47" t="inlineStr">
        <is>
          <t>Web_Productivity</t>
        </is>
      </c>
      <c r="B19" s="48" t="inlineStr">
        <is>
          <t>Purchase-probability tactics + budget curves</t>
        </is>
      </c>
      <c r="C19" s="48" t="inlineStr">
        <is>
          <t>Web conversion spend</t>
        </is>
      </c>
    </row>
    <row r="20">
      <c r="A20" s="48" t="inlineStr">
        <is>
          <t>Needs_Ranked</t>
        </is>
      </c>
      <c r="B20" s="48" t="inlineStr">
        <is>
          <t>Linked needs views</t>
        </is>
      </c>
      <c r="C20" s="48" t="inlineStr">
        <is>
          <t>Priority lists</t>
        </is>
      </c>
    </row>
    <row r="21">
      <c r="A21" t="inlineStr">
        <is>
          <t>Growth_Room</t>
        </is>
      </c>
      <c r="B21" t="inlineStr">
        <is>
          <t>Competitor gap scores</t>
        </is>
      </c>
      <c r="C21" t="inlineStr">
        <is>
          <t>Room for growth</t>
        </is>
      </c>
    </row>
    <row r="22">
      <c r="A22" t="inlineStr">
        <is>
          <t>Competitor_CI</t>
        </is>
      </c>
      <c r="B22" t="inlineStr">
        <is>
          <t>Classmate tracker + research buys</t>
        </is>
      </c>
      <c r="C22" t="inlineStr">
        <is>
          <t>CI priority</t>
        </is>
      </c>
    </row>
    <row r="23">
      <c r="A23" t="inlineStr">
        <is>
          <t>Comp_Industry</t>
        </is>
      </c>
      <c r="B23" t="inlineStr">
        <is>
          <t>Industry pay + interactive packages / productivity</t>
        </is>
      </c>
      <c r="C23" t="inlineStr">
        <is>
          <t>Pay &gt; avg; HR estimates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5"/>
  <sheetViews>
    <sheetView workbookViewId="0">
      <selection activeCell="A1" sqref="A1"/>
    </sheetView>
  </sheetViews>
  <sheetFormatPr baseColWidth="8" defaultRowHeight="15"/>
  <cols>
    <col width="52" customWidth="1" style="146" min="1" max="1"/>
    <col width="14" customWidth="1" style="146" min="2" max="2"/>
    <col width="14" customWidth="1" style="146" min="3" max="3"/>
    <col width="72" customWidth="1" style="146" min="4" max="4"/>
    <col width="14" customWidth="1" style="146" min="5" max="5"/>
    <col width="88" customWidth="1" style="146" min="6" max="6"/>
    <col width="16" customWidth="1" style="146" min="7" max="7"/>
    <col width="16" customWidth="1" style="146" min="8" max="8"/>
    <col width="14" customWidth="1" style="146" min="9" max="9"/>
    <col width="12" customWidth="1" style="146" min="10" max="10"/>
    <col width="12" customWidth="1" style="146" min="11" max="11"/>
    <col width="14" customWidth="1" style="146" min="12" max="12"/>
  </cols>
  <sheetData>
    <row r="1">
      <c r="A1" s="169" t="inlineStr">
        <is>
          <t>Advanced Balanced Scorecard — Q3 actual (all 7 firms)</t>
        </is>
      </c>
    </row>
    <row r="2" ht="36" customHeight="1" s="146">
      <c r="A2" s="170" t="inlineStr">
        <is>
          <t>Exact in-sim numbers. Total Performance is the product of the nine indicators. Supersedes the chart-read BSC block in Q3_Industry_Graphs (Bike Bros 0.900 not ~2.5; Spoke'd Up 2.316 not ~1.0).</t>
        </is>
      </c>
    </row>
    <row r="4">
      <c r="A4" s="199" t="inlineStr">
        <is>
          <t>Indicator</t>
        </is>
      </c>
      <c r="B4" s="199" t="inlineStr">
        <is>
          <t>Bike Bros</t>
        </is>
      </c>
      <c r="C4" s="199" t="inlineStr">
        <is>
          <t>LiteCycle</t>
        </is>
      </c>
      <c r="D4" s="199" t="inlineStr">
        <is>
          <t>WeBike</t>
        </is>
      </c>
      <c r="E4" s="199" t="inlineStr">
        <is>
          <t>BB LLC</t>
        </is>
      </c>
      <c r="F4" s="199" t="inlineStr">
        <is>
          <t>Spoke'd Up</t>
        </is>
      </c>
      <c r="G4" s="199" t="inlineStr">
        <is>
          <t>SpaceBikes</t>
        </is>
      </c>
      <c r="H4" s="199" t="inlineStr">
        <is>
          <t>MILC Bikes</t>
        </is>
      </c>
      <c r="I4" s="199" t="inlineStr">
        <is>
          <t>Min</t>
        </is>
      </c>
      <c r="J4" s="199" t="inlineStr">
        <is>
          <t>Max</t>
        </is>
      </c>
      <c r="K4" s="199" t="inlineStr">
        <is>
          <t>Average</t>
        </is>
      </c>
      <c r="L4" s="199" t="inlineStr">
        <is>
          <t>WeBike rank</t>
        </is>
      </c>
    </row>
    <row r="5">
      <c r="A5" s="200" t="inlineStr">
        <is>
          <t>Total Performance</t>
        </is>
      </c>
      <c r="B5" s="201" t="n">
        <v>0.9</v>
      </c>
      <c r="C5" s="201" t="n">
        <v>2.765</v>
      </c>
      <c r="D5" s="202" t="n">
        <v>0.411</v>
      </c>
      <c r="E5" s="203" t="n">
        <v>21.531</v>
      </c>
      <c r="F5" s="201" t="n">
        <v>2.316</v>
      </c>
      <c r="G5" s="201" t="n">
        <v>10.753</v>
      </c>
      <c r="H5" s="201" t="n">
        <v>2.604</v>
      </c>
      <c r="I5" s="201" t="n">
        <v>0.411</v>
      </c>
      <c r="J5" s="201" t="n">
        <v>21.531</v>
      </c>
      <c r="K5" s="201" t="n">
        <v>5.897142857142858</v>
      </c>
      <c r="L5" s="204" t="n">
        <v>7</v>
      </c>
    </row>
    <row r="6">
      <c r="A6" s="200" t="inlineStr">
        <is>
          <t>Financial Performance</t>
        </is>
      </c>
      <c r="B6" s="201" t="n">
        <v>12.856</v>
      </c>
      <c r="C6" s="201" t="n">
        <v>14.84</v>
      </c>
      <c r="D6" s="202" t="n">
        <v>5.319</v>
      </c>
      <c r="E6" s="203" t="n">
        <v>37.687</v>
      </c>
      <c r="F6" s="201" t="n">
        <v>14.047</v>
      </c>
      <c r="G6" s="201" t="n">
        <v>33.398</v>
      </c>
      <c r="H6" s="201" t="n">
        <v>14.895</v>
      </c>
      <c r="I6" s="201" t="n">
        <v>5.319</v>
      </c>
      <c r="J6" s="201" t="n">
        <v>37.687</v>
      </c>
      <c r="K6" s="201" t="n">
        <v>19.006</v>
      </c>
      <c r="L6" s="204" t="n">
        <v>7</v>
      </c>
    </row>
    <row r="7">
      <c r="A7" s="200" t="inlineStr">
        <is>
          <t>Market Performance</t>
        </is>
      </c>
      <c r="B7" s="201" t="n">
        <v>0.08500000000000001</v>
      </c>
      <c r="C7" s="201" t="n">
        <v>0.153</v>
      </c>
      <c r="D7" s="202" t="n">
        <v>0.098</v>
      </c>
      <c r="E7" s="203" t="n">
        <v>0.345</v>
      </c>
      <c r="F7" s="201" t="n">
        <v>0.172</v>
      </c>
      <c r="G7" s="201" t="n">
        <v>0.27</v>
      </c>
      <c r="H7" s="201" t="n">
        <v>0.17</v>
      </c>
      <c r="I7" s="201" t="n">
        <v>0.08500000000000001</v>
      </c>
      <c r="J7" s="201" t="n">
        <v>0.345</v>
      </c>
      <c r="K7" s="201" t="n">
        <v>0.1847142857142857</v>
      </c>
      <c r="L7" s="204" t="n">
        <v>6</v>
      </c>
    </row>
    <row r="8">
      <c r="A8" s="200" t="inlineStr">
        <is>
          <t>Marketing Effectiveness</t>
        </is>
      </c>
      <c r="B8" s="203" t="n">
        <v>0.765</v>
      </c>
      <c r="C8" s="201" t="n">
        <v>0.758</v>
      </c>
      <c r="D8" s="202" t="n">
        <v>0.738</v>
      </c>
      <c r="E8" s="203" t="n">
        <v>0.765</v>
      </c>
      <c r="F8" s="201" t="n">
        <v>0.66</v>
      </c>
      <c r="G8" s="201" t="n">
        <v>0.763</v>
      </c>
      <c r="H8" s="201" t="n">
        <v>0.755</v>
      </c>
      <c r="I8" s="201" t="n">
        <v>0.66</v>
      </c>
      <c r="J8" s="201" t="n">
        <v>0.765</v>
      </c>
      <c r="K8" s="201" t="n">
        <v>0.7434285714285714</v>
      </c>
      <c r="L8" s="204" t="n">
        <v>6</v>
      </c>
    </row>
    <row r="9">
      <c r="A9" s="200" t="inlineStr">
        <is>
          <t>Investment in Future</t>
        </is>
      </c>
      <c r="B9" s="203" t="n">
        <v>7.401</v>
      </c>
      <c r="C9" s="201" t="n">
        <v>5.657</v>
      </c>
      <c r="D9" s="205" t="n">
        <v>6.795</v>
      </c>
      <c r="E9" s="201" t="n">
        <v>3.741</v>
      </c>
      <c r="F9" s="201" t="n">
        <v>5.601</v>
      </c>
      <c r="G9" s="201" t="n">
        <v>3.466</v>
      </c>
      <c r="H9" s="201" t="n">
        <v>5.038</v>
      </c>
      <c r="I9" s="201" t="n">
        <v>3.466</v>
      </c>
      <c r="J9" s="201" t="n">
        <v>7.401</v>
      </c>
      <c r="K9" s="201" t="n">
        <v>5.385571428571429</v>
      </c>
      <c r="L9" s="206" t="n">
        <v>2</v>
      </c>
    </row>
    <row r="10">
      <c r="A10" s="200" t="inlineStr">
        <is>
          <t>Wealth</t>
        </is>
      </c>
      <c r="B10" s="201" t="n">
        <v>0.797</v>
      </c>
      <c r="C10" s="201" t="n">
        <v>0.768</v>
      </c>
      <c r="D10" s="202" t="n">
        <v>0.668</v>
      </c>
      <c r="E10" s="201" t="n">
        <v>0.957</v>
      </c>
      <c r="F10" s="201" t="n">
        <v>0.803</v>
      </c>
      <c r="G10" s="203" t="n">
        <v>1.017</v>
      </c>
      <c r="H10" s="201" t="n">
        <v>0.806</v>
      </c>
      <c r="I10" s="201" t="n">
        <v>0.668</v>
      </c>
      <c r="J10" s="201" t="n">
        <v>1.017</v>
      </c>
      <c r="K10" s="201" t="n">
        <v>0.8308571428571428</v>
      </c>
      <c r="L10" s="204" t="n">
        <v>7</v>
      </c>
    </row>
    <row r="11">
      <c r="A11" s="200" t="inlineStr">
        <is>
          <t>Human Resource Management</t>
        </is>
      </c>
      <c r="B11" s="201" t="n">
        <v>0.6909999999999999</v>
      </c>
      <c r="C11" s="201" t="n">
        <v>0.732</v>
      </c>
      <c r="D11" s="207" t="n">
        <v>0.713</v>
      </c>
      <c r="E11" s="203" t="n">
        <v>0.767</v>
      </c>
      <c r="F11" s="201" t="n">
        <v>0.719</v>
      </c>
      <c r="G11" s="201" t="n">
        <v>0.735</v>
      </c>
      <c r="H11" s="201" t="n">
        <v>0.713</v>
      </c>
      <c r="I11" s="201" t="n">
        <v>0.6909999999999999</v>
      </c>
      <c r="J11" s="201" t="n">
        <v>0.767</v>
      </c>
      <c r="K11" s="201" t="n">
        <v>0.7242857142857143</v>
      </c>
      <c r="L11" s="200" t="n">
        <v>5</v>
      </c>
    </row>
    <row r="12">
      <c r="A12" s="200" t="inlineStr">
        <is>
          <t>Asset Management</t>
        </is>
      </c>
      <c r="B12" s="201" t="n">
        <v>0.366</v>
      </c>
      <c r="C12" s="201" t="n">
        <v>0.539</v>
      </c>
      <c r="D12" s="202" t="n">
        <v>0.353</v>
      </c>
      <c r="E12" s="203" t="n">
        <v>0.92</v>
      </c>
      <c r="F12" s="201" t="n">
        <v>0.479</v>
      </c>
      <c r="G12" s="201" t="n">
        <v>0.666</v>
      </c>
      <c r="H12" s="201" t="n">
        <v>0.473</v>
      </c>
      <c r="I12" s="201" t="n">
        <v>0.353</v>
      </c>
      <c r="J12" s="201" t="n">
        <v>0.92</v>
      </c>
      <c r="K12" s="201" t="n">
        <v>0.5422857142857144</v>
      </c>
      <c r="L12" s="204" t="n">
        <v>7</v>
      </c>
    </row>
    <row r="13">
      <c r="A13" s="200" t="inlineStr">
        <is>
          <t>Manufacturing Productivity</t>
        </is>
      </c>
      <c r="B13" s="201" t="n">
        <v>0.722</v>
      </c>
      <c r="C13" s="201" t="n">
        <v>0.9379999999999999</v>
      </c>
      <c r="D13" s="205" t="n">
        <v>0.9379999999999999</v>
      </c>
      <c r="E13" s="201" t="n">
        <v>0.856</v>
      </c>
      <c r="F13" s="201" t="n">
        <v>0.9379999999999999</v>
      </c>
      <c r="G13" s="201" t="n">
        <v>0.906</v>
      </c>
      <c r="H13" s="203" t="n">
        <v>0.995</v>
      </c>
      <c r="I13" s="201" t="n">
        <v>0.722</v>
      </c>
      <c r="J13" s="201" t="n">
        <v>0.995</v>
      </c>
      <c r="K13" s="201" t="n">
        <v>0.899</v>
      </c>
      <c r="L13" s="206" t="n">
        <v>2</v>
      </c>
    </row>
    <row r="14">
      <c r="A14" s="200" t="inlineStr">
        <is>
          <t>Financial Risk</t>
        </is>
      </c>
      <c r="B14" s="203" t="n">
        <v>1</v>
      </c>
      <c r="C14" s="203" t="n">
        <v>1</v>
      </c>
      <c r="D14" s="205" t="n">
        <v>1</v>
      </c>
      <c r="E14" s="203" t="n">
        <v>1</v>
      </c>
      <c r="F14" s="203" t="n">
        <v>1</v>
      </c>
      <c r="G14" s="203" t="n">
        <v>1</v>
      </c>
      <c r="H14" s="203" t="n">
        <v>1</v>
      </c>
      <c r="I14" s="201" t="n">
        <v>1</v>
      </c>
      <c r="J14" s="201" t="n">
        <v>1</v>
      </c>
      <c r="K14" s="201" t="n">
        <v>1</v>
      </c>
      <c r="L14" s="206" t="n">
        <v>1</v>
      </c>
    </row>
    <row r="17">
      <c r="A17" s="199" t="inlineStr">
        <is>
          <t>WeBike rank card</t>
        </is>
      </c>
      <c r="B17" s="199" t="inlineStr">
        <is>
          <t>Score</t>
        </is>
      </c>
      <c r="C17" s="199" t="inlineStr">
        <is>
          <t>Rank / 7</t>
        </is>
      </c>
      <c r="D17" s="199" t="inlineStr">
        <is>
          <t>Best firm</t>
        </is>
      </c>
      <c r="E17" s="199" t="inlineStr">
        <is>
          <t>Best score</t>
        </is>
      </c>
      <c r="F17" s="199" t="inlineStr">
        <is>
          <t>Read</t>
        </is>
      </c>
    </row>
    <row r="18">
      <c r="A18" s="200" t="inlineStr">
        <is>
          <t>Total Performance</t>
        </is>
      </c>
      <c r="B18" s="200" t="n">
        <v>0.411</v>
      </c>
      <c r="C18" s="204" t="inlineStr">
        <is>
          <t>7 LAST</t>
        </is>
      </c>
      <c r="D18" s="200" t="inlineStr">
        <is>
          <t>BB LLC</t>
        </is>
      </c>
      <c r="E18" s="200" t="n">
        <v>21.531</v>
      </c>
      <c r="F18" s="208" t="inlineStr">
        <is>
          <t>52x behind the leader; 6x behind mid-pack</t>
        </is>
      </c>
    </row>
    <row r="19">
      <c r="A19" s="200" t="inlineStr">
        <is>
          <t>Financial Performance</t>
        </is>
      </c>
      <c r="B19" s="200" t="n">
        <v>5.319</v>
      </c>
      <c r="C19" s="204" t="inlineStr">
        <is>
          <t>7 LAST</t>
        </is>
      </c>
      <c r="D19" s="200" t="inlineStr">
        <is>
          <t>BB LLC</t>
        </is>
      </c>
      <c r="E19" s="200" t="n">
        <v>37.687</v>
      </c>
      <c r="F19" s="208" t="inlineStr">
        <is>
          <t>Operating loss + 25,000 shares. Next-worst (Bike Bros) is 12.856 — we are half of last-but-one</t>
        </is>
      </c>
    </row>
    <row r="20">
      <c r="A20" s="200" t="inlineStr">
        <is>
          <t>Market Performance</t>
        </is>
      </c>
      <c r="B20" s="200" t="n">
        <v>0.098</v>
      </c>
      <c r="C20" s="204" t="inlineStr">
        <is>
          <t>6</t>
        </is>
      </c>
      <c r="D20" s="200" t="inlineStr">
        <is>
          <t>BB LLC</t>
        </is>
      </c>
      <c r="E20" s="200" t="n">
        <v>0.345</v>
      </c>
      <c r="F20" s="208" t="inlineStr">
        <is>
          <t>Only Bike Bros (0.085) is worse. 33% stock-outs; share x fill-rate</t>
        </is>
      </c>
    </row>
    <row r="21">
      <c r="A21" s="200" t="inlineStr">
        <is>
          <t>Marketing Effectiveness</t>
        </is>
      </c>
      <c r="B21" s="200" t="n">
        <v>0.738</v>
      </c>
      <c r="C21" s="204" t="inlineStr">
        <is>
          <t>6</t>
        </is>
      </c>
      <c r="D21" s="200" t="inlineStr">
        <is>
          <t>Bike Bros / BB LLC</t>
        </is>
      </c>
      <c r="E21" s="200" t="n">
        <v>0.765</v>
      </c>
      <c r="F21" s="208" t="inlineStr">
        <is>
          <t>0.005 below average. Pack is 0.755–0.765; not a Q4 lever</t>
        </is>
      </c>
    </row>
    <row r="22">
      <c r="A22" s="200" t="inlineStr">
        <is>
          <t>Investment in Future</t>
        </is>
      </c>
      <c r="B22" s="200" t="n">
        <v>6.795</v>
      </c>
      <c r="C22" s="206" t="inlineStr">
        <is>
          <t>2 STRENGTH</t>
        </is>
      </c>
      <c r="D22" s="200" t="inlineStr">
        <is>
          <t>Bike Bros</t>
        </is>
      </c>
      <c r="E22" s="200" t="n">
        <v>7.401</v>
      </c>
      <c r="F22" s="208" t="inlineStr">
        <is>
          <t>Do not chase. Leaders score LOW because revenue is in the denominator</t>
        </is>
      </c>
    </row>
    <row r="23">
      <c r="A23" s="200" t="inlineStr">
        <is>
          <t>Wealth</t>
        </is>
      </c>
      <c r="B23" s="200" t="n">
        <v>0.668</v>
      </c>
      <c r="C23" s="204" t="inlineStr">
        <is>
          <t>7 LAST</t>
        </is>
      </c>
      <c r="D23" s="200" t="inlineStr">
        <is>
          <t>SpaceBikes</t>
        </is>
      </c>
      <c r="E23" s="200" t="n">
        <v>1.017</v>
      </c>
      <c r="F23" s="208" t="inlineStr">
        <is>
          <t>Cumulative losses. SpaceBikes is the only firm above 1.0</t>
        </is>
      </c>
    </row>
    <row r="24">
      <c r="A24" s="200" t="inlineStr">
        <is>
          <t>Human Resource Management</t>
        </is>
      </c>
      <c r="B24" s="200" t="n">
        <v>0.713</v>
      </c>
      <c r="C24" s="200" t="inlineStr">
        <is>
          <t>5= (tie MILC)</t>
        </is>
      </c>
      <c r="D24" s="200" t="inlineStr">
        <is>
          <t>BB LLC</t>
        </is>
      </c>
      <c r="E24" s="200" t="n">
        <v>0.767</v>
      </c>
      <c r="F24" s="208" t="inlineStr">
        <is>
          <t>Only Bike Bros (0.691) is worse. Pay is low-middle, not last</t>
        </is>
      </c>
    </row>
    <row r="25">
      <c r="A25" s="200" t="inlineStr">
        <is>
          <t>Asset Management</t>
        </is>
      </c>
      <c r="B25" s="200" t="n">
        <v>0.353</v>
      </c>
      <c r="C25" s="204" t="inlineStr">
        <is>
          <t>7 LAST</t>
        </is>
      </c>
      <c r="D25" s="200" t="inlineStr">
        <is>
          <t>BB LLC</t>
        </is>
      </c>
      <c r="E25" s="200" t="n">
        <v>0.92</v>
      </c>
      <c r="F25" s="208" t="inlineStr">
        <is>
          <t>$1.01M idle cash. Bike Bros 0.366 is almost as bad</t>
        </is>
      </c>
    </row>
    <row r="26">
      <c r="A26" s="200" t="inlineStr">
        <is>
          <t>Manufacturing Productivity</t>
        </is>
      </c>
      <c r="B26" s="200" t="n">
        <v>0.9379999999999999</v>
      </c>
      <c r="C26" s="206" t="inlineStr">
        <is>
          <t>2= (tie LiteCycle, Spoke'd Up)</t>
        </is>
      </c>
      <c r="D26" s="200" t="inlineStr">
        <is>
          <t>MILC Bikes</t>
        </is>
      </c>
      <c r="E26" s="200" t="n">
        <v>0.995</v>
      </c>
      <c r="F26" s="208" t="inlineStr">
        <is>
          <t>FALSE strength: we used 100% of the 8/day we scheduled. Does not punish stock-outs</t>
        </is>
      </c>
    </row>
    <row r="27">
      <c r="A27" s="200" t="inlineStr">
        <is>
          <t>Financial Risk</t>
        </is>
      </c>
      <c r="B27" s="200" t="n">
        <v>1</v>
      </c>
      <c r="C27" s="206" t="inlineStr">
        <is>
          <t>1= (all firms)</t>
        </is>
      </c>
      <c r="D27" s="200" t="inlineStr">
        <is>
          <t>everyone</t>
        </is>
      </c>
      <c r="E27" s="200" t="n">
        <v>1</v>
      </c>
      <c r="F27" s="208" t="inlineStr">
        <is>
          <t>Nobody has debt. Zero differentiation</t>
        </is>
      </c>
    </row>
    <row r="30">
      <c r="A30" s="199" t="inlineStr">
        <is>
          <t>Two-league industry (Total Performance)</t>
        </is>
      </c>
      <c r="B30" s="199" t="inlineStr">
        <is>
          <t>Score</t>
        </is>
      </c>
      <c r="C30" s="199" t="inlineStr">
        <is>
          <t>x WeBike</t>
        </is>
      </c>
      <c r="D30" s="199" t="inlineStr">
        <is>
          <t>League</t>
        </is>
      </c>
    </row>
    <row r="31">
      <c r="A31" s="200" t="inlineStr">
        <is>
          <t>BB LLC</t>
        </is>
      </c>
      <c r="B31" s="200" t="n">
        <v>21.531</v>
      </c>
      <c r="C31" s="200" t="n">
        <v>52.4</v>
      </c>
      <c r="D31" s="208" t="inlineStr">
        <is>
          <t>League 1 — profitable, high share, high asset turnover</t>
        </is>
      </c>
    </row>
    <row r="32">
      <c r="A32" s="200" t="inlineStr">
        <is>
          <t>SpaceBikes</t>
        </is>
      </c>
      <c r="B32" s="200" t="n">
        <v>10.753</v>
      </c>
      <c r="C32" s="200" t="n">
        <v>26.2</v>
      </c>
      <c r="D32" s="208" t="inlineStr">
        <is>
          <t>League 1</t>
        </is>
      </c>
    </row>
    <row r="33">
      <c r="A33" s="200" t="inlineStr">
        <is>
          <t>LiteCycle</t>
        </is>
      </c>
      <c r="B33" s="200" t="n">
        <v>2.765</v>
      </c>
      <c r="C33" s="200" t="n">
        <v>6.7</v>
      </c>
      <c r="D33" s="208" t="inlineStr">
        <is>
          <t>League 2 — mid-pack, tightly bunched 2.3–2.8</t>
        </is>
      </c>
    </row>
    <row r="34">
      <c r="A34" s="200" t="inlineStr">
        <is>
          <t>MILC Bikes</t>
        </is>
      </c>
      <c r="B34" s="200" t="n">
        <v>2.604</v>
      </c>
      <c r="C34" s="200" t="n">
        <v>6.3</v>
      </c>
      <c r="D34" s="208" t="inlineStr">
        <is>
          <t>League 2</t>
        </is>
      </c>
    </row>
    <row r="35">
      <c r="A35" s="200" t="inlineStr">
        <is>
          <t>Spoke'd Up</t>
        </is>
      </c>
      <c r="B35" s="200" t="n">
        <v>2.316</v>
      </c>
      <c r="C35" s="200" t="n">
        <v>5.6</v>
      </c>
      <c r="D35" s="208" t="inlineStr">
        <is>
          <t>League 2  (chart-read had ~1.0 — WRONG)</t>
        </is>
      </c>
    </row>
    <row r="36">
      <c r="A36" s="200" t="inlineStr">
        <is>
          <t>Bike Bros</t>
        </is>
      </c>
      <c r="B36" s="200" t="n">
        <v>0.9</v>
      </c>
      <c r="C36" s="200" t="n">
        <v>2.2</v>
      </c>
      <c r="D36" s="208" t="inlineStr">
        <is>
          <t>League 3 — basement  (chart-read had ~2.5 — WRONG)</t>
        </is>
      </c>
    </row>
    <row r="37">
      <c r="A37" s="209" t="inlineStr">
        <is>
          <t>WeBike</t>
        </is>
      </c>
      <c r="B37" s="209" t="n">
        <v>0.411</v>
      </c>
      <c r="C37" s="209" t="n">
        <v>1</v>
      </c>
      <c r="D37" s="210" t="inlineStr">
        <is>
          <t>League 3 — LAST</t>
        </is>
      </c>
    </row>
    <row r="40">
      <c r="A40" s="199" t="inlineStr">
        <is>
          <t>Product identity (Total Performance = product of 9 indicators)</t>
        </is>
      </c>
      <c r="B40" s="199" t="inlineStr">
        <is>
          <t>Value</t>
        </is>
      </c>
    </row>
    <row r="41">
      <c r="A41" s="200" t="inlineStr">
        <is>
          <t>Product of WeBike's 9 indicators</t>
        </is>
      </c>
      <c r="B41" s="200" t="n">
        <v>0.4122</v>
      </c>
    </row>
    <row r="42">
      <c r="A42" s="200" t="inlineStr">
        <is>
          <t>Reported Total Performance</t>
        </is>
      </c>
      <c r="B42" s="200" t="n">
        <v>0.411</v>
      </c>
    </row>
    <row r="43">
      <c r="A43" s="200" t="inlineStr">
        <is>
          <t>Match?</t>
        </is>
      </c>
      <c r="B43" s="200" t="inlineStr">
        <is>
          <t>YES</t>
        </is>
      </c>
    </row>
    <row r="46">
      <c r="A46" s="199" t="inlineStr">
        <is>
          <t>If WeBike matched the industry average on ONE indicator (others held)</t>
        </is>
      </c>
      <c r="B46" s="199" t="inlineStr">
        <is>
          <t>New TP</t>
        </is>
      </c>
      <c r="C46" s="199" t="inlineStr">
        <is>
          <t>x actual</t>
        </is>
      </c>
      <c r="D46" s="199" t="inlineStr">
        <is>
          <t>Note</t>
        </is>
      </c>
    </row>
    <row r="47">
      <c r="A47" s="200" t="inlineStr">
        <is>
          <t>Financial Performance</t>
        </is>
      </c>
      <c r="B47" s="200" t="n">
        <v>1.469</v>
      </c>
      <c r="C47" s="200" t="n">
        <v>3.57</v>
      </c>
      <c r="D47" s="208" t="inlineStr"/>
    </row>
    <row r="48">
      <c r="A48" s="200" t="inlineStr">
        <is>
          <t>Market Performance</t>
        </is>
      </c>
      <c r="B48" s="200" t="n">
        <v>0.775</v>
      </c>
      <c r="C48" s="200" t="n">
        <v>1.88</v>
      </c>
      <c r="D48" s="208" t="inlineStr"/>
    </row>
    <row r="49">
      <c r="A49" s="200" t="inlineStr">
        <is>
          <t>Marketing Effectiveness</t>
        </is>
      </c>
      <c r="B49" s="200" t="n">
        <v>0.414</v>
      </c>
      <c r="C49" s="200" t="n">
        <v>1.01</v>
      </c>
      <c r="D49" s="208" t="inlineStr"/>
    </row>
    <row r="50">
      <c r="A50" s="200" t="inlineStr">
        <is>
          <t>Investment in Future</t>
        </is>
      </c>
      <c r="B50" s="200" t="n">
        <v>0.326</v>
      </c>
      <c r="C50" s="200" t="n">
        <v>0.79</v>
      </c>
      <c r="D50" s="208" t="inlineStr">
        <is>
          <t>matching average would HURT us — this is a strength</t>
        </is>
      </c>
    </row>
    <row r="51">
      <c r="A51" s="200" t="inlineStr">
        <is>
          <t>Wealth</t>
        </is>
      </c>
      <c r="B51" s="200" t="n">
        <v>0.511</v>
      </c>
      <c r="C51" s="200" t="n">
        <v>1.24</v>
      </c>
      <c r="D51" s="208" t="inlineStr"/>
    </row>
    <row r="52">
      <c r="A52" s="200" t="inlineStr">
        <is>
          <t>Human Resource Management</t>
        </is>
      </c>
      <c r="B52" s="200" t="n">
        <v>0.418</v>
      </c>
      <c r="C52" s="200" t="n">
        <v>1.02</v>
      </c>
      <c r="D52" s="208" t="inlineStr"/>
    </row>
    <row r="53">
      <c r="A53" s="200" t="inlineStr">
        <is>
          <t>Asset Management</t>
        </is>
      </c>
      <c r="B53" s="200" t="n">
        <v>0.631</v>
      </c>
      <c r="C53" s="200" t="n">
        <v>1.54</v>
      </c>
      <c r="D53" s="208" t="inlineStr"/>
    </row>
    <row r="54">
      <c r="A54" s="200" t="inlineStr">
        <is>
          <t>Manufacturing Productivity</t>
        </is>
      </c>
      <c r="B54" s="200" t="n">
        <v>0.394</v>
      </c>
      <c r="C54" s="200" t="n">
        <v>0.96</v>
      </c>
      <c r="D54" s="208" t="inlineStr">
        <is>
          <t>matching average would HURT us — this is a strength</t>
        </is>
      </c>
    </row>
    <row r="55">
      <c r="A55" s="200" t="inlineStr">
        <is>
          <t>Financial Risk</t>
        </is>
      </c>
      <c r="B55" s="200" t="n">
        <v>0.411</v>
      </c>
      <c r="C55" s="200" t="n">
        <v>1</v>
      </c>
      <c r="D55" s="208" t="inlineStr"/>
    </row>
    <row r="56">
      <c r="A56" s="200" t="inlineStr">
        <is>
          <t>All indicators at average (implied)</t>
        </is>
      </c>
      <c r="B56" s="200" t="n">
        <v>5.897</v>
      </c>
      <c r="C56" s="200" t="n">
        <v>14.3</v>
      </c>
      <c r="D56" s="208" t="inlineStr">
        <is>
          <t>industry mean TP is 5.897 — 14x us. Not a realistic Q4 target</t>
        </is>
      </c>
    </row>
    <row r="59">
      <c r="A59" s="199" t="inlineStr">
        <is>
          <t>Path to mid-pack (~2.5, LiteCycle/MILC/Spoke'd Up)</t>
        </is>
      </c>
      <c r="B59" s="199" t="inlineStr">
        <is>
          <t>TP</t>
        </is>
      </c>
      <c r="C59" s="199" t="inlineStr">
        <is>
          <t>x actual</t>
        </is>
      </c>
      <c r="D59" s="199" t="inlineStr">
        <is>
          <t>What it takes</t>
        </is>
      </c>
    </row>
    <row r="60">
      <c r="A60" s="200" t="inlineStr">
        <is>
          <t>Q3 actual</t>
        </is>
      </c>
      <c r="B60" s="200" t="n">
        <v>0.411</v>
      </c>
      <c r="C60" s="200" t="n">
        <v>1</v>
      </c>
      <c r="D60" s="208" t="inlineStr">
        <is>
          <t>baseline</t>
        </is>
      </c>
    </row>
    <row r="61">
      <c r="A61" s="200" t="inlineStr">
        <is>
          <t>Serve 100% of demand (Market 0.098 → 0.150)</t>
        </is>
      </c>
      <c r="B61" s="211" t="n">
        <v>0.629</v>
      </c>
      <c r="C61" s="200" t="n">
        <v>1.53</v>
      </c>
      <c r="D61" s="208" t="inlineStr">
        <is>
          <t>schedule OC to the forecast; no printers required</t>
        </is>
      </c>
    </row>
    <row r="62">
      <c r="A62" s="200" t="inlineStr">
        <is>
          <t>+ Asset 0.353 → 0.55</t>
        </is>
      </c>
      <c r="B62" s="211" t="n">
        <v>0.98</v>
      </c>
      <c r="C62" s="200" t="n">
        <v>2.38</v>
      </c>
      <c r="D62" s="208" t="inlineStr">
        <is>
          <t>deploy idle cash into revenue (people, web, ads, city #3)</t>
        </is>
      </c>
    </row>
    <row r="63">
      <c r="A63" s="200" t="inlineStr">
        <is>
          <t>+ Financial 5.319 → 14.8 (mid-pack)</t>
        </is>
      </c>
      <c r="B63" s="206" t="n">
        <v>2.727</v>
      </c>
      <c r="C63" s="200" t="n">
        <v>6.64</v>
      </c>
      <c r="D63" s="208" t="inlineStr">
        <is>
          <t>profitable quarter + stop issuing stock. This is the jump out of the basement</t>
        </is>
      </c>
    </row>
    <row r="64">
      <c r="A64" s="200" t="inlineStr">
        <is>
          <t>Do NOT chase Investment in Future</t>
        </is>
      </c>
      <c r="B64" s="200" t="n"/>
      <c r="C64" s="200" t="n"/>
      <c r="D64" s="208" t="inlineStr">
        <is>
          <t>We are already 2nd. SpaceBikes is LAST on IIF (3.466) and 2nd overall. Bike Bros is BEST on IIF (7.401) and 6th overall</t>
        </is>
      </c>
    </row>
    <row r="65">
      <c r="A65" s="200" t="inlineStr">
        <is>
          <t>Do NOT protect Manufacturing Productivity by under-scheduling</t>
        </is>
      </c>
      <c r="B65" s="200" t="n"/>
      <c r="C65" s="200" t="n"/>
      <c r="D65" s="208" t="inlineStr">
        <is>
          <t>0.938 is what you get when you use 100% of a too-small plan. Market Performance is the indicator that saw the 204 lost units</t>
        </is>
      </c>
    </row>
    <row r="68">
      <c r="A68" s="199" t="inlineStr">
        <is>
          <t>Chart-read BSC in Q3_Industry_Graphs — CORRECTIONS</t>
        </is>
      </c>
      <c r="B68" s="199" t="inlineStr">
        <is>
          <t>Graph-read TP</t>
        </is>
      </c>
      <c r="C68" s="199" t="inlineStr">
        <is>
          <t>Actual TP</t>
        </is>
      </c>
      <c r="D68" s="199" t="inlineStr">
        <is>
          <t>Error</t>
        </is>
      </c>
    </row>
    <row r="69">
      <c r="A69" s="204" t="inlineStr">
        <is>
          <t>Bike Bros</t>
        </is>
      </c>
      <c r="B69" s="200" t="n">
        <v>2.5</v>
      </c>
      <c r="C69" s="200" t="n">
        <v>0.9</v>
      </c>
      <c r="D69" s="208" t="inlineStr">
        <is>
          <t>was placed in mid-pack; actually in the basement with us</t>
        </is>
      </c>
    </row>
    <row r="70">
      <c r="A70" s="211" t="inlineStr">
        <is>
          <t>Spoke'd Up</t>
        </is>
      </c>
      <c r="B70" s="200" t="n">
        <v>1</v>
      </c>
      <c r="C70" s="200" t="n">
        <v>2.316</v>
      </c>
      <c r="D70" s="208" t="inlineStr">
        <is>
          <t>was placed in the basement; actually mid-pack with LiteCycle/MILC</t>
        </is>
      </c>
    </row>
    <row r="71">
      <c r="A71" s="200" t="inlineStr">
        <is>
          <t>LiteCycle</t>
        </is>
      </c>
      <c r="B71" s="200" t="n">
        <v>2</v>
      </c>
      <c r="C71" s="200" t="n">
        <v>2.765</v>
      </c>
      <c r="D71" s="208" t="inlineStr">
        <is>
          <t>directionally fine, a bit low</t>
        </is>
      </c>
    </row>
    <row r="72">
      <c r="A72" s="200" t="inlineStr">
        <is>
          <t>MILC Bikes</t>
        </is>
      </c>
      <c r="B72" s="200" t="n">
        <v>2.8</v>
      </c>
      <c r="C72" s="200" t="n">
        <v>2.604</v>
      </c>
      <c r="D72" s="208" t="inlineStr">
        <is>
          <t>directionally fine</t>
        </is>
      </c>
    </row>
    <row r="73">
      <c r="A73" s="200" t="inlineStr">
        <is>
          <t>SpaceBikes</t>
        </is>
      </c>
      <c r="B73" s="200" t="n">
        <v>11</v>
      </c>
      <c r="C73" s="200" t="n">
        <v>10.753</v>
      </c>
      <c r="D73" s="208" t="inlineStr">
        <is>
          <t>fine</t>
        </is>
      </c>
    </row>
    <row r="74">
      <c r="A74" s="200" t="inlineStr">
        <is>
          <t>BB LLC</t>
        </is>
      </c>
      <c r="B74" s="200" t="n">
        <v>22</v>
      </c>
      <c r="C74" s="200" t="n">
        <v>21.531</v>
      </c>
      <c r="D74" s="208" t="inlineStr">
        <is>
          <t>fine</t>
        </is>
      </c>
    </row>
    <row r="75">
      <c r="A75" s="200" t="inlineStr">
        <is>
          <t>WeBike</t>
        </is>
      </c>
      <c r="B75" s="200" t="n">
        <v>0.411</v>
      </c>
      <c r="C75" s="200" t="n">
        <v>0.411</v>
      </c>
      <c r="D75" s="208" t="inlineStr">
        <is>
          <t>exact — we had the live scorecard for ourselves</t>
        </is>
      </c>
    </row>
  </sheetData>
  <mergeCells count="1">
    <mergeCell ref="A2:L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5"/>
  <sheetViews>
    <sheetView topLeftCell="B11" zoomScale="114" zoomScaleNormal="85" workbookViewId="0">
      <selection activeCell="G47" sqref="G47"/>
    </sheetView>
  </sheetViews>
  <sheetFormatPr baseColWidth="8" defaultRowHeight="14.5"/>
  <cols>
    <col width="36" customWidth="1" style="146" min="1" max="1"/>
    <col width="12" customWidth="1" style="146" min="2" max="4"/>
    <col width="8" customWidth="1" style="146" min="5" max="5"/>
    <col width="12" customWidth="1" style="146" min="6" max="8"/>
    <col width="18" customWidth="1" style="146" min="9" max="9"/>
    <col width="40" customWidth="1" style="146" min="10" max="10"/>
  </cols>
  <sheetData>
    <row r="1" ht="18.5" customHeight="1" s="146">
      <c r="A1" s="4" t="inlineStr">
        <is>
          <t>Customer Needs — Importance by Segment</t>
        </is>
      </c>
    </row>
    <row r="2">
      <c r="A2" s="1" t="inlineStr">
        <is>
          <t>Rename labels to match Workspace. Yellow = inputs. Conditional formatting: green ≥110, red &lt;100.</t>
        </is>
      </c>
    </row>
    <row r="4" ht="29.5" customHeight="1" s="146" thickBot="1">
      <c r="A4" s="2" t="inlineStr">
        <is>
          <t>Need / Benefit</t>
        </is>
      </c>
      <c r="B4" s="2" t="inlineStr">
        <is>
          <t>Recreation</t>
        </is>
      </c>
      <c r="C4" s="2" t="inlineStr">
        <is>
          <t>Mountain</t>
        </is>
      </c>
      <c r="D4" s="2" t="inlineStr">
        <is>
          <t>Speed</t>
        </is>
      </c>
      <c r="E4" s="2" t="inlineStr">
        <is>
          <t>Max</t>
        </is>
      </c>
      <c r="F4" s="2" t="inlineStr">
        <is>
          <t>Rec flag</t>
        </is>
      </c>
      <c r="G4" s="2" t="inlineStr">
        <is>
          <t>Mtn flag</t>
        </is>
      </c>
      <c r="H4" s="2" t="inlineStr">
        <is>
          <t>Spd flag</t>
        </is>
      </c>
      <c r="I4" s="2" t="inlineStr">
        <is>
          <t>Competitor miss risk (H/M/L)</t>
        </is>
      </c>
      <c r="J4" s="2" t="inlineStr">
        <is>
          <t>Notes</t>
        </is>
      </c>
    </row>
    <row r="5" ht="15" customHeight="1" s="146" thickBot="1">
      <c r="A5" s="15" t="inlineStr">
        <is>
          <t>Colorful</t>
        </is>
      </c>
      <c r="B5" s="16" t="n">
        <v>116</v>
      </c>
      <c r="C5" s="16" t="n">
        <v>120</v>
      </c>
      <c r="D5" s="16" t="n">
        <v>109</v>
      </c>
      <c r="E5" s="7">
        <f>IF(COUNT(B5:D5)=0,"",MAX(B5:D5))</f>
        <v/>
      </c>
      <c r="F5" s="7">
        <f>IF(B5="","",IF(B5&gt;=110,"IMPORTANT",IF(B5&lt;100,"CAUTION","")))</f>
        <v/>
      </c>
      <c r="G5" s="7">
        <f>IF(C5="","",IF(C5&gt;=110,"IMPORTANT",IF(C5&lt;100,"CAUTION","")))</f>
        <v/>
      </c>
      <c r="H5" s="7">
        <f>IF(D5="","",IF(D5&gt;=110,"IMPORTANT",IF(D5&lt;100,"CAUTION","")))</f>
        <v/>
      </c>
      <c r="I5" s="6" t="n"/>
      <c r="J5" s="6" t="n"/>
    </row>
    <row r="6" ht="15" customHeight="1" s="146" thickBot="1">
      <c r="A6" s="17" t="inlineStr">
        <is>
          <t>Fits rider's personality</t>
        </is>
      </c>
      <c r="B6" s="18" t="n">
        <v>116</v>
      </c>
      <c r="C6" s="18" t="n">
        <v>113</v>
      </c>
      <c r="D6" s="18" t="n">
        <v>116</v>
      </c>
      <c r="E6" s="7">
        <f>IF(COUNT(B6:D6)=0,"",MAX(B6:D6))</f>
        <v/>
      </c>
      <c r="F6" s="7">
        <f>IF(B6="","",IF(B6&gt;=110,"IMPORTANT",IF(B6&lt;100,"CAUTION","")))</f>
        <v/>
      </c>
      <c r="G6" s="7">
        <f>IF(C6="","",IF(C6&gt;=110,"IMPORTANT",IF(C6&lt;100,"CAUTION","")))</f>
        <v/>
      </c>
      <c r="H6" s="7">
        <f>IF(D6="","",IF(D6&gt;=110,"IMPORTANT",IF(D6&lt;100,"CAUTION","")))</f>
        <v/>
      </c>
      <c r="I6" s="6" t="n"/>
      <c r="J6" s="6" t="n"/>
    </row>
    <row r="7" ht="15" customHeight="1" s="146" thickBot="1">
      <c r="A7" s="19" t="inlineStr">
        <is>
          <t>Simple to use</t>
        </is>
      </c>
      <c r="B7" s="20" t="n">
        <v>121</v>
      </c>
      <c r="C7" s="20" t="n">
        <v>102</v>
      </c>
      <c r="D7" s="20" t="n">
        <v>69</v>
      </c>
      <c r="E7" s="7">
        <f>IF(COUNT(B7:D7)=0,"",MAX(B7:D7))</f>
        <v/>
      </c>
      <c r="F7" s="7">
        <f>IF(B7="","",IF(B7&gt;=110,"IMPORTANT",IF(B7&lt;100,"CAUTION","")))</f>
        <v/>
      </c>
      <c r="G7" s="7">
        <f>IF(C7="","",IF(C7&gt;=110,"IMPORTANT",IF(C7&lt;100,"CAUTION","")))</f>
        <v/>
      </c>
      <c r="H7" s="7">
        <f>IF(D7="","",IF(D7&gt;=110,"IMPORTANT",IF(D7&lt;100,"CAUTION","")))</f>
        <v/>
      </c>
      <c r="I7" s="6" t="n"/>
      <c r="J7" s="6" t="n"/>
    </row>
    <row r="8" ht="15" customHeight="1" s="146" thickBot="1">
      <c r="A8" s="17" t="inlineStr">
        <is>
          <t>Safety</t>
        </is>
      </c>
      <c r="B8" s="18" t="n">
        <v>121</v>
      </c>
      <c r="C8" s="18" t="n">
        <v>112</v>
      </c>
      <c r="D8" s="18" t="n">
        <v>113</v>
      </c>
      <c r="E8" s="7">
        <f>IF(COUNT(B8:D8)=0,"",MAX(B8:D8))</f>
        <v/>
      </c>
      <c r="F8" s="7">
        <f>IF(B8="","",IF(B8&gt;=110,"IMPORTANT",IF(B8&lt;100,"CAUTION","")))</f>
        <v/>
      </c>
      <c r="G8" s="7">
        <f>IF(C8="","",IF(C8&gt;=110,"IMPORTANT",IF(C8&lt;100,"CAUTION","")))</f>
        <v/>
      </c>
      <c r="H8" s="7">
        <f>IF(D8="","",IF(D8&gt;=110,"IMPORTANT",IF(D8&lt;100,"CAUTION","")))</f>
        <v/>
      </c>
      <c r="I8" s="6" t="n"/>
      <c r="J8" s="6" t="n"/>
    </row>
    <row r="9" ht="15" customHeight="1" s="146" thickBot="1">
      <c r="A9" s="19" t="inlineStr">
        <is>
          <t>Low price point</t>
        </is>
      </c>
      <c r="B9" s="20" t="n">
        <v>117</v>
      </c>
      <c r="C9" s="20" t="n">
        <v>98</v>
      </c>
      <c r="D9" s="20" t="n">
        <v>70</v>
      </c>
      <c r="E9" s="7">
        <f>IF(COUNT(B9:D9)=0,"",MAX(B9:D9))</f>
        <v/>
      </c>
      <c r="F9" s="7">
        <f>IF(B9="","",IF(B9&gt;=110,"IMPORTANT",IF(B9&lt;100,"CAUTION","")))</f>
        <v/>
      </c>
      <c r="G9" s="7">
        <f>IF(C9="","",IF(C9&gt;=110,"IMPORTANT",IF(C9&lt;100,"CAUTION","")))</f>
        <v/>
      </c>
      <c r="H9" s="7">
        <f>IF(D9="","",IF(D9&gt;=110,"IMPORTANT",IF(D9&lt;100,"CAUTION","")))</f>
        <v/>
      </c>
      <c r="I9" s="6" t="n"/>
      <c r="J9" s="6" t="n"/>
    </row>
    <row r="10" ht="15" customHeight="1" s="146" thickBot="1">
      <c r="A10" s="17" t="inlineStr">
        <is>
          <t>Sleek</t>
        </is>
      </c>
      <c r="B10" s="18" t="n">
        <v>104</v>
      </c>
      <c r="C10" s="18" t="n">
        <v>83</v>
      </c>
      <c r="D10" s="18" t="n">
        <v>119</v>
      </c>
      <c r="E10" s="7">
        <f>IF(COUNT(B10:D10)=0,"",MAX(B10:D10))</f>
        <v/>
      </c>
      <c r="F10" s="7">
        <f>IF(B10="","",IF(B10&gt;=110,"IMPORTANT",IF(B10&lt;100,"CAUTION","")))</f>
        <v/>
      </c>
      <c r="G10" s="7">
        <f>IF(C10="","",IF(C10&gt;=110,"IMPORTANT",IF(C10&lt;100,"CAUTION","")))</f>
        <v/>
      </c>
      <c r="H10" s="7">
        <f>IF(D10="","",IF(D10&gt;=110,"IMPORTANT",IF(D10&lt;100,"CAUTION","")))</f>
        <v/>
      </c>
      <c r="I10" s="6" t="n"/>
      <c r="J10" s="6" t="n"/>
    </row>
    <row r="11" ht="15" customHeight="1" s="146" thickBot="1">
      <c r="A11" s="19" t="inlineStr">
        <is>
          <t>Stylish</t>
        </is>
      </c>
      <c r="B11" s="20" t="n">
        <v>111</v>
      </c>
      <c r="C11" s="20" t="n">
        <v>118</v>
      </c>
      <c r="D11" s="20" t="n">
        <v>116</v>
      </c>
      <c r="E11" s="7">
        <f>IF(COUNT(B11:D11)=0,"",MAX(B11:D11))</f>
        <v/>
      </c>
      <c r="F11" s="7">
        <f>IF(B11="","",IF(B11&gt;=110,"IMPORTANT",IF(B11&lt;100,"CAUTION","")))</f>
        <v/>
      </c>
      <c r="G11" s="7">
        <f>IF(C11="","",IF(C11&gt;=110,"IMPORTANT",IF(C11&lt;100,"CAUTION","")))</f>
        <v/>
      </c>
      <c r="H11" s="7">
        <f>IF(D11="","",IF(D11&gt;=110,"IMPORTANT",IF(D11&lt;100,"CAUTION","")))</f>
        <v/>
      </c>
      <c r="I11" s="6" t="n"/>
      <c r="J11" s="6" t="n"/>
    </row>
    <row r="12" ht="15" customHeight="1" s="146" thickBot="1">
      <c r="A12" s="17" t="inlineStr">
        <is>
          <t>Easy to ride</t>
        </is>
      </c>
      <c r="B12" s="18" t="n">
        <v>124</v>
      </c>
      <c r="C12" s="18" t="n">
        <v>100</v>
      </c>
      <c r="D12" s="18" t="n">
        <v>102</v>
      </c>
      <c r="E12" s="7">
        <f>IF(COUNT(B12:D12)=0,"",MAX(B12:D12))</f>
        <v/>
      </c>
      <c r="F12" s="7">
        <f>IF(B12="","",IF(B12&gt;=110,"IMPORTANT",IF(B12&lt;100,"CAUTION","")))</f>
        <v/>
      </c>
      <c r="G12" s="7">
        <f>IF(C12="","",IF(C12&gt;=110,"IMPORTANT",IF(C12&lt;100,"CAUTION","")))</f>
        <v/>
      </c>
      <c r="H12" s="7">
        <f>IF(D12="","",IF(D12&gt;=110,"IMPORTANT",IF(D12&lt;100,"CAUTION","")))</f>
        <v/>
      </c>
      <c r="I12" s="6" t="n"/>
      <c r="J12" s="6" t="n"/>
    </row>
    <row r="13" ht="15" customHeight="1" s="146" thickBot="1">
      <c r="A13" s="19" t="inlineStr">
        <is>
          <t>Comfortable</t>
        </is>
      </c>
      <c r="B13" s="20" t="n">
        <v>124</v>
      </c>
      <c r="C13" s="20" t="n">
        <v>95</v>
      </c>
      <c r="D13" s="20" t="n">
        <v>101</v>
      </c>
      <c r="E13" s="7">
        <f>IF(COUNT(B13:D13)=0,"",MAX(B13:D13))</f>
        <v/>
      </c>
      <c r="F13" s="7">
        <f>IF(B13="","",IF(B13&gt;=110,"IMPORTANT",IF(B13&lt;100,"CAUTION","")))</f>
        <v/>
      </c>
      <c r="G13" s="7">
        <f>IF(C13="","",IF(C13&gt;=110,"IMPORTANT",IF(C13&lt;100,"CAUTION","")))</f>
        <v/>
      </c>
      <c r="H13" s="7">
        <f>IF(D13="","",IF(D13&gt;=110,"IMPORTANT",IF(D13&lt;100,"CAUTION","")))</f>
        <v/>
      </c>
      <c r="I13" s="6" t="n"/>
      <c r="J13" s="6" t="n"/>
    </row>
    <row r="14" ht="15" customHeight="1" s="146" thickBot="1">
      <c r="A14" s="17" t="inlineStr">
        <is>
          <t>Soft ride</t>
        </is>
      </c>
      <c r="B14" s="18" t="n">
        <v>115</v>
      </c>
      <c r="C14" s="18" t="n">
        <v>89</v>
      </c>
      <c r="D14" s="18" t="n">
        <v>87</v>
      </c>
      <c r="E14" s="7">
        <f>IF(COUNT(B14:D14)=0,"",MAX(B14:D14))</f>
        <v/>
      </c>
      <c r="F14" s="7">
        <f>IF(B14="","",IF(B14&gt;=110,"IMPORTANT",IF(B14&lt;100,"CAUTION","")))</f>
        <v/>
      </c>
      <c r="G14" s="7">
        <f>IF(C14="","",IF(C14&gt;=110,"IMPORTANT",IF(C14&lt;100,"CAUTION","")))</f>
        <v/>
      </c>
      <c r="H14" s="7">
        <f>IF(D14="","",IF(D14&gt;=110,"IMPORTANT",IF(D14&lt;100,"CAUTION","")))</f>
        <v/>
      </c>
      <c r="I14" s="6" t="n"/>
      <c r="J14" s="6" t="n"/>
    </row>
    <row r="15" ht="15" customHeight="1" s="146" thickBot="1">
      <c r="A15" s="19" t="inlineStr">
        <is>
          <t>Repair, parts, support nearby</t>
        </is>
      </c>
      <c r="B15" s="20" t="n">
        <v>119</v>
      </c>
      <c r="C15" s="20" t="n">
        <v>121</v>
      </c>
      <c r="D15" s="20" t="n">
        <v>120</v>
      </c>
      <c r="E15" s="7">
        <f>IF(COUNT(B15:D15)=0,"",MAX(B15:D15))</f>
        <v/>
      </c>
      <c r="F15" s="7">
        <f>IF(B15="","",IF(B15&gt;=110,"IMPORTANT",IF(B15&lt;100,"CAUTION","")))</f>
        <v/>
      </c>
      <c r="G15" s="7">
        <f>IF(C15="","",IF(C15&gt;=110,"IMPORTANT",IF(C15&lt;100,"CAUTION","")))</f>
        <v/>
      </c>
      <c r="H15" s="7">
        <f>IF(D15="","",IF(D15&gt;=110,"IMPORTANT",IF(D15&lt;100,"CAUTION","")))</f>
        <v/>
      </c>
      <c r="I15" s="6" t="n"/>
      <c r="J15" s="6" t="n"/>
    </row>
    <row r="16" ht="15" customHeight="1" s="146" thickBot="1">
      <c r="A16" s="17" t="inlineStr">
        <is>
          <t>Can handle rough terrain</t>
        </is>
      </c>
      <c r="B16" s="18" t="n">
        <v>111</v>
      </c>
      <c r="C16" s="18" t="n">
        <v>128</v>
      </c>
      <c r="D16" s="18" t="n">
        <v>82</v>
      </c>
      <c r="E16" s="7">
        <f>IF(COUNT(B16:D16)=0,"",MAX(B16:D16))</f>
        <v/>
      </c>
      <c r="F16" s="7">
        <f>IF(B16="","",IF(B16&gt;=110,"IMPORTANT",IF(B16&lt;100,"CAUTION","")))</f>
        <v/>
      </c>
      <c r="G16" s="7">
        <f>IF(C16="","",IF(C16&gt;=110,"IMPORTANT",IF(C16&lt;100,"CAUTION","")))</f>
        <v/>
      </c>
      <c r="H16" s="7">
        <f>IF(D16="","",IF(D16&gt;=110,"IMPORTANT",IF(D16&lt;100,"CAUTION","")))</f>
        <v/>
      </c>
      <c r="I16" s="6" t="n"/>
      <c r="J16" s="6" t="n"/>
    </row>
    <row r="17" ht="15" customHeight="1" s="146" thickBot="1">
      <c r="A17" s="19" t="inlineStr">
        <is>
          <t>Can stop quickly</t>
        </is>
      </c>
      <c r="B17" s="20" t="n">
        <v>114</v>
      </c>
      <c r="C17" s="20" t="n">
        <v>123</v>
      </c>
      <c r="D17" s="20" t="n">
        <v>110</v>
      </c>
      <c r="E17" s="7">
        <f>IF(COUNT(B17:D17)=0,"",MAX(B17:D17))</f>
        <v/>
      </c>
      <c r="F17" s="7">
        <f>IF(B17="","",IF(B17&gt;=110,"IMPORTANT",IF(B17&lt;100,"CAUTION","")))</f>
        <v/>
      </c>
      <c r="G17" s="7">
        <f>IF(C17="","",IF(C17&gt;=110,"IMPORTANT",IF(C17&lt;100,"CAUTION","")))</f>
        <v/>
      </c>
      <c r="H17" s="7">
        <f>IF(D17="","",IF(D17&gt;=110,"IMPORTANT",IF(D17&lt;100,"CAUTION","")))</f>
        <v/>
      </c>
      <c r="I17" s="6" t="n"/>
      <c r="J17" s="6" t="n"/>
    </row>
    <row r="18" ht="15" customHeight="1" s="146" thickBot="1">
      <c r="A18" s="17" t="inlineStr">
        <is>
          <t>Precise speed control-turns, hills</t>
        </is>
      </c>
      <c r="B18" s="18" t="n">
        <v>103</v>
      </c>
      <c r="C18" s="18" t="n">
        <v>106</v>
      </c>
      <c r="D18" s="18" t="n">
        <v>117</v>
      </c>
      <c r="E18" s="7">
        <f>IF(COUNT(B18:D18)=0,"",MAX(B18:D18))</f>
        <v/>
      </c>
      <c r="F18" s="7">
        <f>IF(B18="","",IF(B18&gt;=110,"IMPORTANT",IF(B18&lt;100,"CAUTION","")))</f>
        <v/>
      </c>
      <c r="G18" s="7">
        <f>IF(C18="","",IF(C18&gt;=110,"IMPORTANT",IF(C18&lt;100,"CAUTION","")))</f>
        <v/>
      </c>
      <c r="H18" s="7">
        <f>IF(D18="","",IF(D18&gt;=110,"IMPORTANT",IF(D18&lt;100,"CAUTION","")))</f>
        <v/>
      </c>
      <c r="I18" s="6" t="n"/>
      <c r="J18" s="6" t="n"/>
    </row>
    <row r="19" ht="15" customHeight="1" s="146" thickBot="1">
      <c r="A19" s="19" t="inlineStr">
        <is>
          <t>On-road and off-road capabilities</t>
        </is>
      </c>
      <c r="B19" s="20" t="n">
        <v>114</v>
      </c>
      <c r="C19" s="20" t="n">
        <v>95</v>
      </c>
      <c r="D19" s="20" t="n">
        <v>69</v>
      </c>
      <c r="E19" s="7">
        <f>IF(COUNT(B19:D19)=0,"",MAX(B19:D19))</f>
        <v/>
      </c>
      <c r="F19" s="7">
        <f>IF(B19="","",IF(B19&gt;=110,"IMPORTANT",IF(B19&lt;100,"CAUTION","")))</f>
        <v/>
      </c>
      <c r="G19" s="7">
        <f>IF(C19="","",IF(C19&gt;=110,"IMPORTANT",IF(C19&lt;100,"CAUTION","")))</f>
        <v/>
      </c>
      <c r="H19" s="7">
        <f>IF(D19="","",IF(D19&gt;=110,"IMPORTANT",IF(D19&lt;100,"CAUTION","")))</f>
        <v/>
      </c>
      <c r="I19" s="6" t="n"/>
      <c r="J19" s="6" t="n"/>
    </row>
    <row r="20" ht="15" customHeight="1" s="146" thickBot="1">
      <c r="A20" s="17" t="inlineStr">
        <is>
          <t>Can carry things</t>
        </is>
      </c>
      <c r="B20" s="18" t="n">
        <v>117</v>
      </c>
      <c r="C20" s="18" t="n">
        <v>104</v>
      </c>
      <c r="D20" s="18" t="n">
        <v>69</v>
      </c>
      <c r="E20" s="7">
        <f>IF(COUNT(B20:D20)=0,"",MAX(B20:D20))</f>
        <v/>
      </c>
      <c r="F20" s="7">
        <f>IF(B20="","",IF(B20&gt;=110,"IMPORTANT",IF(B20&lt;100,"CAUTION","")))</f>
        <v/>
      </c>
      <c r="G20" s="7">
        <f>IF(C20="","",IF(C20&gt;=110,"IMPORTANT",IF(C20&lt;100,"CAUTION","")))</f>
        <v/>
      </c>
      <c r="H20" s="7">
        <f>IF(D20="","",IF(D20&gt;=110,"IMPORTANT",IF(D20&lt;100,"CAUTION","")))</f>
        <v/>
      </c>
      <c r="I20" s="6" t="n"/>
      <c r="J20" s="6" t="n"/>
    </row>
    <row r="21" ht="15" customHeight="1" s="146" thickBot="1">
      <c r="A21" s="19" t="inlineStr">
        <is>
          <t>Durable</t>
        </is>
      </c>
      <c r="B21" s="20" t="n">
        <v>108</v>
      </c>
      <c r="C21" s="20" t="n">
        <v>127</v>
      </c>
      <c r="D21" s="20" t="n">
        <v>117</v>
      </c>
      <c r="E21" s="7">
        <f>IF(COUNT(B21:D21)=0,"",MAX(B21:D21))</f>
        <v/>
      </c>
      <c r="F21" s="7">
        <f>IF(B21="","",IF(B21&gt;=110,"IMPORTANT",IF(B21&lt;100,"CAUTION","")))</f>
        <v/>
      </c>
      <c r="G21" s="7">
        <f>IF(C21="","",IF(C21&gt;=110,"IMPORTANT",IF(C21&lt;100,"CAUTION","")))</f>
        <v/>
      </c>
      <c r="H21" s="7">
        <f>IF(D21="","",IF(D21&gt;=110,"IMPORTANT",IF(D21&lt;100,"CAUTION","")))</f>
        <v/>
      </c>
      <c r="I21" s="6" t="n"/>
      <c r="J21" s="6" t="n"/>
    </row>
    <row r="22" ht="15" customHeight="1" s="146" thickBot="1">
      <c r="A22" s="17" t="inlineStr">
        <is>
          <t>Feel young at heart</t>
        </is>
      </c>
      <c r="B22" s="18" t="n">
        <v>120</v>
      </c>
      <c r="C22" s="18" t="n">
        <v>115</v>
      </c>
      <c r="D22" s="18" t="n">
        <v>117</v>
      </c>
      <c r="E22" s="7">
        <f>IF(COUNT(B22:D22)=0,"",MAX(B22:D22))</f>
        <v/>
      </c>
      <c r="F22" s="7">
        <f>IF(B22="","",IF(B22&gt;=110,"IMPORTANT",IF(B22&lt;100,"CAUTION","")))</f>
        <v/>
      </c>
      <c r="G22" s="7">
        <f>IF(C22="","",IF(C22&gt;=110,"IMPORTANT",IF(C22&lt;100,"CAUTION","")))</f>
        <v/>
      </c>
      <c r="H22" s="7">
        <f>IF(D22="","",IF(D22&gt;=110,"IMPORTANT",IF(D22&lt;100,"CAUTION","")))</f>
        <v/>
      </c>
      <c r="I22" s="6" t="n"/>
      <c r="J22" s="6" t="n"/>
    </row>
    <row r="23" ht="15" customHeight="1" s="146" thickBot="1">
      <c r="A23" s="19" t="inlineStr">
        <is>
          <t>Can turn sharply</t>
        </is>
      </c>
      <c r="B23" s="20" t="n">
        <v>113</v>
      </c>
      <c r="C23" s="20" t="n">
        <v>124</v>
      </c>
      <c r="D23" s="20" t="n">
        <v>115</v>
      </c>
      <c r="E23" s="7">
        <f>IF(COUNT(B23:D23)=0,"",MAX(B23:D23))</f>
        <v/>
      </c>
      <c r="F23" s="7">
        <f>IF(B23="","",IF(B23&gt;=110,"IMPORTANT",IF(B23&lt;100,"CAUTION","")))</f>
        <v/>
      </c>
      <c r="G23" s="7">
        <f>IF(C23="","",IF(C23&gt;=110,"IMPORTANT",IF(C23&lt;100,"CAUTION","")))</f>
        <v/>
      </c>
      <c r="H23" s="7">
        <f>IF(D23="","",IF(D23&gt;=110,"IMPORTANT",IF(D23&lt;100,"CAUTION","")))</f>
        <v/>
      </c>
      <c r="I23" s="6" t="n"/>
      <c r="J23" s="6" t="n"/>
    </row>
    <row r="24" ht="15" customHeight="1" s="146" thickBot="1">
      <c r="A24" s="17" t="inlineStr">
        <is>
          <t>Light weight</t>
        </is>
      </c>
      <c r="B24" s="18" t="n">
        <v>115</v>
      </c>
      <c r="C24" s="18" t="n">
        <v>121</v>
      </c>
      <c r="D24" s="18" t="n">
        <v>133</v>
      </c>
      <c r="E24" s="7">
        <f>IF(COUNT(B24:D24)=0,"",MAX(B24:D24))</f>
        <v/>
      </c>
      <c r="F24" s="7">
        <f>IF(B24="","",IF(B24&gt;=110,"IMPORTANT",IF(B24&lt;100,"CAUTION","")))</f>
        <v/>
      </c>
      <c r="G24" s="7">
        <f>IF(C24="","",IF(C24&gt;=110,"IMPORTANT",IF(C24&lt;100,"CAUTION","")))</f>
        <v/>
      </c>
      <c r="H24" s="7">
        <f>IF(D24="","",IF(D24&gt;=110,"IMPORTANT",IF(D24&lt;100,"CAUTION","")))</f>
        <v/>
      </c>
      <c r="I24" s="6" t="n"/>
      <c r="J24" s="6" t="n"/>
    </row>
    <row r="25" ht="15" customHeight="1" s="146" thickBot="1">
      <c r="A25" s="19" t="inlineStr">
        <is>
          <t>High visibility</t>
        </is>
      </c>
      <c r="B25" s="20" t="n">
        <v>117</v>
      </c>
      <c r="C25" s="20" t="n">
        <v>103</v>
      </c>
      <c r="D25" s="20" t="n">
        <v>119</v>
      </c>
      <c r="E25" s="7">
        <f>IF(COUNT(B25:D25)=0,"",MAX(B25:D25))</f>
        <v/>
      </c>
      <c r="F25" s="7">
        <f>IF(B25="","",IF(B25&gt;=110,"IMPORTANT",IF(B25&lt;100,"CAUTION","")))</f>
        <v/>
      </c>
      <c r="G25" s="7">
        <f>IF(C25="","",IF(C25&gt;=110,"IMPORTANT",IF(C25&lt;100,"CAUTION","")))</f>
        <v/>
      </c>
      <c r="H25" s="7">
        <f>IF(D25="","",IF(D25&gt;=110,"IMPORTANT",IF(D25&lt;100,"CAUTION","")))</f>
        <v/>
      </c>
      <c r="I25" s="6" t="n"/>
      <c r="J25" s="6" t="n"/>
    </row>
    <row r="26" ht="15" customHeight="1" s="146" thickBot="1">
      <c r="A26" s="17" t="inlineStr">
        <is>
          <t>Easily handles change in incline</t>
        </is>
      </c>
      <c r="B26" s="18" t="n">
        <v>107</v>
      </c>
      <c r="C26" s="18" t="n">
        <v>131</v>
      </c>
      <c r="D26" s="18" t="n">
        <v>113</v>
      </c>
      <c r="E26" s="7">
        <f>IF(COUNT(B26:D26)=0,"",MAX(B26:D26))</f>
        <v/>
      </c>
      <c r="F26" s="7">
        <f>IF(B26="","",IF(B26&gt;=110,"IMPORTANT",IF(B26&lt;100,"CAUTION","")))</f>
        <v/>
      </c>
      <c r="G26" s="7">
        <f>IF(C26="","",IF(C26&gt;=110,"IMPORTANT",IF(C26&lt;100,"CAUTION","")))</f>
        <v/>
      </c>
      <c r="H26" s="7">
        <f>IF(D26="","",IF(D26&gt;=110,"IMPORTANT",IF(D26&lt;100,"CAUTION","")))</f>
        <v/>
      </c>
      <c r="I26" s="6" t="n"/>
      <c r="J26" s="6" t="n"/>
    </row>
    <row r="27" ht="15" customHeight="1" s="146" thickBot="1">
      <c r="A27" s="19" t="inlineStr">
        <is>
          <t>Speed</t>
        </is>
      </c>
      <c r="B27" s="20" t="n">
        <v>110</v>
      </c>
      <c r="C27" s="20" t="n">
        <v>109</v>
      </c>
      <c r="D27" s="20" t="n">
        <v>134</v>
      </c>
      <c r="E27" s="7">
        <f>IF(COUNT(B27:D27)=0,"",MAX(B27:D27))</f>
        <v/>
      </c>
      <c r="F27" s="7">
        <f>IF(B27="","",IF(B27&gt;=110,"IMPORTANT",IF(B27&lt;100,"CAUTION","")))</f>
        <v/>
      </c>
      <c r="G27" s="7">
        <f>IF(C27="","",IF(C27&gt;=110,"IMPORTANT",IF(C27&lt;100,"CAUTION","")))</f>
        <v/>
      </c>
      <c r="H27" s="7">
        <f>IF(D27="","",IF(D27&gt;=110,"IMPORTANT",IF(D27&lt;100,"CAUTION","")))</f>
        <v/>
      </c>
      <c r="I27" s="6" t="n"/>
      <c r="J27" s="6" t="n"/>
    </row>
    <row r="28" ht="15" customHeight="1" s="146" thickBot="1">
      <c r="A28" s="17" t="inlineStr">
        <is>
          <t>Shifts smoothly</t>
        </is>
      </c>
      <c r="B28" s="18" t="n">
        <v>118</v>
      </c>
      <c r="C28" s="18" t="n">
        <v>118</v>
      </c>
      <c r="D28" s="18" t="n">
        <v>118</v>
      </c>
      <c r="E28" s="7">
        <f>IF(COUNT(B28:D28)=0,"",MAX(B28:D28))</f>
        <v/>
      </c>
      <c r="F28" s="7">
        <f>IF(B28="","",IF(B28&gt;=110,"IMPORTANT",IF(B28&lt;100,"CAUTION","")))</f>
        <v/>
      </c>
      <c r="G28" s="7">
        <f>IF(C28="","",IF(C28&gt;=110,"IMPORTANT",IF(C28&lt;100,"CAUTION","")))</f>
        <v/>
      </c>
      <c r="H28" s="7">
        <f>IF(D28="","",IF(D28&gt;=110,"IMPORTANT",IF(D28&lt;100,"CAUTION","")))</f>
        <v/>
      </c>
      <c r="I28" s="6" t="n"/>
      <c r="J28" s="6" t="n"/>
    </row>
    <row r="29" ht="15" customHeight="1" s="146" thickBot="1">
      <c r="A29" s="19" t="inlineStr">
        <is>
          <t>Provides competitive advantage</t>
        </is>
      </c>
      <c r="B29" s="20" t="n">
        <v>98</v>
      </c>
      <c r="C29" s="20" t="n">
        <v>117</v>
      </c>
      <c r="D29" s="20" t="n">
        <v>124</v>
      </c>
      <c r="E29" s="7">
        <f>IF(COUNT(B29:D29)=0,"",MAX(B29:D29))</f>
        <v/>
      </c>
      <c r="F29" s="7">
        <f>IF(B29="","",IF(B29&gt;=110,"IMPORTANT",IF(B29&lt;100,"CAUTION","")))</f>
        <v/>
      </c>
      <c r="G29" s="7">
        <f>IF(C29="","",IF(C29&gt;=110,"IMPORTANT",IF(C29&lt;100,"CAUTION","")))</f>
        <v/>
      </c>
      <c r="H29" s="7">
        <f>IF(D29="","",IF(D29&gt;=110,"IMPORTANT",IF(D29&lt;100,"CAUTION","")))</f>
        <v/>
      </c>
      <c r="I29" s="6" t="n"/>
      <c r="J29" s="6" t="n"/>
    </row>
    <row r="30" ht="15" customHeight="1" s="146" thickBot="1">
      <c r="A30" s="17" t="inlineStr">
        <is>
          <t>Aerodynamic</t>
        </is>
      </c>
      <c r="B30" s="18" t="n">
        <v>80</v>
      </c>
      <c r="C30" s="18" t="n">
        <v>88</v>
      </c>
      <c r="D30" s="18" t="n">
        <v>122</v>
      </c>
      <c r="E30" s="7">
        <f>IF(COUNT(B30:D30)=0,"",MAX(B30:D30))</f>
        <v/>
      </c>
      <c r="F30" s="7">
        <f>IF(B30="","",IF(B30&gt;=110,"IMPORTANT",IF(B30&lt;100,"CAUTION","")))</f>
        <v/>
      </c>
      <c r="G30" s="7">
        <f>IF(C30="","",IF(C30&gt;=110,"IMPORTANT",IF(C30&lt;100,"CAUTION","")))</f>
        <v/>
      </c>
      <c r="H30" s="7">
        <f>IF(D30="","",IF(D30&gt;=110,"IMPORTANT",IF(D30&lt;100,"CAUTION","")))</f>
        <v/>
      </c>
      <c r="I30" s="6" t="n"/>
      <c r="J30" s="6" t="n"/>
    </row>
    <row r="31" ht="15" customHeight="1" s="146" thickBot="1">
      <c r="A31" s="19" t="inlineStr">
        <is>
          <t>Rider expertise required</t>
        </is>
      </c>
      <c r="B31" s="20" t="n">
        <v>103</v>
      </c>
      <c r="C31" s="20" t="n">
        <v>123</v>
      </c>
      <c r="D31" s="20" t="n">
        <v>126</v>
      </c>
      <c r="E31" s="7">
        <f>IF(COUNT(B31:D31)=0,"",MAX(B31:D31))</f>
        <v/>
      </c>
      <c r="F31" s="7">
        <f>IF(B31="","",IF(B31&gt;=110,"IMPORTANT",IF(B31&lt;100,"CAUTION","")))</f>
        <v/>
      </c>
      <c r="G31" s="7">
        <f>IF(C31="","",IF(C31&gt;=110,"IMPORTANT",IF(C31&lt;100,"CAUTION","")))</f>
        <v/>
      </c>
      <c r="H31" s="7">
        <f>IF(D31="","",IF(D31&gt;=110,"IMPORTANT",IF(D31&lt;100,"CAUTION","")))</f>
        <v/>
      </c>
      <c r="I31" s="6" t="n"/>
      <c r="J31" s="6" t="n"/>
    </row>
    <row r="32" ht="15" customHeight="1" s="146" thickBot="1">
      <c r="A32" s="17" t="inlineStr">
        <is>
          <t>Status symbol/exclusivity</t>
        </is>
      </c>
      <c r="B32" s="18" t="n">
        <v>111</v>
      </c>
      <c r="C32" s="18" t="n">
        <v>121</v>
      </c>
      <c r="D32" s="18" t="n">
        <v>116</v>
      </c>
      <c r="E32" s="7">
        <f>IF(COUNT(B32:D32)=0,"",MAX(B32:D32))</f>
        <v/>
      </c>
      <c r="F32" s="7">
        <f>IF(B32="","",IF(B32&gt;=110,"IMPORTANT",IF(B32&lt;100,"CAUTION","")))</f>
        <v/>
      </c>
      <c r="G32" s="7">
        <f>IF(C32="","",IF(C32&gt;=110,"IMPORTANT",IF(C32&lt;100,"CAUTION","")))</f>
        <v/>
      </c>
      <c r="H32" s="7">
        <f>IF(D32="","",IF(D32&gt;=110,"IMPORTANT",IF(D32&lt;100,"CAUTION","")))</f>
        <v/>
      </c>
      <c r="I32" s="6" t="n"/>
      <c r="J32" s="6" t="n"/>
    </row>
    <row r="33" ht="15" customHeight="1" s="146" thickBot="1">
      <c r="A33" s="19" t="inlineStr">
        <is>
          <t>Navigation assistance</t>
        </is>
      </c>
      <c r="B33" s="20" t="n">
        <v>115</v>
      </c>
      <c r="C33" s="20" t="n">
        <v>117</v>
      </c>
      <c r="D33" s="20" t="n">
        <v>118</v>
      </c>
      <c r="E33" s="7">
        <f>IF(COUNT(B33:D33)=0,"",MAX(B33:D33))</f>
        <v/>
      </c>
      <c r="F33" s="7">
        <f>IF(B33="","",IF(B33&gt;=110,"IMPORTANT",IF(B33&lt;100,"CAUTION","")))</f>
        <v/>
      </c>
      <c r="G33" s="7">
        <f>IF(C33="","",IF(C33&gt;=110,"IMPORTANT",IF(C33&lt;100,"CAUTION","")))</f>
        <v/>
      </c>
      <c r="H33" s="7">
        <f>IF(D33="","",IF(D33&gt;=110,"IMPORTANT",IF(D33&lt;100,"CAUTION","")))</f>
        <v/>
      </c>
      <c r="I33" s="6" t="n"/>
      <c r="J33" s="6" t="n"/>
    </row>
    <row r="34" ht="15" customHeight="1" s="146" thickBot="1">
      <c r="A34" s="17" t="inlineStr">
        <is>
          <t>Soften the impact of rough terrain</t>
        </is>
      </c>
      <c r="B34" s="18" t="n">
        <v>116</v>
      </c>
      <c r="C34" s="18" t="n">
        <v>124</v>
      </c>
      <c r="D34" s="18" t="n">
        <v>90</v>
      </c>
      <c r="E34" s="7">
        <f>IF(COUNT(B34:D34)=0,"",MAX(B34:D34))</f>
        <v/>
      </c>
      <c r="F34" s="7">
        <f>IF(B34="","",IF(B34&gt;=110,"IMPORTANT",IF(B34&lt;100,"CAUTION","")))</f>
        <v/>
      </c>
      <c r="G34" s="7">
        <f>IF(C34="","",IF(C34&gt;=110,"IMPORTANT",IF(C34&lt;100,"CAUTION","")))</f>
        <v/>
      </c>
      <c r="H34" s="7">
        <f>IF(D34="","",IF(D34&gt;=110,"IMPORTANT",IF(D34&lt;100,"CAUTION","")))</f>
        <v/>
      </c>
      <c r="I34" s="6" t="n"/>
      <c r="J34" s="6" t="n"/>
    </row>
    <row r="35" ht="15" customHeight="1" s="146" thickBot="1">
      <c r="A35" s="21" t="inlineStr">
        <is>
          <t>Easy to navigate on web site</t>
        </is>
      </c>
      <c r="B35" s="22" t="n">
        <v>128</v>
      </c>
      <c r="C35" s="22" t="n">
        <v>118</v>
      </c>
      <c r="D35" s="22" t="n">
        <v>123</v>
      </c>
      <c r="E35" s="7">
        <f>IF(COUNT(B35:D35)=0,"",MAX(B35:D35))</f>
        <v/>
      </c>
      <c r="F35" s="7">
        <f>IF(B35="","",IF(B35&gt;=110,"IMPORTANT",IF(B35&lt;100,"CAUTION","")))</f>
        <v/>
      </c>
      <c r="G35" s="7">
        <f>IF(C35="","",IF(C35&gt;=110,"IMPORTANT",IF(C35&lt;100,"CAUTION","")))</f>
        <v/>
      </c>
      <c r="H35" s="7">
        <f>IF(D35="","",IF(D35&gt;=110,"IMPORTANT",IF(D35&lt;100,"CAUTION","")))</f>
        <v/>
      </c>
      <c r="I35" s="6" t="n"/>
      <c r="J35" s="6" t="inlineStr">
        <is>
          <t>Web focus</t>
        </is>
      </c>
    </row>
    <row r="36" ht="15" customHeight="1" s="146" thickBot="1">
      <c r="A36" s="17" t="inlineStr">
        <is>
          <t>Security of my credit card/identity</t>
        </is>
      </c>
      <c r="B36" s="18" t="n">
        <v>135</v>
      </c>
      <c r="C36" s="18" t="n">
        <v>123</v>
      </c>
      <c r="D36" s="18" t="n">
        <v>124</v>
      </c>
      <c r="E36" s="7">
        <f>IF(COUNT(B36:D36)=0,"",MAX(B36:D36))</f>
        <v/>
      </c>
      <c r="F36" s="7">
        <f>IF(B36="","",IF(B36&gt;=110,"IMPORTANT",IF(B36&lt;100,"CAUTION","")))</f>
        <v/>
      </c>
      <c r="G36" s="7">
        <f>IF(C36="","",IF(C36&gt;=110,"IMPORTANT",IF(C36&lt;100,"CAUTION","")))</f>
        <v/>
      </c>
      <c r="H36" s="7">
        <f>IF(D36="","",IF(D36&gt;=110,"IMPORTANT",IF(D36&lt;100,"CAUTION","")))</f>
        <v/>
      </c>
      <c r="I36" s="6" t="n"/>
      <c r="J36" s="6" t="inlineStr">
        <is>
          <t>Web focus</t>
        </is>
      </c>
    </row>
    <row r="37" ht="15" customHeight="1" s="146" thickBot="1">
      <c r="A37" s="21" t="inlineStr">
        <is>
          <t>Likes to buy on the web</t>
        </is>
      </c>
      <c r="B37" s="22" t="n">
        <v>121</v>
      </c>
      <c r="C37" s="22" t="n">
        <v>122</v>
      </c>
      <c r="D37" s="22" t="n">
        <v>114</v>
      </c>
      <c r="E37" s="7">
        <f>IF(COUNT(B37:D37)=0,"",MAX(B37:D37))</f>
        <v/>
      </c>
      <c r="F37" s="7">
        <f>IF(B37="","",IF(B37&gt;=110,"IMPORTANT",IF(B37&lt;100,"CAUTION","")))</f>
        <v/>
      </c>
      <c r="G37" s="7">
        <f>IF(C37="","",IF(C37&gt;=110,"IMPORTANT",IF(C37&lt;100,"CAUTION","")))</f>
        <v/>
      </c>
      <c r="H37" s="7">
        <f>IF(D37="","",IF(D37&gt;=110,"IMPORTANT",IF(D37&lt;100,"CAUTION","")))</f>
        <v/>
      </c>
      <c r="I37" s="6" t="n"/>
      <c r="J37" s="6" t="inlineStr">
        <is>
          <t>Web focus</t>
        </is>
      </c>
    </row>
    <row r="38" ht="15" customHeight="1" s="146" thickBot="1">
      <c r="A38" s="17" t="inlineStr">
        <is>
          <t>Wants human sales reps/support</t>
        </is>
      </c>
      <c r="B38" s="18" t="n">
        <v>133</v>
      </c>
      <c r="C38" s="18" t="n">
        <v>122</v>
      </c>
      <c r="D38" s="18" t="n">
        <v>118</v>
      </c>
      <c r="E38" s="7">
        <f>IF(COUNT(B38:D38)=0,"",MAX(B38:D38))</f>
        <v/>
      </c>
      <c r="F38" s="7">
        <f>IF(B38="","",IF(B38&gt;=110,"IMPORTANT",IF(B38&lt;100,"CAUTION","")))</f>
        <v/>
      </c>
      <c r="G38" s="7">
        <f>IF(C38="","",IF(C38&gt;=110,"IMPORTANT",IF(C38&lt;100,"CAUTION","")))</f>
        <v/>
      </c>
      <c r="H38" s="7">
        <f>IF(D38="","",IF(D38&gt;=110,"IMPORTANT",IF(D38&lt;100,"CAUTION","")))</f>
        <v/>
      </c>
      <c r="I38" s="6" t="n"/>
      <c r="J38" s="6" t="inlineStr">
        <is>
          <t>Web focus</t>
        </is>
      </c>
    </row>
    <row r="39" ht="15" customHeight="1" s="146" thickBot="1">
      <c r="A39" s="21" t="inlineStr">
        <is>
          <t>Able to track my purchase</t>
        </is>
      </c>
      <c r="B39" s="22" t="n">
        <v>119</v>
      </c>
      <c r="C39" s="22" t="n">
        <v>124</v>
      </c>
      <c r="D39" s="22" t="n">
        <v>115</v>
      </c>
      <c r="E39" s="7">
        <f>IF(COUNT(B39:D39)=0,"",MAX(B39:D39))</f>
        <v/>
      </c>
      <c r="F39" s="7">
        <f>IF(B39="","",IF(B39&gt;=110,"IMPORTANT",IF(B39&lt;100,"CAUTION","")))</f>
        <v/>
      </c>
      <c r="G39" s="7">
        <f>IF(C39="","",IF(C39&gt;=110,"IMPORTANT",IF(C39&lt;100,"CAUTION","")))</f>
        <v/>
      </c>
      <c r="H39" s="7">
        <f>IF(D39="","",IF(D39&gt;=110,"IMPORTANT",IF(D39&lt;100,"CAUTION","")))</f>
        <v/>
      </c>
      <c r="I39" s="6" t="n"/>
      <c r="J39" s="6" t="inlineStr">
        <is>
          <t>Web focus</t>
        </is>
      </c>
    </row>
    <row r="40" ht="15" customHeight="1" s="146" thickBot="1">
      <c r="A40" s="17" t="inlineStr">
        <is>
          <t>Easy to make purchase on web</t>
        </is>
      </c>
      <c r="B40" s="18" t="n">
        <v>127</v>
      </c>
      <c r="C40" s="18" t="n">
        <v>113</v>
      </c>
      <c r="D40" s="18" t="n">
        <v>119</v>
      </c>
      <c r="E40" s="7">
        <f>IF(COUNT(B40:D40)=0,"",MAX(B40:D40))</f>
        <v/>
      </c>
      <c r="F40" s="7">
        <f>IF(B40="","",IF(B40&gt;=110,"IMPORTANT",IF(B40&lt;100,"CAUTION","")))</f>
        <v/>
      </c>
      <c r="G40" s="7">
        <f>IF(C40="","",IF(C40&gt;=110,"IMPORTANT",IF(C40&lt;100,"CAUTION","")))</f>
        <v/>
      </c>
      <c r="H40" s="7">
        <f>IF(D40="","",IF(D40&gt;=110,"IMPORTANT",IF(D40&lt;100,"CAUTION","")))</f>
        <v/>
      </c>
      <c r="I40" s="6" t="n"/>
      <c r="J40" s="6" t="inlineStr">
        <is>
          <t>Web focus</t>
        </is>
      </c>
    </row>
    <row r="43">
      <c r="A43" t="inlineStr">
        <is>
          <t>Segment averages</t>
        </is>
      </c>
      <c r="B43" s="27">
        <f>_xlfn.FLOOR.MATH((IFERROR(AVERAGE(B5:B41),"")*1))</f>
        <v/>
      </c>
      <c r="C43">
        <f>_xlfn.FLOOR.MATH((IFERROR(AVERAGE(C5:C41),"")*1))</f>
        <v/>
      </c>
      <c r="D43">
        <f>_xlfn.FLOOR.MATH((IFERROR(AVERAGE(D5:D41),"")*1))</f>
        <v/>
      </c>
    </row>
    <row r="44">
      <c r="A44" t="inlineStr">
        <is>
          <t>Segment averages, excluding web</t>
        </is>
      </c>
      <c r="B44" s="27">
        <f>_xlfn.FLOOR.MATH(IFERROR(AVERAGE(B5:B34),""),1)</f>
        <v/>
      </c>
      <c r="C44">
        <f>_xlfn.FLOOR.MATH(IFERROR(AVERAGE(C5:C34),""),1)</f>
        <v/>
      </c>
      <c r="D44">
        <f>_xlfn.FLOOR.MATH(IFERROR(AVERAGE(D5:D34),""),1)</f>
        <v/>
      </c>
    </row>
    <row r="45">
      <c r="A45" t="inlineStr">
        <is>
          <t>Segment averages, only web</t>
        </is>
      </c>
      <c r="B45" s="27">
        <f>_xlfn.FLOOR.MATH(IFERROR(AVERAGE(B35:B40),""),1)</f>
        <v/>
      </c>
      <c r="C45">
        <f>_xlfn.FLOOR.MATH(IFERROR(AVERAGE(C35:C40),""),1)</f>
        <v/>
      </c>
      <c r="D45">
        <f>_xlfn.FLOOR.MATH(IFERROR(AVERAGE(D35:D40),""),1)</f>
        <v/>
      </c>
    </row>
  </sheetData>
  <conditionalFormatting sqref="B5:B40">
    <cfRule type="top10" rank="10" priority="3" dxfId="2"/>
  </conditionalFormatting>
  <conditionalFormatting sqref="C5:C40">
    <cfRule type="top10" rank="10" priority="1" dxfId="2"/>
  </conditionalFormatting>
  <conditionalFormatting sqref="D5:D40">
    <cfRule type="top10" rank="10" priority="2" dxfId="2"/>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workbookViewId="0">
      <selection activeCell="G14" sqref="G14"/>
    </sheetView>
  </sheetViews>
  <sheetFormatPr baseColWidth="8" defaultRowHeight="14.5"/>
  <cols>
    <col width="34" customWidth="1" style="146" min="1" max="1"/>
    <col width="12" customWidth="1" style="146" min="2" max="4"/>
    <col width="8" customWidth="1" style="146" min="5" max="5"/>
    <col width="12" customWidth="1" style="146" min="6" max="8"/>
    <col width="36" customWidth="1" style="146" min="9" max="9"/>
    <col width="14" customWidth="1" style="146" min="10" max="10"/>
  </cols>
  <sheetData>
    <row r="1" ht="18.5" customHeight="1" s="146">
      <c r="A1" s="4" t="inlineStr">
        <is>
          <t>Applications / Use Patterns — Importance by Segment</t>
        </is>
      </c>
    </row>
    <row r="2">
      <c r="A2" s="1" t="inlineStr">
        <is>
          <t>≥110 = must design for | &lt;100 = may hurt appeal if over-emphasized</t>
        </is>
      </c>
    </row>
    <row r="4" ht="15" customHeight="1" s="146" thickBot="1">
      <c r="A4" s="2" t="inlineStr">
        <is>
          <t>Application / Use</t>
        </is>
      </c>
      <c r="B4" s="2" t="inlineStr">
        <is>
          <t>Recreation</t>
        </is>
      </c>
      <c r="C4" s="2" t="inlineStr">
        <is>
          <t>Mountain</t>
        </is>
      </c>
      <c r="D4" s="2" t="inlineStr">
        <is>
          <t>Speed</t>
        </is>
      </c>
      <c r="E4" s="2" t="inlineStr">
        <is>
          <t>Max</t>
        </is>
      </c>
      <c r="F4" s="2" t="inlineStr">
        <is>
          <t>Rec flag</t>
        </is>
      </c>
      <c r="G4" s="2" t="inlineStr">
        <is>
          <t>Mtn flag</t>
        </is>
      </c>
      <c r="H4" s="2" t="inlineStr">
        <is>
          <t>Spd flag</t>
        </is>
      </c>
      <c r="I4" s="2" t="inlineStr">
        <is>
          <t>Component implications</t>
        </is>
      </c>
      <c r="J4" s="2" t="inlineStr">
        <is>
          <t>Peer miss risk</t>
        </is>
      </c>
    </row>
    <row r="5" ht="15" customHeight="1" s="146" thickBot="1">
      <c r="A5" s="15" t="inlineStr">
        <is>
          <t>Recreation</t>
        </is>
      </c>
      <c r="B5" s="16" t="n">
        <v>129</v>
      </c>
      <c r="C5" s="16" t="n">
        <v>115</v>
      </c>
      <c r="D5" s="16" t="n">
        <v>106</v>
      </c>
      <c r="E5" s="7">
        <f>IF(COUNT(B5:D5)=0,"",MAX(B5:D5))</f>
        <v/>
      </c>
      <c r="F5" s="7">
        <f>IF(B5="","",IF(B5&gt;=110,"IMPORTANT",IF(B5&lt;100,"CAUTION","")))</f>
        <v/>
      </c>
      <c r="G5" s="7">
        <f>IF(C5="","",IF(C5&gt;=110,"IMPORTANT",IF(C5&lt;100,"CAUTION","")))</f>
        <v/>
      </c>
      <c r="H5" s="7">
        <f>IF(D5="","",IF(D5&gt;=110,"IMPORTANT",IF(D5&lt;100,"CAUTION","")))</f>
        <v/>
      </c>
      <c r="I5" s="6" t="n"/>
      <c r="J5" s="6" t="n"/>
    </row>
    <row r="6" ht="15" customHeight="1" s="146" thickBot="1">
      <c r="A6" s="17" t="inlineStr">
        <is>
          <t>Exercise</t>
        </is>
      </c>
      <c r="B6" s="18" t="n">
        <v>115</v>
      </c>
      <c r="C6" s="18" t="n">
        <v>118</v>
      </c>
      <c r="D6" s="18" t="n">
        <v>121</v>
      </c>
      <c r="E6" s="7">
        <f>IF(COUNT(B6:D6)=0,"",MAX(B6:D6))</f>
        <v/>
      </c>
      <c r="F6" s="7">
        <f>IF(B6="","",IF(B6&gt;=110,"IMPORTANT",IF(B6&lt;100,"CAUTION","")))</f>
        <v/>
      </c>
      <c r="G6" s="7">
        <f>IF(C6="","",IF(C6&gt;=110,"IMPORTANT",IF(C6&lt;100,"CAUTION","")))</f>
        <v/>
      </c>
      <c r="H6" s="7">
        <f>IF(D6="","",IF(D6&gt;=110,"IMPORTANT",IF(D6&lt;100,"CAUTION","")))</f>
        <v/>
      </c>
      <c r="I6" s="6" t="n"/>
      <c r="J6" s="6" t="n"/>
    </row>
    <row r="7" ht="15" customHeight="1" s="146" thickBot="1">
      <c r="A7" s="19" t="inlineStr">
        <is>
          <t>Relaxation</t>
        </is>
      </c>
      <c r="B7" s="20" t="n">
        <v>122</v>
      </c>
      <c r="C7" s="20" t="n">
        <v>108</v>
      </c>
      <c r="D7" s="20" t="n">
        <v>102</v>
      </c>
      <c r="E7" s="7">
        <f>IF(COUNT(B7:D7)=0,"",MAX(B7:D7))</f>
        <v/>
      </c>
      <c r="F7" s="7">
        <f>IF(B7="","",IF(B7&gt;=110,"IMPORTANT",IF(B7&lt;100,"CAUTION","")))</f>
        <v/>
      </c>
      <c r="G7" s="7">
        <f>IF(C7="","",IF(C7&gt;=110,"IMPORTANT",IF(C7&lt;100,"CAUTION","")))</f>
        <v/>
      </c>
      <c r="H7" s="7">
        <f>IF(D7="","",IF(D7&gt;=110,"IMPORTANT",IF(D7&lt;100,"CAUTION","")))</f>
        <v/>
      </c>
      <c r="I7" s="6" t="n"/>
      <c r="J7" s="6" t="n"/>
    </row>
    <row r="8" ht="15" customHeight="1" s="146" thickBot="1">
      <c r="A8" s="17" t="inlineStr">
        <is>
          <t>Fun</t>
        </is>
      </c>
      <c r="B8" s="18" t="n">
        <v>123</v>
      </c>
      <c r="C8" s="18" t="n">
        <v>115</v>
      </c>
      <c r="D8" s="18" t="n">
        <v>102</v>
      </c>
      <c r="E8" s="7">
        <f>IF(COUNT(B8:D8)=0,"",MAX(B8:D8))</f>
        <v/>
      </c>
      <c r="F8" s="7">
        <f>IF(B8="","",IF(B8&gt;=110,"IMPORTANT",IF(B8&lt;100,"CAUTION","")))</f>
        <v/>
      </c>
      <c r="G8" s="7">
        <f>IF(C8="","",IF(C8&gt;=110,"IMPORTANT",IF(C8&lt;100,"CAUTION","")))</f>
        <v/>
      </c>
      <c r="H8" s="7">
        <f>IF(D8="","",IF(D8&gt;=110,"IMPORTANT",IF(D8&lt;100,"CAUTION","")))</f>
        <v/>
      </c>
      <c r="I8" s="6" t="n"/>
      <c r="J8" s="6" t="n"/>
    </row>
    <row r="9" ht="15" customHeight="1" s="146" thickBot="1">
      <c r="A9" s="19" t="inlineStr">
        <is>
          <t>Adventure</t>
        </is>
      </c>
      <c r="B9" s="20" t="n">
        <v>112</v>
      </c>
      <c r="C9" s="20" t="n">
        <v>129</v>
      </c>
      <c r="D9" s="20" t="n">
        <v>117</v>
      </c>
      <c r="E9" s="7">
        <f>IF(COUNT(B9:D9)=0,"",MAX(B9:D9))</f>
        <v/>
      </c>
      <c r="F9" s="7">
        <f>IF(B9="","",IF(B9&gt;=110,"IMPORTANT",IF(B9&lt;100,"CAUTION","")))</f>
        <v/>
      </c>
      <c r="G9" s="7">
        <f>IF(C9="","",IF(C9&gt;=110,"IMPORTANT",IF(C9&lt;100,"CAUTION","")))</f>
        <v/>
      </c>
      <c r="H9" s="7">
        <f>IF(D9="","",IF(D9&gt;=110,"IMPORTANT",IF(D9&lt;100,"CAUTION","")))</f>
        <v/>
      </c>
      <c r="I9" s="6" t="n"/>
      <c r="J9" s="6" t="n"/>
    </row>
    <row r="10" ht="15" customHeight="1" s="146" thickBot="1">
      <c r="A10" s="17" t="inlineStr">
        <is>
          <t>Sport</t>
        </is>
      </c>
      <c r="B10" s="18" t="n">
        <v>81</v>
      </c>
      <c r="C10" s="18" t="n">
        <v>115</v>
      </c>
      <c r="D10" s="18" t="n">
        <v>129</v>
      </c>
      <c r="E10" s="7">
        <f>IF(COUNT(B10:D10)=0,"",MAX(B10:D10))</f>
        <v/>
      </c>
      <c r="F10" s="7">
        <f>IF(B10="","",IF(B10&gt;=110,"IMPORTANT",IF(B10&lt;100,"CAUTION","")))</f>
        <v/>
      </c>
      <c r="G10" s="7">
        <f>IF(C10="","",IF(C10&gt;=110,"IMPORTANT",IF(C10&lt;100,"CAUTION","")))</f>
        <v/>
      </c>
      <c r="H10" s="7">
        <f>IF(D10="","",IF(D10&gt;=110,"IMPORTANT",IF(D10&lt;100,"CAUTION","")))</f>
        <v/>
      </c>
      <c r="I10" s="6" t="n"/>
      <c r="J10" s="6" t="n"/>
    </row>
    <row r="12">
      <c r="A12" t="inlineStr">
        <is>
          <t>Segment averages</t>
        </is>
      </c>
      <c r="B12">
        <f>_xlfn.FLOOR.MATH((IFERROR(AVERAGE(B5:B10),"")*1))</f>
        <v/>
      </c>
      <c r="C12">
        <f>_xlfn.FLOOR.MATH((IFERROR(AVERAGE(C5:C10),"")*1))</f>
        <v/>
      </c>
      <c r="D12">
        <f>_xlfn.FLOOR.MATH((IFERROR(AVERAGE(D5:D10),"")*1))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selection activeCell="J2" sqref="J2"/>
    </sheetView>
  </sheetViews>
  <sheetFormatPr baseColWidth="8" defaultRowHeight="14.5"/>
  <cols>
    <col width="14" customWidth="1" style="146" min="1" max="1"/>
    <col width="12" customWidth="1" style="146" min="2" max="2"/>
    <col width="10" customWidth="1" style="146" min="3" max="3"/>
    <col width="12" customWidth="1" style="146" min="4" max="4"/>
    <col width="36" customWidth="1" style="146" min="5" max="5"/>
    <col width="18" customWidth="1" style="146" min="6" max="6"/>
    <col width="36" customWidth="1" style="146" min="7" max="7"/>
  </cols>
  <sheetData>
    <row r="1" ht="18.5" customHeight="1" s="146">
      <c r="A1" s="4" t="inlineStr">
        <is>
          <t>Price Willing to Pay (Ideal Brand Ceiling)</t>
        </is>
      </c>
    </row>
    <row r="2">
      <c r="A2" s="1" t="inlineStr">
        <is>
          <t>Treat as maximum for ideal brand. Above = fewer entrants. Elasticity unknown until test market.</t>
        </is>
      </c>
    </row>
    <row r="4" ht="29" customHeight="1" s="146">
      <c r="A4" s="2" t="inlineStr">
        <is>
          <t>Segment</t>
        </is>
      </c>
      <c r="B4" s="2" t="inlineStr">
        <is>
          <t>WTP (max)</t>
        </is>
      </c>
      <c r="C4" s="2" t="inlineStr">
        <is>
          <t>vs Rec</t>
        </is>
      </c>
      <c r="D4" s="2" t="inlineStr">
        <is>
          <t>vs Mountain</t>
        </is>
      </c>
      <c r="E4" s="2" t="inlineStr">
        <is>
          <t>Price sensitivity note</t>
        </is>
      </c>
      <c r="F4" s="2" t="inlineStr">
        <is>
          <t>Peer price-war risk (H/M/L)</t>
        </is>
      </c>
      <c r="G4" s="2" t="inlineStr">
        <is>
          <t>Margin opportunity note</t>
        </is>
      </c>
    </row>
    <row r="5">
      <c r="A5" s="3" t="inlineStr">
        <is>
          <t>Recreation</t>
        </is>
      </c>
      <c r="B5" s="6" t="n">
        <v>1100</v>
      </c>
      <c r="C5" s="7">
        <f>IF(OR($B$5="",B5=""),"",B5-$B$5)</f>
        <v/>
      </c>
      <c r="D5" s="7">
        <f>IF(OR($B$6="",B5=""),"",B5-$B$6)</f>
        <v/>
      </c>
      <c r="E5" s="6" t="inlineStr">
        <is>
          <t>Q1, we expect all target here</t>
        </is>
      </c>
      <c r="F5" s="6" t="inlineStr">
        <is>
          <t>H</t>
        </is>
      </c>
      <c r="G5" s="6" t="n"/>
    </row>
    <row r="6">
      <c r="A6" s="3" t="inlineStr">
        <is>
          <t>Mountain</t>
        </is>
      </c>
      <c r="B6" s="6" t="n">
        <v>1365</v>
      </c>
      <c r="C6" s="7">
        <f>IF(OR($B$5="",B6=""),"",B6-$B$5)</f>
        <v/>
      </c>
      <c r="D6" s="7">
        <f>IF(OR($B$6="",B6=""),"",B6-$B$6)</f>
        <v/>
      </c>
      <c r="E6" s="6" t="inlineStr">
        <is>
          <t>Someone might monopolize Q1</t>
        </is>
      </c>
      <c r="F6" s="6" t="inlineStr">
        <is>
          <t>M</t>
        </is>
      </c>
      <c r="G6" s="6" t="n"/>
    </row>
    <row r="7">
      <c r="A7" s="3" t="inlineStr">
        <is>
          <t>Speed</t>
        </is>
      </c>
      <c r="B7" s="6" t="n">
        <v>1580</v>
      </c>
      <c r="C7" s="7">
        <f>IF(OR($B$5="",B7=""),"",B7-$B$5)</f>
        <v/>
      </c>
      <c r="D7" s="7">
        <f>IF(OR($B$6="",B7=""),"",B7-$B$6)</f>
        <v/>
      </c>
      <c r="E7" s="6" t="inlineStr">
        <is>
          <t>Q1, we expect no target here</t>
        </is>
      </c>
      <c r="F7" s="6" t="inlineStr">
        <is>
          <t>L</t>
        </is>
      </c>
      <c r="G7" s="6" t="n"/>
    </row>
    <row r="9">
      <c r="A9" t="inlineStr">
        <is>
          <t>Optional: paste graph / Workspace notes below</t>
        </is>
      </c>
    </row>
    <row r="10">
      <c r="A10" s="142" t="n"/>
      <c r="B10" s="143" t="n"/>
      <c r="C10" s="143" t="n"/>
      <c r="D10" s="143" t="n"/>
      <c r="E10" s="143" t="n"/>
      <c r="F10" s="143" t="n"/>
      <c r="G10" s="144" t="n"/>
    </row>
    <row r="11">
      <c r="A11" s="145" t="n"/>
      <c r="G11" s="147" t="n"/>
    </row>
    <row r="12">
      <c r="A12" s="148" t="n"/>
      <c r="B12" s="149" t="n"/>
      <c r="C12" s="149" t="n"/>
      <c r="D12" s="149" t="n"/>
      <c r="E12" s="149" t="n"/>
      <c r="F12" s="149" t="n"/>
      <c r="G12" s="150" t="n"/>
    </row>
  </sheetData>
  <mergeCells count="1">
    <mergeCell ref="A10:G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zoomScale="115" zoomScaleNormal="115" workbookViewId="0">
      <selection activeCell="F20" sqref="F20"/>
    </sheetView>
  </sheetViews>
  <sheetFormatPr baseColWidth="8" defaultRowHeight="14.5"/>
  <cols>
    <col width="18" customWidth="1" style="146" min="1" max="1"/>
    <col width="12" customWidth="1" style="146" min="2" max="5"/>
    <col width="16" customWidth="1" style="146" min="6" max="6"/>
    <col width="18" customWidth="1" style="146" min="7" max="7"/>
    <col width="40" customWidth="1" style="146" min="8" max="8"/>
  </cols>
  <sheetData>
    <row r="1" ht="18.5" customHeight="1" s="146">
      <c r="A1" s="4" t="inlineStr">
        <is>
          <t>12-Month Market Potential (Units)</t>
        </is>
      </c>
    </row>
    <row r="2">
      <c r="A2" s="1" t="inlineStr">
        <is>
          <t>Potential = P(purchase) × units × # customers. Early quarterly demand usually &lt;&lt; annual/4.</t>
        </is>
      </c>
    </row>
    <row r="3">
      <c r="A3" s="35" t="inlineStr">
        <is>
          <t>See Sales_Channel sheet for shop vs web strategy (linked to these city sizes). First store LOCKED: Amsterdam.</t>
        </is>
      </c>
    </row>
    <row r="4" ht="29.5" customHeight="1" s="146" thickBot="1">
      <c r="A4" s="2" t="inlineStr">
        <is>
          <t>City</t>
        </is>
      </c>
      <c r="B4" s="2" t="inlineStr">
        <is>
          <t>Recreation</t>
        </is>
      </c>
      <c r="C4" s="2" t="inlineStr">
        <is>
          <t>Mountain</t>
        </is>
      </c>
      <c r="D4" s="2" t="inlineStr">
        <is>
          <t>Speed</t>
        </is>
      </c>
      <c r="E4" s="2" t="inlineStr">
        <is>
          <t>City Total</t>
        </is>
      </c>
      <c r="F4" s="2" t="inlineStr">
        <is>
          <t>Naive Qtr (Total/4)</t>
        </is>
      </c>
      <c r="G4" s="2" t="inlineStr">
        <is>
          <t>Likely peer crowding (H/M/L)</t>
        </is>
      </c>
      <c r="H4" s="2" t="inlineStr">
        <is>
          <t>Growth-room note</t>
        </is>
      </c>
    </row>
    <row r="5" ht="15" customHeight="1" s="146" thickBot="1">
      <c r="A5" s="19" t="inlineStr">
        <is>
          <t>New York City</t>
        </is>
      </c>
      <c r="B5" s="23" t="n">
        <v>5114</v>
      </c>
      <c r="C5" s="23" t="n">
        <v>4757</v>
      </c>
      <c r="D5" s="23" t="n">
        <v>3826</v>
      </c>
      <c r="E5" s="7">
        <f>IF(COUNT(B5:D5)=0,"",SUM(B5:D5))</f>
        <v/>
      </c>
      <c r="F5" s="7">
        <f>IF(E5="","",E5/4)</f>
        <v/>
      </c>
      <c r="G5" s="6" t="n"/>
      <c r="H5" s="6" t="n"/>
    </row>
    <row r="6" ht="15" customHeight="1" s="146" thickBot="1">
      <c r="A6" s="17" t="inlineStr">
        <is>
          <t>Rio de Janeiro</t>
        </is>
      </c>
      <c r="B6" s="24" t="n">
        <v>4194</v>
      </c>
      <c r="C6" s="24" t="n">
        <v>3177</v>
      </c>
      <c r="D6" s="24" t="n">
        <v>1942</v>
      </c>
      <c r="E6" s="7">
        <f>IF(COUNT(B6:D6)=0,"",SUM(B6:D6))</f>
        <v/>
      </c>
      <c r="F6" s="7">
        <f>IF(E6="","",E6/4)</f>
        <v/>
      </c>
      <c r="G6" s="6" t="n"/>
      <c r="H6" s="6" t="n"/>
    </row>
    <row r="7" ht="15" customHeight="1" s="146" thickBot="1">
      <c r="A7" s="19" t="inlineStr">
        <is>
          <t>Amsterdam</t>
        </is>
      </c>
      <c r="B7" s="23" t="n">
        <v>5468</v>
      </c>
      <c r="C7" s="23" t="n">
        <v>3447</v>
      </c>
      <c r="D7" s="23" t="n">
        <v>3659</v>
      </c>
      <c r="E7" s="7">
        <f>IF(COUNT(B7:D7)=0,"",SUM(B7:D7))</f>
        <v/>
      </c>
      <c r="F7" s="7">
        <f>IF(E7="","",E7/4)</f>
        <v/>
      </c>
      <c r="G7" s="6" t="n"/>
      <c r="H7" s="6" t="n"/>
    </row>
    <row r="8" ht="15" customHeight="1" s="146" thickBot="1">
      <c r="A8" s="15" t="inlineStr">
        <is>
          <t>Bangalore</t>
        </is>
      </c>
      <c r="B8" s="25" t="n">
        <v>3491</v>
      </c>
      <c r="C8" s="25" t="n">
        <v>2439</v>
      </c>
      <c r="D8" s="25" t="n">
        <v>2447</v>
      </c>
      <c r="E8" s="7">
        <f>IF(COUNT(B8:D8)=0,"",SUM(B8:D8))</f>
        <v/>
      </c>
      <c r="F8" s="7">
        <f>IF(E8="","",E8/4)</f>
        <v/>
      </c>
      <c r="G8" s="6" t="n"/>
      <c r="H8" s="6" t="n"/>
    </row>
    <row r="9">
      <c r="A9" s="8" t="inlineStr">
        <is>
          <t>Segment Total</t>
        </is>
      </c>
      <c r="B9" s="9">
        <f>IF(COUNT(B5:B8)=0,"",SUM(B5:B8))</f>
        <v/>
      </c>
      <c r="C9" s="9">
        <f>IF(COUNT(C5:C8)=0,"",SUM(C5:C8))</f>
        <v/>
      </c>
      <c r="D9" s="9">
        <f>IF(COUNT(D5:D8)=0,"",SUM(D5:D8))</f>
        <v/>
      </c>
      <c r="E9" s="9">
        <f>IF(COUNT(E5:E8)=0,"",SUM(E5:E8))</f>
        <v/>
      </c>
      <c r="F9" s="9">
        <f>IF(COUNT(F5:F8)=0,"",SUM(F5:F8))</f>
        <v/>
      </c>
      <c r="G9" s="9" t="n"/>
      <c r="H9" s="9" t="n"/>
    </row>
    <row r="11">
      <c r="A11" t="inlineStr">
        <is>
          <t>Segment share of total potential</t>
        </is>
      </c>
      <c r="B11" s="10">
        <f>IF(OR(B9="",E9="",E9=0),"",B9/E9)</f>
        <v/>
      </c>
      <c r="C11" s="10">
        <f>IF(OR(C9="",E9="",E9=0),"",C9/E9)</f>
        <v/>
      </c>
      <c r="D11" s="10">
        <f>IF(OR(D9="",E9="",E9=0),"",D9/E9)</f>
        <v/>
      </c>
    </row>
    <row r="13">
      <c r="A13" t="inlineStr">
        <is>
          <t>City rank by total potential (after fill):</t>
        </is>
      </c>
    </row>
    <row r="14">
      <c r="A14" t="inlineStr">
        <is>
          <t>1.</t>
        </is>
      </c>
      <c r="B14" s="11" t="n"/>
    </row>
    <row r="15">
      <c r="A15" t="inlineStr">
        <is>
          <t>2.</t>
        </is>
      </c>
      <c r="B15" s="11" t="n"/>
    </row>
    <row r="16">
      <c r="A16" t="inlineStr">
        <is>
          <t>3.</t>
        </is>
      </c>
      <c r="B16" s="11" t="n"/>
    </row>
    <row r="17">
      <c r="A17" t="inlineStr">
        <is>
          <t>4.</t>
        </is>
      </c>
      <c r="B17" s="11"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0"/>
  <sheetViews>
    <sheetView workbookViewId="0">
      <selection activeCell="G6" sqref="G6"/>
    </sheetView>
  </sheetViews>
  <sheetFormatPr baseColWidth="8" defaultRowHeight="14.5"/>
  <cols>
    <col width="48" customWidth="1" style="146" min="1" max="1"/>
    <col width="50" customWidth="1" style="146" min="2" max="2"/>
    <col width="42" customWidth="1" style="146" min="3" max="3"/>
    <col width="28" customWidth="1" style="146" min="4" max="4"/>
    <col width="12" customWidth="1" style="146" min="5" max="5"/>
    <col width="18" customWidth="1" style="146" min="6" max="6"/>
    <col width="40" customWidth="1" style="146" min="7" max="7"/>
  </cols>
  <sheetData>
    <row r="1" ht="18.5" customHeight="1" s="146">
      <c r="A1" s="36" t="inlineStr">
        <is>
          <t>Sales Channel Strategy — connects to Market_Potential</t>
        </is>
      </c>
    </row>
    <row r="2">
      <c r="A2" s="154" t="inlineStr">
        <is>
          <t>Company-operated shops + web. LIVE for test market: Amsterdam + World web. Schedule city #2 this quarter.</t>
        </is>
      </c>
    </row>
    <row r="4">
      <c r="A4" s="37" t="inlineStr">
        <is>
          <t>Market size for channel choice (linked to Market_Potential)</t>
        </is>
      </c>
    </row>
    <row r="5">
      <c r="A5" s="29" t="inlineStr">
        <is>
          <t>City</t>
        </is>
      </c>
      <c r="B5" s="29" t="inlineStr">
        <is>
          <t>Recreation</t>
        </is>
      </c>
      <c r="C5" s="29" t="inlineStr">
        <is>
          <t>Mountain</t>
        </is>
      </c>
      <c r="D5" s="29" t="inlineStr">
        <is>
          <t>Speed</t>
        </is>
      </c>
      <c r="E5" s="29" t="inlineStr">
        <is>
          <t>City Total</t>
        </is>
      </c>
      <c r="F5" s="29" t="inlineStr">
        <is>
          <t>Locked first store?</t>
        </is>
      </c>
      <c r="G5" s="29" t="inlineStr">
        <is>
          <t>Channel note</t>
        </is>
      </c>
    </row>
    <row r="6">
      <c r="A6" s="30" t="inlineStr">
        <is>
          <t>New York City</t>
        </is>
      </c>
      <c r="B6" s="38">
        <f>Market_Potential!B5</f>
        <v/>
      </c>
      <c r="C6" s="38">
        <f>Market_Potential!C5</f>
        <v/>
      </c>
      <c r="D6" s="38">
        <f>Market_Potential!D5</f>
        <v/>
      </c>
      <c r="E6" s="38">
        <f>SUM(B6:D6)</f>
        <v/>
      </c>
      <c r="F6" s="38" t="inlineStr">
        <is>
          <t>No</t>
        </is>
      </c>
      <c r="G6" s="38" t="inlineStr">
        <is>
          <t>Largest overall; likely peer crowding</t>
        </is>
      </c>
    </row>
    <row r="7">
      <c r="A7" s="30" t="inlineStr">
        <is>
          <t>Rio de Janeiro</t>
        </is>
      </c>
      <c r="B7" s="38">
        <f>Market_Potential!B6</f>
        <v/>
      </c>
      <c r="C7" s="38">
        <f>Market_Potential!C6</f>
        <v/>
      </c>
      <c r="D7" s="38">
        <f>Market_Potential!D6</f>
        <v/>
      </c>
      <c r="E7" s="38">
        <f>SUM(B7:D7)</f>
        <v/>
      </c>
      <c r="F7" s="38" t="inlineStr">
        <is>
          <t>No</t>
        </is>
      </c>
      <c r="G7" s="38" t="inlineStr">
        <is>
          <t>Smaller Speed pool</t>
        </is>
      </c>
    </row>
    <row r="8">
      <c r="A8" s="39" t="inlineStr">
        <is>
          <t>Amsterdam</t>
        </is>
      </c>
      <c r="B8" s="40">
        <f>Market_Potential!B7</f>
        <v/>
      </c>
      <c r="C8" s="40">
        <f>Market_Potential!C7</f>
        <v/>
      </c>
      <c r="D8" s="40">
        <f>Market_Potential!D7</f>
        <v/>
      </c>
      <c r="E8" s="40">
        <f>SUM(B8:D8)</f>
        <v/>
      </c>
      <c r="F8" s="40" t="inlineStr">
        <is>
          <t>YES — Q1 LOCKED</t>
        </is>
      </c>
      <c r="G8" s="40" t="inlineStr">
        <is>
          <t>Largest Recreation pool; team lock</t>
        </is>
      </c>
    </row>
    <row r="9">
      <c r="A9" s="30" t="inlineStr">
        <is>
          <t>Bangalore</t>
        </is>
      </c>
      <c r="B9" s="38">
        <f>Market_Potential!B8</f>
        <v/>
      </c>
      <c r="C9" s="38">
        <f>Market_Potential!C8</f>
        <v/>
      </c>
      <c r="D9" s="38">
        <f>Market_Potential!D8</f>
        <v/>
      </c>
      <c r="E9" s="38">
        <f>SUM(B9:D9)</f>
        <v/>
      </c>
      <c r="F9" s="38" t="inlineStr">
        <is>
          <t>No</t>
        </is>
      </c>
      <c r="G9" s="38" t="inlineStr">
        <is>
          <t>Smallest overall; cost may be lower</t>
        </is>
      </c>
    </row>
    <row r="11">
      <c r="A11" s="37" t="inlineStr">
        <is>
          <t>Brick-and-mortar vs Web</t>
        </is>
      </c>
    </row>
    <row r="12">
      <c r="A12" s="29" t="inlineStr">
        <is>
          <t>Channel</t>
        </is>
      </c>
      <c r="B12" s="29" t="inlineStr">
        <is>
          <t>Advantages</t>
        </is>
      </c>
      <c r="C12" s="29" t="inlineStr">
        <is>
          <t>Disadvantages</t>
        </is>
      </c>
      <c r="D12" s="29" t="inlineStr">
        <is>
          <t>Our Q1 posture</t>
        </is>
      </c>
    </row>
    <row r="13" ht="55" customHeight="1" s="146">
      <c r="A13" s="30" t="inlineStr">
        <is>
          <t>Brick-and-mortar bike shop</t>
        </is>
      </c>
      <c r="B13" s="30" t="inlineStr">
        <is>
          <t>Touch/feel/test ride; segment-specialist sales; custom fit; full control of brand/price/ads/sales; no independent-retailer surprises</t>
        </is>
      </c>
      <c r="C13" s="30" t="inlineStr">
        <is>
          <t>Expensive to open/run; many details; productivity drop if &gt;~15 display bikes or &gt;~15 salespeople</t>
        </is>
      </c>
      <c r="D13" s="41" t="inlineStr">
        <is>
          <t>LOCKED — Amsterdam Q1</t>
        </is>
      </c>
    </row>
    <row r="14" ht="55" customHeight="1" s="146">
      <c r="A14" s="30" t="inlineStr">
        <is>
          <t>Web sales center</t>
        </is>
      </c>
      <c r="B14" s="30" t="inlineStr">
        <is>
          <t>One site serves all geos; broader metro reach; multilingual staff; demand beyond one store footprint</t>
        </is>
      </c>
      <c r="C14" s="30" t="inlineStr">
        <is>
          <t>No touch/feel; harder phone vs in-person; must wait for customer to find you (ads/SEM); staff wait for calls</t>
        </is>
      </c>
      <c r="D14" s="41" t="inlineStr">
        <is>
          <t>LIVE — World Market</t>
        </is>
      </c>
    </row>
    <row r="16">
      <c r="A16" s="37" t="inlineStr">
        <is>
          <t>Sim decision tips</t>
        </is>
      </c>
    </row>
    <row r="17">
      <c r="A17" s="118" t="inlineStr">
        <is>
          <t>1. Both channels are expensive to start together — may open one first, then expand.</t>
        </is>
      </c>
    </row>
    <row r="18">
      <c r="A18" s="118" t="inlineStr">
        <is>
          <t>2. Web and stores cannibalize each other → lower productivity per channel; dual channels may still raise TOTAL demand.</t>
        </is>
      </c>
    </row>
    <row r="19">
      <c r="A19" s="118" t="inlineStr">
        <is>
          <t>3. Segment preferences differ for web vs store — Rec especially wants humans + web (see Needs).</t>
        </is>
      </c>
    </row>
    <row r="20">
      <c r="A20" s="118" t="inlineStr">
        <is>
          <t>4. Must schedule first channel in Q1 (takes a full quarter) to test in Q2.</t>
        </is>
      </c>
    </row>
    <row r="21">
      <c r="A21" s="118" t="inlineStr">
        <is>
          <t>5. Recommended: one store for test marketing; add more after learning.</t>
        </is>
      </c>
    </row>
    <row r="22">
      <c r="A22" s="118" t="inlineStr">
        <is>
          <t>6. Store ~3,200 sq ft / 300 m²: display ~50%, fitting ~20%, service ~15%, counter/office/storage ~15%. Middle-class area near major road.</t>
        </is>
      </c>
    </row>
    <row r="23">
      <c r="A23" s="118" t="inlineStr">
        <is>
          <t>7. POP displays + several bikes; fitting area for custom measurements.</t>
        </is>
      </c>
    </row>
    <row r="24">
      <c r="A24" s="118" t="inlineStr">
        <is>
          <t>8. Productivity risk if more than ~15 bikes OR ~15 salespeople in one store.</t>
        </is>
      </c>
    </row>
    <row r="26">
      <c r="A26" s="37" t="inlineStr">
        <is>
          <t>Web order fulfillment</t>
        </is>
      </c>
    </row>
    <row r="27">
      <c r="A27" s="118" t="inlineStr">
        <is>
          <t>1. Daily web orders (dimensions + preferences) → single fabrication facility.</t>
        </is>
      </c>
    </row>
    <row r="28">
      <c r="A28" s="118" t="inlineStr">
        <is>
          <t>2. 3D modeling software generates customized frame specs.</t>
        </is>
      </c>
    </row>
    <row r="29">
      <c r="A29" s="118" t="inlineStr">
        <is>
          <t>3. Next day: produce; end of day box, containerize, ship to each city.</t>
        </is>
      </c>
    </row>
    <row r="30">
      <c r="A30" s="118" t="inlineStr">
        <is>
          <t>4. If store in city: bikes to store for customer pickup.</t>
        </is>
      </c>
    </row>
    <row r="31">
      <c r="A31" s="118" t="inlineStr">
        <is>
          <t>5. If no store: break-bulk operator delivers to buyers.</t>
        </is>
      </c>
    </row>
    <row r="33">
      <c r="A33" s="37" t="inlineStr">
        <is>
          <t>Strategy worksheet (yellow = team inputs)</t>
        </is>
      </c>
    </row>
    <row r="34">
      <c r="A34" s="29" t="inlineStr">
        <is>
          <t>Question</t>
        </is>
      </c>
      <c r="B34" s="29" t="inlineStr">
        <is>
          <t>Team answer</t>
        </is>
      </c>
      <c r="C34" s="29" t="inlineStr">
        <is>
          <t>Data link</t>
        </is>
      </c>
    </row>
    <row r="35">
      <c r="A35" s="31" t="inlineStr">
        <is>
          <t>Primary channel for Q2 test?</t>
        </is>
      </c>
      <c r="B35" s="42" t="inlineStr">
        <is>
          <t>Amsterdam brick-and-mortar (LIVE)</t>
        </is>
      </c>
      <c r="C35" s="31" t="inlineStr">
        <is>
          <t>Market_Potential</t>
        </is>
      </c>
    </row>
    <row r="36">
      <c r="A36" s="31" t="inlineStr">
        <is>
          <t>Open web sales center in Q1?</t>
        </is>
      </c>
      <c r="B36" s="42" t="inlineStr">
        <is>
          <t>YES — LIVE (World Market)</t>
        </is>
      </c>
      <c r="C36" s="31" t="inlineStr">
        <is>
          <t>Needs web scores; cost + cannibalization tips</t>
        </is>
      </c>
    </row>
    <row r="37">
      <c r="A37" s="31" t="inlineStr">
        <is>
          <t>First-store segment specialist focus?</t>
        </is>
      </c>
      <c r="B37" s="42" t="inlineStr">
        <is>
          <t>Mountain primary (Hike Bike)</t>
        </is>
      </c>
      <c r="C37" s="31" t="inlineStr">
        <is>
          <t>decisions.md / Q2Data Pricing</t>
        </is>
      </c>
    </row>
    <row r="38">
      <c r="A38" s="31" t="inlineStr">
        <is>
          <t>Q2–Q4 city order?</t>
        </is>
      </c>
      <c r="B38" s="42" t="n"/>
      <c r="C38" s="31" t="inlineStr">
        <is>
          <t>NYC, Rio, Bangalore remaining</t>
        </is>
      </c>
    </row>
    <row r="39">
      <c r="A39" s="31" t="inlineStr">
        <is>
          <t>Dual-channel cannibalization plan?</t>
        </is>
      </c>
      <c r="B39" s="42" t="n"/>
      <c r="C39" s="31" t="inlineStr">
        <is>
          <t>Sim: total demand may still rise</t>
        </is>
      </c>
    </row>
    <row r="40">
      <c r="A40" s="31" t="inlineStr">
        <is>
          <t>Store productivity caps (# bikes / # sales)?</t>
        </is>
      </c>
      <c r="B40" s="42" t="n"/>
      <c r="C40" s="31" t="inlineStr">
        <is>
          <t>Sim guideline: avoid &gt;15 / &gt;15</t>
        </is>
      </c>
    </row>
  </sheetData>
  <mergeCells count="14">
    <mergeCell ref="A17:D17"/>
    <mergeCell ref="A18:D18"/>
    <mergeCell ref="A27:D27"/>
    <mergeCell ref="A31:D31"/>
    <mergeCell ref="A23:D23"/>
    <mergeCell ref="A22:D22"/>
    <mergeCell ref="A20:D20"/>
    <mergeCell ref="A21:D21"/>
    <mergeCell ref="A30:D30"/>
    <mergeCell ref="A29:D29"/>
    <mergeCell ref="A2:G2"/>
    <mergeCell ref="A24:D24"/>
    <mergeCell ref="A19:D19"/>
    <mergeCell ref="A28:D2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5"/>
  <sheetViews>
    <sheetView workbookViewId="0">
      <selection activeCell="K11" sqref="K11"/>
    </sheetView>
  </sheetViews>
  <sheetFormatPr baseColWidth="8" defaultRowHeight="14.5"/>
  <cols>
    <col width="28" customWidth="1" style="146" min="1" max="1"/>
    <col width="14" customWidth="1" style="146" min="2" max="5"/>
    <col width="18" customWidth="1" style="146" min="6" max="7"/>
    <col width="14" customWidth="1" style="146" min="8" max="8"/>
  </cols>
  <sheetData>
    <row r="1" ht="18.5" customHeight="1" s="146">
      <c r="A1" s="49" t="inlineStr">
        <is>
          <t>Sales outlets and web — setup and lease costs</t>
        </is>
      </c>
    </row>
    <row r="2">
      <c r="A2" s="50" t="inlineStr">
        <is>
          <t>Full quarter to open. LIVE: Amsterdam store + World web. City #2 undecided (NYC candidate).</t>
        </is>
      </c>
      <c r="B2" t="inlineStr">
        <is>
          <t>Full quarter to open. LIVE: Amsterdam + World web. City #2 LOCKED: Rio (schedule Q2 → live Q3).</t>
        </is>
      </c>
    </row>
    <row r="4">
      <c r="A4" t="inlineStr">
        <is>
          <t>Brick-and-mortar stores</t>
        </is>
      </c>
    </row>
    <row r="5" ht="29" customHeight="1" s="146">
      <c r="A5" s="51" t="inlineStr">
        <is>
          <t>City</t>
        </is>
      </c>
      <c r="B5" s="51" t="inlineStr">
        <is>
          <t>Status</t>
        </is>
      </c>
      <c r="C5" s="51" t="inlineStr">
        <is>
          <t>Setup/Close Cost</t>
        </is>
      </c>
      <c r="D5" s="51" t="inlineStr">
        <is>
          <t>Quarterly Lease</t>
        </is>
      </c>
      <c r="E5" s="51" t="inlineStr">
        <is>
          <t>12-mo Rec potential</t>
        </is>
      </c>
      <c r="F5" s="51" t="inlineStr">
        <is>
          <t>Notes</t>
        </is>
      </c>
    </row>
    <row r="6">
      <c r="A6" s="48" t="inlineStr">
        <is>
          <t>New York City</t>
        </is>
      </c>
      <c r="B6" s="48" t="inlineStr">
        <is>
          <t>closed</t>
        </is>
      </c>
      <c r="C6" s="48" t="n">
        <v>200000</v>
      </c>
      <c r="D6" s="48" t="n">
        <v>62000</v>
      </c>
      <c r="E6" s="48" t="n">
        <v>5114</v>
      </c>
      <c r="F6" s="48" t="inlineStr">
        <is>
          <t>Highest setup+lease</t>
        </is>
      </c>
    </row>
    <row r="7">
      <c r="A7" s="48" t="inlineStr">
        <is>
          <t>Rio de Janeiro</t>
        </is>
      </c>
      <c r="B7" s="162" t="inlineStr">
        <is>
          <t>SCHEDULED (Q2) → OPEN next Q</t>
        </is>
      </c>
      <c r="C7" s="48" t="n">
        <v>90000</v>
      </c>
      <c r="D7" s="48" t="n">
        <v>17000</v>
      </c>
      <c r="E7" s="48" t="n">
        <v>4194</v>
      </c>
      <c r="F7" s="48" t="inlineStr">
        <is>
          <t>LOCKED Q2 city #2 — setup $90k this Q; lease when live</t>
        </is>
      </c>
    </row>
    <row r="8">
      <c r="A8" s="52" t="inlineStr">
        <is>
          <t>Amsterdam</t>
        </is>
      </c>
      <c r="B8" s="52" t="inlineStr">
        <is>
          <t>OPEN (Q2 live)</t>
        </is>
      </c>
      <c r="C8" s="52" t="n">
        <v>136000</v>
      </c>
      <c r="D8" s="52" t="n">
        <v>44000</v>
      </c>
      <c r="E8" s="52" t="n">
        <v>5468</v>
      </c>
      <c r="F8" s="52" t="n"/>
    </row>
    <row r="9">
      <c r="A9" s="48" t="inlineStr">
        <is>
          <t>Bangalore</t>
        </is>
      </c>
      <c r="B9" s="48" t="inlineStr">
        <is>
          <t>closed</t>
        </is>
      </c>
      <c r="C9" s="48" t="n">
        <v>84000</v>
      </c>
      <c r="D9" s="48" t="n">
        <v>13000</v>
      </c>
      <c r="E9" s="48" t="n">
        <v>3491</v>
      </c>
      <c r="F9" s="48" t="inlineStr">
        <is>
          <t>Lowest store costs; also fab city</t>
        </is>
      </c>
    </row>
    <row r="11">
      <c r="A11" t="inlineStr">
        <is>
          <t>Web sales center</t>
        </is>
      </c>
    </row>
    <row r="12" ht="29" customHeight="1" s="146">
      <c r="A12" s="51" t="inlineStr">
        <is>
          <t>Region</t>
        </is>
      </c>
      <c r="B12" s="51" t="inlineStr">
        <is>
          <t>City</t>
        </is>
      </c>
      <c r="C12" s="51" t="inlineStr">
        <is>
          <t>Status</t>
        </is>
      </c>
      <c r="D12" s="51" t="inlineStr">
        <is>
          <t>Setup/Close Cost</t>
        </is>
      </c>
      <c r="E12" s="51" t="inlineStr">
        <is>
          <t>Quarterly Lease</t>
        </is>
      </c>
      <c r="F12" s="51" t="inlineStr">
        <is>
          <t>Notes</t>
        </is>
      </c>
    </row>
    <row r="13">
      <c r="A13" s="53" t="inlineStr">
        <is>
          <t>World Market</t>
        </is>
      </c>
      <c r="B13" s="53" t="inlineStr">
        <is>
          <t>OPEN (Q2 live)</t>
        </is>
      </c>
      <c r="C13" s="53" t="inlineStr">
        <is>
          <t>closed</t>
        </is>
      </c>
      <c r="D13" s="53" t="n">
        <v>150000</v>
      </c>
      <c r="E13" s="53" t="n">
        <v>60000</v>
      </c>
      <c r="F13" s="53" t="inlineStr">
        <is>
          <t>World Market web live; serves all geos</t>
        </is>
      </c>
    </row>
    <row r="15">
      <c r="A15" s="54" t="inlineStr">
        <is>
          <t>Q1 cash sketch (major outlays only)</t>
        </is>
      </c>
    </row>
    <row r="16" ht="29" customHeight="1" s="146">
      <c r="A16" s="51" t="inlineStr">
        <is>
          <t>Scenario</t>
        </is>
      </c>
      <c r="B16" s="51" t="inlineStr">
        <is>
          <t>Printers</t>
        </is>
      </c>
      <c r="C16" s="51" t="inlineStr">
        <is>
          <t>Printer $</t>
        </is>
      </c>
      <c r="D16" s="51" t="inlineStr">
        <is>
          <t>AMS setup</t>
        </is>
      </c>
      <c r="E16" s="51" t="inlineStr">
        <is>
          <t>Web setup</t>
        </is>
      </c>
      <c r="F16" s="51" t="inlineStr">
        <is>
          <t>Total major outlay</t>
        </is>
      </c>
      <c r="G16" s="51" t="inlineStr">
        <is>
          <t>Cash left from $1.5M</t>
        </is>
      </c>
      <c r="H16" s="51" t="inlineStr">
        <is>
          <t>&gt;= $300k floor?</t>
        </is>
      </c>
    </row>
    <row r="17">
      <c r="A17" s="48" t="inlineStr">
        <is>
          <t>AMS only + 2 printers</t>
        </is>
      </c>
      <c r="B17" s="48" t="n">
        <v>2</v>
      </c>
      <c r="C17" s="48" t="n">
        <v>480000</v>
      </c>
      <c r="D17" s="48" t="n">
        <v>136000</v>
      </c>
      <c r="E17" s="48" t="n">
        <v>0</v>
      </c>
      <c r="F17" s="48" t="n">
        <v>616000</v>
      </c>
      <c r="G17" s="48" t="n">
        <v>884000</v>
      </c>
      <c r="H17" s="52" t="inlineStr">
        <is>
          <t>YES</t>
        </is>
      </c>
    </row>
    <row r="18">
      <c r="A18" s="48" t="inlineStr">
        <is>
          <t>AMS only + 3 printers</t>
        </is>
      </c>
      <c r="B18" s="48" t="n">
        <v>3</v>
      </c>
      <c r="C18" s="48" t="n">
        <v>720000</v>
      </c>
      <c r="D18" s="48" t="n">
        <v>136000</v>
      </c>
      <c r="E18" s="48" t="n">
        <v>0</v>
      </c>
      <c r="F18" s="48" t="n">
        <v>856000</v>
      </c>
      <c r="G18" s="48" t="n">
        <v>644000</v>
      </c>
      <c r="H18" s="52" t="inlineStr">
        <is>
          <t>YES</t>
        </is>
      </c>
    </row>
    <row r="19">
      <c r="A19" s="63" t="inlineStr">
        <is>
          <t>AMS + web + 2 printers</t>
        </is>
      </c>
      <c r="B19" s="63" t="n">
        <v>2</v>
      </c>
      <c r="C19" s="63" t="n">
        <v>480000</v>
      </c>
      <c r="D19" s="63" t="n">
        <v>136000</v>
      </c>
      <c r="E19" s="63" t="n">
        <v>150000</v>
      </c>
      <c r="F19" s="63" t="n">
        <v>766000</v>
      </c>
      <c r="G19" s="63" t="n">
        <v>734000</v>
      </c>
      <c r="H19" s="52" t="inlineStr">
        <is>
          <t>YES</t>
        </is>
      </c>
    </row>
    <row r="20">
      <c r="A20" s="48" t="inlineStr">
        <is>
          <t>AMS + web + 3 printers</t>
        </is>
      </c>
      <c r="B20" s="48" t="n">
        <v>3</v>
      </c>
      <c r="C20" s="48" t="n">
        <v>720000</v>
      </c>
      <c r="D20" s="48" t="n">
        <v>136000</v>
      </c>
      <c r="E20" s="48" t="n">
        <v>150000</v>
      </c>
      <c r="F20" s="48" t="n">
        <v>1006000</v>
      </c>
      <c r="G20" s="48" t="n">
        <v>494000</v>
      </c>
      <c r="H20" s="52" t="inlineStr">
        <is>
          <t>YES</t>
        </is>
      </c>
    </row>
    <row r="21">
      <c r="A21" s="48" t="inlineStr">
        <is>
          <t>AMS only + 5 printers</t>
        </is>
      </c>
      <c r="B21" s="48" t="n">
        <v>5</v>
      </c>
      <c r="C21" s="48" t="n">
        <v>1200000</v>
      </c>
      <c r="D21" s="48" t="n">
        <v>136000</v>
      </c>
      <c r="E21" s="48" t="n">
        <v>0</v>
      </c>
      <c r="F21" s="48" t="n">
        <v>1336000</v>
      </c>
      <c r="G21" s="48" t="n">
        <v>164000</v>
      </c>
      <c r="H21" s="55" t="inlineStr">
        <is>
          <t>NO</t>
        </is>
      </c>
    </row>
    <row r="22">
      <c r="A22" s="48" t="inlineStr">
        <is>
          <t>AMS + web + 1 printer</t>
        </is>
      </c>
      <c r="B22" s="48" t="n">
        <v>1</v>
      </c>
      <c r="C22" s="48" t="n">
        <v>240000</v>
      </c>
      <c r="D22" s="48" t="n">
        <v>136000</v>
      </c>
      <c r="E22" s="48" t="n">
        <v>150000</v>
      </c>
      <c r="F22" s="48" t="n">
        <v>526000</v>
      </c>
      <c r="G22" s="48" t="n">
        <v>974000</v>
      </c>
      <c r="H22" s="52" t="inlineStr">
        <is>
          <t>YES</t>
        </is>
      </c>
    </row>
    <row r="25">
      <c r="A25" s="50" t="inlineStr">
        <is>
          <t>Ongoing leases once open: AMS $44k/qtr, web $60k/qtr, NYC $62k, Rio $17k, Bangalore store $13k. Confirm in-sim whether lease hits opening quarter or first operating quarter.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07"/>
  <sheetViews>
    <sheetView topLeftCell="A18" zoomScaleNormal="100" workbookViewId="0">
      <selection activeCell="E43" sqref="E43"/>
    </sheetView>
  </sheetViews>
  <sheetFormatPr baseColWidth="8" defaultRowHeight="14.5"/>
  <cols>
    <col width="58" customWidth="1" style="146" min="1" max="1"/>
    <col width="14" customWidth="1" style="146" min="2" max="2"/>
    <col width="16" customWidth="1" style="146" min="3" max="3"/>
    <col width="48" customWidth="1" style="146" min="4" max="6"/>
    <col width="36" customWidth="1" style="146" min="7" max="7"/>
  </cols>
  <sheetData>
    <row r="1" ht="18.5" customHeight="1" s="146">
      <c r="A1" s="49" t="inlineStr">
        <is>
          <t>Manufacturing — Bangalore production facility</t>
        </is>
      </c>
    </row>
    <row r="2">
      <c r="A2" s="155" t="inlineStr">
        <is>
          <t>Location fixed for all firms: Bangalore (gov incentives). Cannot relocate or add facilities later; can add printers. Airfreight; no inventory; same-quarter fulfillment; shipping cost to firm.</t>
        </is>
      </c>
    </row>
    <row r="4">
      <c r="A4" s="54" t="inlineStr">
        <is>
          <t>Production math</t>
        </is>
      </c>
    </row>
    <row r="5">
      <c r="A5" t="inlineStr">
        <is>
          <t>1 frame/hour x 8 hrs/day x 5 days/week x 13 weeks/quarter = 520 units/printer/quarter (normal hours)</t>
        </is>
      </c>
    </row>
    <row r="6">
      <c r="A6" t="inlineStr">
        <is>
          <t>Operating capacity &lt;= fixed capacity. Turn printers on/off to set operating capacity and staffing.</t>
        </is>
      </c>
    </row>
    <row r="8">
      <c r="A8" t="inlineStr">
        <is>
          <t>Fixed capacity options</t>
        </is>
      </c>
    </row>
    <row r="9">
      <c r="A9" s="51" t="inlineStr">
        <is>
          <t>3D Printers</t>
        </is>
      </c>
      <c r="B9" s="51" t="inlineStr">
        <is>
          <t>Units/Day</t>
        </is>
      </c>
      <c r="C9" s="51" t="inlineStr">
        <is>
          <t>Units/Quarter</t>
        </is>
      </c>
      <c r="D9" s="51" t="inlineStr">
        <is>
          <t>Capital Investment</t>
        </is>
      </c>
      <c r="E9" s="51" t="inlineStr">
        <is>
          <t>Cash after printers*</t>
        </is>
      </c>
      <c r="F9" s="51" t="inlineStr">
        <is>
          <t>+ Amsterdam $136k</t>
        </is>
      </c>
      <c r="G9" s="51" t="inlineStr">
        <is>
          <t>Notes</t>
        </is>
      </c>
    </row>
    <row r="10">
      <c r="A10" s="56" t="n">
        <v>0</v>
      </c>
      <c r="B10" s="56" t="n">
        <v>0</v>
      </c>
      <c r="C10" s="56" t="n">
        <v>0</v>
      </c>
      <c r="D10" s="56" t="n">
        <v>0</v>
      </c>
      <c r="E10" s="56" t="n">
        <v>1500000</v>
      </c>
      <c r="F10" s="56" t="n">
        <v>1364000</v>
      </c>
      <c r="G10" s="57" t="n"/>
    </row>
    <row r="11">
      <c r="A11" s="56" t="n">
        <v>1</v>
      </c>
      <c r="B11" s="56" t="n">
        <v>8</v>
      </c>
      <c r="C11" s="56" t="n">
        <v>520</v>
      </c>
      <c r="D11" s="56" t="n">
        <v>240000</v>
      </c>
      <c r="E11" s="56" t="n">
        <v>1260000</v>
      </c>
      <c r="F11" s="56" t="n">
        <v>1124000</v>
      </c>
      <c r="G11" s="57" t="n"/>
    </row>
    <row r="12">
      <c r="A12" s="58" t="n">
        <v>2</v>
      </c>
      <c r="B12" s="58" t="n">
        <v>16</v>
      </c>
      <c r="C12" s="58" t="n">
        <v>1040</v>
      </c>
      <c r="D12" s="58" t="n">
        <v>480000</v>
      </c>
      <c r="E12" s="58" t="n">
        <v>1020000</v>
      </c>
      <c r="F12" s="58" t="n">
        <v>884000</v>
      </c>
      <c r="G12" s="59" t="inlineStr">
        <is>
          <t>Common early-test range</t>
        </is>
      </c>
      <c r="H12" t="inlineStr">
        <is>
          <t>This gives us a conservative approach without additional inventory</t>
        </is>
      </c>
    </row>
    <row r="13">
      <c r="A13" s="58" t="n">
        <v>3</v>
      </c>
      <c r="B13" s="58" t="n">
        <v>24</v>
      </c>
      <c r="C13" s="58" t="n">
        <v>1560</v>
      </c>
      <c r="D13" s="58" t="n">
        <v>720000</v>
      </c>
      <c r="E13" s="58" t="n">
        <v>780000</v>
      </c>
      <c r="F13" s="58" t="n">
        <v>644000</v>
      </c>
      <c r="G13" s="59" t="inlineStr">
        <is>
          <t>Common early-test range</t>
        </is>
      </c>
      <c r="H13" t="inlineStr">
        <is>
          <t>This covers our goals for having extra capacity</t>
        </is>
      </c>
    </row>
    <row r="14">
      <c r="A14" s="56" t="n">
        <v>4</v>
      </c>
      <c r="B14" s="56" t="n">
        <v>32</v>
      </c>
      <c r="C14" s="56" t="n">
        <v>2080</v>
      </c>
      <c r="D14" s="56" t="n">
        <v>960000</v>
      </c>
      <c r="E14" s="56" t="n">
        <v>540000</v>
      </c>
      <c r="F14" s="56" t="n">
        <v>404000</v>
      </c>
      <c r="G14" s="57" t="inlineStr">
        <is>
          <t>Tight vs $300k floor</t>
        </is>
      </c>
    </row>
    <row r="15">
      <c r="A15" s="60" t="n">
        <v>5</v>
      </c>
      <c r="B15" s="60" t="n">
        <v>40</v>
      </c>
      <c r="C15" s="60" t="n">
        <v>2600</v>
      </c>
      <c r="D15" s="60" t="n">
        <v>1200000</v>
      </c>
      <c r="E15" s="60" t="n">
        <v>300000</v>
      </c>
      <c r="F15" s="60" t="n">
        <v>164000</v>
      </c>
      <c r="G15" s="61" t="inlineStr">
        <is>
          <t>BREACHES $300k floor with AMS only</t>
        </is>
      </c>
    </row>
    <row r="16">
      <c r="A16" s="60" t="n">
        <v>7</v>
      </c>
      <c r="B16" s="60" t="n">
        <v>56</v>
      </c>
      <c r="C16" s="60" t="n">
        <v>3640</v>
      </c>
      <c r="D16" s="60" t="n">
        <v>1680000</v>
      </c>
      <c r="E16" s="60" t="n">
        <v>-180000</v>
      </c>
      <c r="F16" s="60" t="n">
        <v>-316000</v>
      </c>
      <c r="G16" s="61" t="inlineStr">
        <is>
          <t>BREACHES $300k floor with AMS only</t>
        </is>
      </c>
    </row>
    <row r="17">
      <c r="A17" s="60" t="n">
        <v>10</v>
      </c>
      <c r="B17" s="60" t="n">
        <v>80</v>
      </c>
      <c r="C17" s="60" t="n">
        <v>5200</v>
      </c>
      <c r="D17" s="60" t="n">
        <v>2400000</v>
      </c>
      <c r="E17" s="60" t="n">
        <v>-900000</v>
      </c>
      <c r="F17" s="60" t="n">
        <v>-1036000</v>
      </c>
      <c r="G17" s="61" t="inlineStr">
        <is>
          <t>BREACHES $300k floor with AMS only</t>
        </is>
      </c>
    </row>
    <row r="20">
      <c r="A20" s="50" t="inlineStr">
        <is>
          <t>*Assumes Q1 start cash $1,500,000; ignores other Q1 costs. Required floor: Cash+CD &gt;= $300,000.</t>
        </is>
      </c>
    </row>
    <row r="21">
      <c r="A21" s="62" t="inlineStr">
        <is>
          <t>MARGIN NOTE: We do NOT have sim COGS/contribution margins yet. Earlier 'high margin segment' language used Price Willing to Pay ceilings (Rec $1100 / Mtn $1365 / Speed $1580) as a price-ladder proxy only — NOT proven unit profit.</t>
        </is>
      </c>
    </row>
    <row r="22">
      <c r="A22" t="inlineStr">
        <is>
          <t>Process: daily orders with custom specs -&gt; fab -&gt; box/ship airfreight -&gt; store pickup or break-bulk. No inventory at plant; transit &lt;= 2 days.</t>
        </is>
      </c>
    </row>
    <row r="24" ht="18.5" customHeight="1" s="146">
      <c r="A24" s="104" t="inlineStr">
        <is>
          <t>Operating Capacity (Workspace — Q2)</t>
        </is>
      </c>
      <c r="B24" s="151" t="n"/>
      <c r="C24" s="151" t="n"/>
      <c r="D24" s="151" t="n"/>
      <c r="E24" s="151" t="n"/>
      <c r="F24" s="151" t="n"/>
      <c r="G24" s="151" t="n"/>
      <c r="H24" s="151" t="n"/>
      <c r="I24" s="151" t="n"/>
      <c r="J24" s="151" t="n"/>
      <c r="K24" s="151" t="n"/>
    </row>
    <row r="25">
      <c r="A25" s="151" t="inlineStr">
        <is>
          <t>Fixed capacity available THIS quarter</t>
        </is>
      </c>
      <c r="B25" s="151" t="n">
        <v>24</v>
      </c>
      <c r="C25" s="151" t="inlineStr">
        <is>
          <t>units/day</t>
        </is>
      </c>
      <c r="D25" s="151" t="n"/>
      <c r="E25" s="151" t="n"/>
      <c r="F25" s="151" t="n"/>
      <c r="G25" s="151" t="n"/>
      <c r="H25" s="151" t="n"/>
      <c r="I25" s="151" t="n"/>
      <c r="J25" s="151" t="n"/>
      <c r="K25" s="151" t="n"/>
    </row>
    <row r="26">
      <c r="A26" s="151" t="inlineStr">
        <is>
          <t>Quarterly fixed capacity (×65)</t>
        </is>
      </c>
      <c r="B26" s="151">
        <f>B25*65</f>
        <v/>
      </c>
      <c r="C26" s="151" t="inlineStr">
        <is>
          <t>1,560 at full fixed</t>
        </is>
      </c>
      <c r="D26" s="151" t="n"/>
      <c r="E26" s="151" t="n"/>
      <c r="F26" s="151" t="n"/>
      <c r="G26" s="151" t="n"/>
      <c r="H26" s="151" t="n"/>
      <c r="I26" s="151" t="n"/>
      <c r="J26" s="151" t="n"/>
      <c r="K26" s="151" t="n"/>
    </row>
    <row r="27">
      <c r="A27" s="151" t="n"/>
      <c r="B27" s="151" t="n"/>
      <c r="C27" s="151" t="n"/>
      <c r="D27" s="151" t="n"/>
      <c r="E27" s="151" t="n"/>
      <c r="F27" s="151" t="n"/>
      <c r="G27" s="151" t="n"/>
      <c r="H27" s="151" t="n"/>
      <c r="I27" s="151" t="n"/>
      <c r="J27" s="151" t="n"/>
      <c r="K27" s="151" t="n"/>
    </row>
    <row r="28">
      <c r="A28" s="87" t="inlineStr">
        <is>
          <t>Demand &amp; productivity inputs</t>
        </is>
      </c>
      <c r="B28" s="151" t="n"/>
      <c r="C28" s="151" t="n"/>
      <c r="D28" s="151" t="n"/>
      <c r="E28" s="151" t="n"/>
      <c r="F28" s="151" t="n"/>
      <c r="G28" s="151" t="n"/>
      <c r="H28" s="151" t="n"/>
      <c r="I28" s="151" t="n"/>
      <c r="J28" s="151" t="n"/>
      <c r="K28" s="151" t="n"/>
    </row>
    <row r="29">
      <c r="A29" s="151" t="inlineStr">
        <is>
          <t>Total forecasted demand (all brands)</t>
        </is>
      </c>
      <c r="B29" s="90">
        <f>IF(Demand_Forecast!B12="","",Demand_Forecast!B12)</f>
        <v/>
      </c>
      <c r="C29" s="151" t="inlineStr">
        <is>
          <t>from Demand_Forecast</t>
        </is>
      </c>
      <c r="D29" s="151" t="n"/>
      <c r="E29" s="151" t="n"/>
      <c r="F29" s="151" t="n"/>
      <c r="G29" s="151" t="n"/>
      <c r="H29" s="151" t="n"/>
      <c r="I29" s="151" t="n"/>
      <c r="J29" s="151" t="n"/>
      <c r="K29" s="151" t="n"/>
    </row>
    <row r="30">
      <c r="A30" s="87" t="inlineStr">
        <is>
          <t>Worker productivity (HR)</t>
        </is>
      </c>
      <c r="B30" s="156" t="n">
        <v>0.85</v>
      </c>
      <c r="C30" s="151" t="inlineStr">
        <is>
          <t>LOCKED Q2 — production productivity 85%</t>
        </is>
      </c>
      <c r="D30" s="151" t="n"/>
      <c r="E30" s="151" t="n"/>
      <c r="F30" s="151" t="n"/>
      <c r="G30" s="151" t="n"/>
      <c r="H30" s="151" t="n"/>
      <c r="I30" s="151" t="n"/>
      <c r="J30" s="151" t="n"/>
      <c r="K30" s="151" t="n"/>
    </row>
    <row r="31">
      <c r="A31" s="151" t="inlineStr">
        <is>
          <t>(alias) demand</t>
        </is>
      </c>
      <c r="B31" s="151">
        <f>B29</f>
        <v/>
      </c>
      <c r="C31" s="151" t="n"/>
      <c r="D31" s="151" t="n"/>
      <c r="E31" s="151" t="n"/>
      <c r="F31" s="151" t="n"/>
      <c r="G31" s="151" t="n"/>
      <c r="H31" s="151" t="n"/>
      <c r="I31" s="151" t="n"/>
      <c r="J31" s="151" t="n"/>
      <c r="K31" s="151" t="n"/>
    </row>
    <row r="32">
      <c r="A32" s="151" t="inlineStr">
        <is>
          <t>(alias) productivity</t>
        </is>
      </c>
      <c r="B32" s="106">
        <f>B30</f>
        <v/>
      </c>
      <c r="C32" s="151" t="n"/>
      <c r="D32" s="151" t="n"/>
      <c r="E32" s="151" t="n"/>
      <c r="F32" s="151" t="n"/>
      <c r="G32" s="151" t="n"/>
      <c r="H32" s="151" t="n"/>
      <c r="I32" s="151" t="n"/>
      <c r="J32" s="151" t="n"/>
      <c r="K32" s="151" t="n"/>
    </row>
    <row r="33">
      <c r="A33" s="151" t="inlineStr">
        <is>
          <t>Productivity loss pad</t>
        </is>
      </c>
      <c r="B33" s="151">
        <f>IF(B30="","",1+(1-B30))</f>
        <v/>
      </c>
      <c r="C33" s="151" t="inlineStr">
        <is>
          <t>e.g. 70% → ×1.30</t>
        </is>
      </c>
      <c r="D33" s="151" t="n"/>
      <c r="E33" s="151" t="n"/>
      <c r="F33" s="151" t="n"/>
      <c r="G33" s="151" t="n"/>
      <c r="H33" s="151" t="n"/>
      <c r="I33" s="151" t="n"/>
      <c r="J33" s="151" t="n"/>
      <c r="K33" s="151" t="n"/>
    </row>
    <row r="34">
      <c r="A34" s="87" t="inlineStr">
        <is>
          <t>Operating Capacity — Workspace table</t>
        </is>
      </c>
      <c r="B34" s="151" t="n"/>
      <c r="C34" s="151" t="n"/>
      <c r="D34" s="151" t="n"/>
      <c r="E34" s="151" t="n"/>
      <c r="F34" s="151" t="n"/>
      <c r="G34" s="151" t="n"/>
      <c r="H34" s="151" t="n"/>
      <c r="I34" s="151" t="n"/>
      <c r="J34" s="151" t="n"/>
      <c r="K34" s="151" t="n"/>
    </row>
    <row r="35">
      <c r="A35" s="68" t="inlineStr">
        <is>
          <t>Metric</t>
        </is>
      </c>
      <c r="B35" s="68" t="inlineStr">
        <is>
          <t>Units per Day</t>
        </is>
      </c>
      <c r="C35" s="68" t="inlineStr">
        <is>
          <t>Units per Quarter</t>
        </is>
      </c>
      <c r="D35" s="68" t="inlineStr">
        <is>
          <t>Notes</t>
        </is>
      </c>
      <c r="E35" s="151" t="n"/>
      <c r="F35" s="151" t="n"/>
      <c r="G35" s="151" t="n"/>
      <c r="H35" s="151" t="n"/>
      <c r="I35" s="151" t="n"/>
      <c r="J35" s="151" t="n"/>
      <c r="K35" s="151" t="n"/>
    </row>
    <row r="36">
      <c r="A36" s="75" t="inlineStr">
        <is>
          <t>Fixed capacity (previous quarter)</t>
        </is>
      </c>
      <c r="B36" s="86" t="n">
        <v>0</v>
      </c>
      <c r="C36" s="86" t="n">
        <v>0</v>
      </c>
      <c r="D36" s="75" t="inlineStr">
        <is>
          <t>Q1: printers not yet online</t>
        </is>
      </c>
      <c r="E36" s="151" t="n"/>
      <c r="F36" s="151" t="n"/>
      <c r="G36" s="151" t="n"/>
      <c r="H36" s="151" t="n"/>
      <c r="I36" s="151" t="n"/>
      <c r="J36" s="151" t="n"/>
      <c r="K36" s="151" t="n"/>
    </row>
    <row r="37">
      <c r="A37" s="75" t="inlineStr">
        <is>
          <t>Operating capacity (previous quarter)</t>
        </is>
      </c>
      <c r="B37" s="86" t="n">
        <v>0</v>
      </c>
      <c r="C37" s="86" t="n">
        <v>0</v>
      </c>
      <c r="D37" s="75" t="inlineStr">
        <is>
          <t>Q1: no production</t>
        </is>
      </c>
      <c r="E37" s="151" t="n"/>
      <c r="F37" s="151" t="n"/>
      <c r="G37" s="151" t="n"/>
      <c r="H37" s="151" t="n"/>
      <c r="I37" s="151" t="n"/>
      <c r="J37" s="151" t="n"/>
      <c r="K37" s="151" t="n"/>
    </row>
    <row r="38">
      <c r="A38" s="75" t="inlineStr">
        <is>
          <t>Fixed capacity</t>
        </is>
      </c>
      <c r="B38" s="86">
        <f>B25</f>
        <v/>
      </c>
      <c r="C38" s="96">
        <f>B25*65</f>
        <v/>
      </c>
      <c r="D38" s="75" t="inlineStr">
        <is>
          <t>24 / day · 1,560 / quarter</t>
        </is>
      </c>
    </row>
    <row r="39">
      <c r="A39" s="99" t="inlineStr">
        <is>
          <t>Operating capacity  ← CHANGEABLE</t>
        </is>
      </c>
      <c r="B39" s="163" t="n">
        <v>20</v>
      </c>
      <c r="C39" s="96">
        <f>IF(B39="","",B39*65)</f>
        <v/>
      </c>
      <c r="D39" s="75" t="inlineStr">
        <is>
          <t>LOCKED Q2 — 20/day · 1,300/qtr scheduled; effective ~17/day · ~1,105/qtr @ 85%</t>
        </is>
      </c>
    </row>
    <row r="40">
      <c r="A40" s="75" t="inlineStr">
        <is>
          <t>Effective OC after adjustment for worker productivity</t>
        </is>
      </c>
      <c r="B40" s="107">
        <f>IF(OR(B39="",B30=""),"",B39*B30)</f>
        <v/>
      </c>
      <c r="C40" s="96">
        <f>IF(B40="","",B40*65)</f>
        <v/>
      </c>
      <c r="D40" s="75" t="inlineStr">
        <is>
          <t>Scheduled OC × productivity % (e.g. 10×0.70=7)</t>
        </is>
      </c>
    </row>
    <row r="41">
      <c r="A41" s="75" t="inlineStr">
        <is>
          <t>Effective OC needed for demand projection</t>
        </is>
      </c>
      <c r="B41" s="107">
        <f>IF(OR(B29="",B30=""),"",(B29/65)*(1+(1-B30)))</f>
        <v/>
      </c>
      <c r="C41" s="96">
        <f>IF(OR(B29="",B30=""),"",B29*(1+(1-B30)))</f>
        <v/>
      </c>
      <c r="D41" s="75" t="inlineStr">
        <is>
          <t>Demand/65 × (1 + productivity loss)</t>
        </is>
      </c>
    </row>
    <row r="42">
      <c r="A42" s="75" t="inlineStr">
        <is>
          <t>Projected worker productivity [%]</t>
        </is>
      </c>
      <c r="B42" s="101">
        <f>B30</f>
        <v/>
      </c>
      <c r="C42" s="75" t="n"/>
      <c r="D42" s="75" t="inlineStr">
        <is>
          <t>Same as B30</t>
        </is>
      </c>
    </row>
    <row r="43">
      <c r="A43" s="75" t="inlineStr">
        <is>
          <t>New direct labor cost/unit of operating capacity</t>
        </is>
      </c>
      <c r="B43" s="108" t="n">
        <v>110</v>
      </c>
      <c r="D43" s="75" t="inlineStr">
        <is>
          <t>Approx from Workspace cost curve</t>
        </is>
      </c>
    </row>
    <row r="44">
      <c r="A44" s="75" t="inlineStr">
        <is>
          <t>New overhead cost/unit of operating capacity</t>
        </is>
      </c>
      <c r="B44" s="108" t="n">
        <v>48</v>
      </c>
      <c r="D44" s="75" t="inlineStr">
        <is>
          <t>Falls then flats ~$45–50</t>
        </is>
      </c>
    </row>
    <row r="45">
      <c r="A45" s="75" t="inlineStr">
        <is>
          <t>Expense to change operating capacity (add to overhead)</t>
        </is>
      </c>
      <c r="B45" s="73" t="n">
        <v>0</v>
      </c>
      <c r="D45" s="75" t="inlineStr">
        <is>
          <t>Paste from Workspace if non-zero</t>
        </is>
      </c>
    </row>
    <row r="46">
      <c r="A46" s="75" t="inlineStr">
        <is>
          <t>Labor + overhead $/unit at scheduled OC</t>
        </is>
      </c>
      <c r="B46" s="109">
        <f>IF(OR(B43="",B44=""),"",B43+B44)</f>
        <v/>
      </c>
    </row>
    <row r="47">
      <c r="A47" t="inlineStr">
        <is>
          <t>Scheduled vs needed</t>
        </is>
      </c>
      <c r="B47">
        <f>IF(OR(B39="",B41=""),"",IF(B39+0.001&gt;=B41,"OC ≥ needed","SHORT — raise OC or use OT"))</f>
        <v/>
      </c>
    </row>
    <row r="48">
      <c r="A48" t="inlineStr">
        <is>
          <t>Near fixed max (labor rising)?</t>
        </is>
      </c>
      <c r="B48">
        <f>IF(B39="","",IF(B39&gt;=23,"YES — labor U-curve rising; consider ~18–22","OK"))</f>
        <v/>
      </c>
    </row>
    <row r="50">
      <c r="A50" s="64" t="inlineStr">
        <is>
          <t>Helpers</t>
        </is>
      </c>
    </row>
    <row r="51">
      <c r="A51" t="inlineStr">
        <is>
          <t>Min daily OC (padded) alias</t>
        </is>
      </c>
      <c r="B51">
        <f>B41</f>
        <v/>
      </c>
    </row>
    <row r="52">
      <c r="A52" t="inlineStr">
        <is>
          <t>Scheduled daily OC alias</t>
        </is>
      </c>
      <c r="B52">
        <f>B39</f>
        <v/>
      </c>
    </row>
    <row r="53">
      <c r="A53" t="inlineStr">
        <is>
          <t>Max overtime hours/day authorized</t>
        </is>
      </c>
      <c r="B53" s="163" t="n">
        <v>0</v>
      </c>
      <c r="C53" t="inlineStr">
        <is>
          <t>LOCKED Q2 — no overtime</t>
        </is>
      </c>
    </row>
    <row r="55">
      <c r="A55" s="64" t="inlineStr">
        <is>
          <t>Operating Capacity Costs per Unit (approx Workspace chart)</t>
        </is>
      </c>
    </row>
    <row r="56">
      <c r="A56" s="68" t="inlineStr">
        <is>
          <t>OC units/day</t>
        </is>
      </c>
      <c r="B56" s="68" t="inlineStr">
        <is>
          <t>Labor $/unit</t>
        </is>
      </c>
      <c r="C56" s="68" t="inlineStr">
        <is>
          <t>Overhead $/unit</t>
        </is>
      </c>
      <c r="D56" s="68" t="inlineStr">
        <is>
          <t>Labor+OH</t>
        </is>
      </c>
    </row>
    <row r="57">
      <c r="A57" s="75" t="n">
        <v>1</v>
      </c>
      <c r="B57" s="70" t="n">
        <v>1200</v>
      </c>
      <c r="C57" s="70" t="n">
        <v>1400</v>
      </c>
      <c r="D57" s="70">
        <f>B57+C57</f>
        <v/>
      </c>
    </row>
    <row r="58">
      <c r="A58" s="75" t="n">
        <v>2</v>
      </c>
      <c r="B58" s="70" t="n">
        <v>380</v>
      </c>
      <c r="C58" s="70" t="n">
        <v>350</v>
      </c>
      <c r="D58" s="70">
        <f>B58+C58</f>
        <v/>
      </c>
    </row>
    <row r="59">
      <c r="A59" s="75" t="n">
        <v>4</v>
      </c>
      <c r="B59" s="70" t="n">
        <v>220</v>
      </c>
      <c r="C59" s="70" t="n">
        <v>180</v>
      </c>
      <c r="D59" s="70">
        <f>B59+C59</f>
        <v/>
      </c>
    </row>
    <row r="60">
      <c r="A60" s="75" t="n">
        <v>6</v>
      </c>
      <c r="B60" s="70" t="n">
        <v>190</v>
      </c>
      <c r="C60" s="70" t="n">
        <v>130</v>
      </c>
      <c r="D60" s="70">
        <f>B60+C60</f>
        <v/>
      </c>
    </row>
    <row r="61">
      <c r="A61" s="75" t="n">
        <v>8</v>
      </c>
      <c r="B61" s="70" t="n">
        <v>170</v>
      </c>
      <c r="C61" s="70" t="n">
        <v>95</v>
      </c>
      <c r="D61" s="70">
        <f>B61+C61</f>
        <v/>
      </c>
    </row>
    <row r="62">
      <c r="A62" s="75" t="n">
        <v>10</v>
      </c>
      <c r="B62" s="70" t="n">
        <v>155</v>
      </c>
      <c r="C62" s="70" t="n">
        <v>80</v>
      </c>
      <c r="D62" s="70">
        <f>B62+C62</f>
        <v/>
      </c>
    </row>
    <row r="63">
      <c r="A63" s="75" t="n">
        <v>12</v>
      </c>
      <c r="B63" s="70" t="n">
        <v>145</v>
      </c>
      <c r="C63" s="70" t="n">
        <v>70</v>
      </c>
      <c r="D63" s="70">
        <f>B63+C63</f>
        <v/>
      </c>
    </row>
    <row r="64">
      <c r="A64" s="75" t="n">
        <v>14</v>
      </c>
      <c r="B64" s="70" t="n">
        <v>135</v>
      </c>
      <c r="C64" s="70" t="n">
        <v>60</v>
      </c>
      <c r="D64" s="70">
        <f>B64+C64</f>
        <v/>
      </c>
    </row>
    <row r="65">
      <c r="A65" s="75" t="n">
        <v>16</v>
      </c>
      <c r="B65" s="70" t="n">
        <v>125</v>
      </c>
      <c r="C65" s="70" t="n">
        <v>55</v>
      </c>
      <c r="D65" s="70">
        <f>B65+C65</f>
        <v/>
      </c>
    </row>
    <row r="66">
      <c r="A66" s="75" t="n">
        <v>18</v>
      </c>
      <c r="B66" s="70" t="n">
        <v>115</v>
      </c>
      <c r="C66" s="70" t="n">
        <v>50</v>
      </c>
      <c r="D66" s="70">
        <f>B66+C66</f>
        <v/>
      </c>
    </row>
    <row r="67">
      <c r="A67" s="75" t="n">
        <v>20</v>
      </c>
      <c r="B67" s="70" t="n">
        <v>110</v>
      </c>
      <c r="C67" s="70" t="n">
        <v>48</v>
      </c>
      <c r="D67" s="70">
        <f>B67+C67</f>
        <v/>
      </c>
    </row>
    <row r="68">
      <c r="A68" s="75" t="n">
        <v>22</v>
      </c>
      <c r="B68" s="70" t="n">
        <v>120</v>
      </c>
      <c r="C68" s="70" t="n">
        <v>45</v>
      </c>
      <c r="D68" s="70">
        <f>B68+C68</f>
        <v/>
      </c>
    </row>
    <row r="69">
      <c r="A69" s="75" t="n">
        <v>24</v>
      </c>
      <c r="B69" s="70" t="n">
        <v>190</v>
      </c>
      <c r="C69" s="70" t="n">
        <v>45</v>
      </c>
      <c r="D69" s="70">
        <f>B69+C69</f>
        <v/>
      </c>
    </row>
    <row r="70">
      <c r="A70" s="75" t="n">
        <v>25</v>
      </c>
      <c r="B70" s="70" t="n">
        <v>300</v>
      </c>
      <c r="C70" s="70" t="n">
        <v>45</v>
      </c>
      <c r="D70" s="70">
        <f>B70+C70</f>
        <v/>
      </c>
    </row>
    <row r="71">
      <c r="A71" s="75" t="n">
        <v>26</v>
      </c>
      <c r="B71" s="70" t="n">
        <v>400</v>
      </c>
      <c r="C71" s="70" t="n">
        <v>45</v>
      </c>
      <c r="D71" s="70">
        <f>B71+C71</f>
        <v/>
      </c>
    </row>
    <row r="74">
      <c r="A74" t="inlineStr">
        <is>
          <t>Planning takeaway</t>
        </is>
      </c>
      <c r="B74" t="inlineStr">
        <is>
          <t>Sweet spot ~18–22 units/day (labor trough ~$110–120). At fixed max 24, labor rises (~$190). Overhead already low by ~16+. Trade revenue vs unit cost; OT can cover spikes without always running at 24.</t>
        </is>
      </c>
    </row>
    <row r="75">
      <c r="A75" t="inlineStr">
        <is>
          <t>Next-quarter fixed capacity add (printers) — prefer Production_Sim!B62</t>
        </is>
      </c>
      <c r="B75" s="72">
        <f>Production_Sim!B62</f>
        <v/>
      </c>
      <c r="C75" t="inlineStr">
        <is>
          <t>arrives NEXT quarter</t>
        </is>
      </c>
    </row>
    <row r="76">
      <c r="A76" t="inlineStr">
        <is>
          <t>Printers online</t>
        </is>
      </c>
      <c r="B76" t="n">
        <v>3</v>
      </c>
    </row>
    <row r="78">
      <c r="A78" t="inlineStr">
        <is>
          <t>Source</t>
        </is>
      </c>
      <c r="B78" t="inlineStr">
        <is>
          <t>Workspace Operating Capacity + cost curve chart (Q2)</t>
        </is>
      </c>
    </row>
    <row r="80">
      <c r="A80" t="inlineStr">
        <is>
          <t>Compat aliases (do not edit)</t>
        </is>
      </c>
    </row>
    <row r="81">
      <c r="A81" t="inlineStr">
        <is>
          <t>Min daily OC (legacy B34)</t>
        </is>
      </c>
      <c r="B81">
        <f>B41</f>
        <v/>
      </c>
    </row>
    <row r="82">
      <c r="A82" t="inlineStr">
        <is>
          <t>Scheduled OC (legacy B35)</t>
        </is>
      </c>
      <c r="B82">
        <f>B39</f>
        <v/>
      </c>
    </row>
    <row r="84">
      <c r="A84" s="64" t="inlineStr">
        <is>
          <t>Maximum Overtime per Day (Workspace)</t>
        </is>
      </c>
    </row>
    <row r="85">
      <c r="A85" s="68" t="inlineStr">
        <is>
          <t>Overtime</t>
        </is>
      </c>
      <c r="B85" s="68" t="inlineStr">
        <is>
          <t>Units per Quarter (add'l capacity)</t>
        </is>
      </c>
      <c r="C85" s="68" t="inlineStr">
        <is>
          <t>Productivity</t>
        </is>
      </c>
      <c r="D85" s="68" t="inlineStr">
        <is>
          <t>Average Labor Cost/Unit</t>
        </is>
      </c>
    </row>
    <row r="86">
      <c r="A86" s="75" t="inlineStr">
        <is>
          <t>No overtime</t>
        </is>
      </c>
      <c r="B86" s="70">
        <f>IF(OR($B$25="",$B$39=""),0,$B$25*(0/8)*65)</f>
        <v/>
      </c>
      <c r="C86" s="95" t="n">
        <v>0.7</v>
      </c>
      <c r="D86" s="108">
        <f>IF($B$39="","",IF($B$43="",0,$B$43))</f>
        <v/>
      </c>
    </row>
    <row r="87">
      <c r="A87" s="75" t="inlineStr">
        <is>
          <t>1 hour</t>
        </is>
      </c>
      <c r="B87" s="70">
        <f>IF(OR($B$25="",$B$39=""),0,$B$25*(1/8)*65)</f>
        <v/>
      </c>
      <c r="C87" s="95" t="n">
        <v>0.6929999999999999</v>
      </c>
      <c r="D87" s="108">
        <f>IF($B$39="","",IF($B$43="","", $B$43*(1+(1/8))))</f>
        <v/>
      </c>
    </row>
    <row r="88">
      <c r="A88" s="75" t="inlineStr">
        <is>
          <t>2 hours</t>
        </is>
      </c>
      <c r="B88" s="70">
        <f>IF(OR($B$25="",$B$39=""),0,$B$25*(2/8)*65)</f>
        <v/>
      </c>
      <c r="C88" s="95" t="n">
        <v>0.68</v>
      </c>
      <c r="D88" s="108">
        <f>IF($B$39="","",IF($B$43="","", $B$43*(1+(2/8))))</f>
        <v/>
      </c>
    </row>
    <row r="89">
      <c r="A89" s="75" t="inlineStr">
        <is>
          <t>3 hours</t>
        </is>
      </c>
      <c r="B89" s="70">
        <f>IF(OR($B$25="",$B$39=""),0,$B$25*(3/8)*65)</f>
        <v/>
      </c>
      <c r="C89" s="95" t="n">
        <v>0.664</v>
      </c>
      <c r="D89" s="108">
        <f>IF($B$39="","",IF($B$43="","", $B$43*(1+(3/8))))</f>
        <v/>
      </c>
    </row>
    <row r="90">
      <c r="A90" s="75" t="inlineStr">
        <is>
          <t>4 hours</t>
        </is>
      </c>
      <c r="B90" s="70">
        <f>IF(OR($B$25="",$B$39=""),0,$B$25*(4/8)*65)</f>
        <v/>
      </c>
      <c r="C90" s="95" t="n">
        <v>0.644</v>
      </c>
      <c r="D90" s="108">
        <f>IF($B$39="","",IF($B$43="","", $B$43*(1+(4/8))))</f>
        <v/>
      </c>
    </row>
    <row r="92">
      <c r="A92" s="64" t="inlineStr">
        <is>
          <t>Effect of Using Maximum Overtime</t>
        </is>
      </c>
    </row>
    <row r="93">
      <c r="A93" t="inlineStr">
        <is>
          <t>Maximum hours of overtime per day  ← CHANGEABLE</t>
        </is>
      </c>
      <c r="B93" s="72">
        <f>B53</f>
        <v/>
      </c>
      <c r="C93" t="inlineStr">
        <is>
          <t>Edit B53 (0–4); this mirrors it</t>
        </is>
      </c>
    </row>
    <row r="94">
      <c r="A94" t="inlineStr">
        <is>
          <t>Effective operating capacity addition (units/quarter)</t>
        </is>
      </c>
      <c r="B94" s="84">
        <f>IF(OR(B53="",B25=""),0,B25*(B53/8)*65)</f>
        <v/>
      </c>
    </row>
    <row r="95">
      <c r="A95" t="inlineStr">
        <is>
          <t>Loss of productivity</t>
        </is>
      </c>
      <c r="B95" s="110">
        <f>IF(B53="","",IF(B53=0,0,IF(B53=1,0.7-0.693,IF(B53=2,0.7-0.68,IF(B53=3,0.7-0.664,IF(B53=4,0.7-0.644,0))))))</f>
        <v/>
      </c>
    </row>
    <row r="96">
      <c r="A96" t="inlineStr">
        <is>
          <t>Increase in average labor cost/unit (approx)</t>
        </is>
      </c>
      <c r="B96" s="111">
        <f>IF(OR(B53="",B43=""),"",IF(B53=0,0,B43*(B53/8)))</f>
        <v/>
      </c>
      <c r="C96" t="inlineStr">
        <is>
          <t>Rough OT premium model — replace with Workspace figure when shown</t>
        </is>
      </c>
    </row>
    <row r="97">
      <c r="A97" t="inlineStr">
        <is>
          <t>Productivity with selected max OT</t>
        </is>
      </c>
      <c r="B97" s="110">
        <f>IF(B53="","",IF(B53=0,0.7,IF(B53=1,0.693,IF(B53=2,0.68,IF(B53=3,0.664,IF(B53=4,0.644,0.7))))))</f>
        <v/>
      </c>
    </row>
    <row r="99">
      <c r="A99" s="64" t="inlineStr">
        <is>
          <t>Projected Change in Worker Productivity (OT curve)</t>
        </is>
      </c>
    </row>
    <row r="100">
      <c r="A100" s="68" t="inlineStr">
        <is>
          <t>Overtime Hours</t>
        </is>
      </c>
      <c r="B100" s="68" t="inlineStr">
        <is>
          <t>Productivity %</t>
        </is>
      </c>
    </row>
    <row r="101">
      <c r="A101" s="75" t="n">
        <v>0</v>
      </c>
      <c r="B101" s="95" t="n">
        <v>0.7</v>
      </c>
    </row>
    <row r="102">
      <c r="A102" s="75" t="n">
        <v>1</v>
      </c>
      <c r="B102" s="95" t="n">
        <v>0.6929999999999999</v>
      </c>
    </row>
    <row r="103">
      <c r="A103" s="75" t="n">
        <v>2</v>
      </c>
      <c r="B103" s="95" t="n">
        <v>0.68</v>
      </c>
    </row>
    <row r="104">
      <c r="A104" s="75" t="n">
        <v>3</v>
      </c>
      <c r="B104" s="95" t="n">
        <v>0.664</v>
      </c>
    </row>
    <row r="105">
      <c r="A105" s="75" t="n">
        <v>4</v>
      </c>
      <c r="B105" s="95" t="n">
        <v>0.644</v>
      </c>
    </row>
    <row r="107">
      <c r="A107" t="inlineStr">
        <is>
          <t>Source</t>
        </is>
      </c>
      <c r="B107" t="inlineStr">
        <is>
          <t>Workspace Maximum Overtime + productivity chart (Q2)</t>
        </is>
      </c>
    </row>
  </sheetData>
  <mergeCells count="1">
    <mergeCell ref="A2:G2"/>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G79"/>
  <sheetViews>
    <sheetView topLeftCell="A54" workbookViewId="0">
      <selection activeCell="G21" sqref="G21"/>
    </sheetView>
  </sheetViews>
  <sheetFormatPr baseColWidth="8" defaultRowHeight="14.5"/>
  <cols>
    <col width="48" customWidth="1" style="146" min="1" max="1"/>
    <col width="16" customWidth="1" style="146" min="2" max="3"/>
    <col width="18" customWidth="1" style="146" min="4" max="4"/>
    <col width="16" customWidth="1" style="146" min="5" max="5"/>
    <col width="14" customWidth="1" style="146" min="6" max="6"/>
    <col width="16" customWidth="1" style="146" min="7" max="7"/>
  </cols>
  <sheetData>
    <row r="1" ht="18.5" customHeight="1" s="146">
      <c r="A1" s="67" t="inlineStr">
        <is>
          <t>Production Simulation (Workspace — Q2)</t>
        </is>
      </c>
    </row>
    <row r="2">
      <c r="A2" t="inlineStr">
        <is>
          <t>Reflects linked decisions: Demand_Forecast, Manufacturing OC/OT, Pricing, Cost_of_Production. Yellow = overrides. Re-paste Workspace when live numbers differ. Detail: manufacturing-background.md</t>
        </is>
      </c>
    </row>
    <row r="3">
      <c r="A3" t="inlineStr">
        <is>
          <t>Percent of forecasted demand (scenario)</t>
        </is>
      </c>
      <c r="B3" s="112" t="n">
        <v>1</v>
      </c>
      <c r="C3" t="inlineStr">
        <is>
          <t>100% = use Demand_Forecast; try 50% / 150% scenarios</t>
        </is>
      </c>
    </row>
    <row r="5">
      <c r="A5" s="64" t="inlineStr">
        <is>
          <t>Brand — Produce / Demand / Price</t>
        </is>
      </c>
    </row>
    <row r="6">
      <c r="A6" s="68" t="inlineStr">
        <is>
          <t>Brand</t>
        </is>
      </c>
      <c r="B6" s="68" t="inlineStr">
        <is>
          <t>Produce (Y/N)</t>
        </is>
      </c>
      <c r="C6" s="68" t="inlineStr">
        <is>
          <t>Previous Demand</t>
        </is>
      </c>
      <c r="D6" s="68" t="inlineStr">
        <is>
          <t>Projected Demand</t>
        </is>
      </c>
      <c r="E6" s="68" t="inlineStr">
        <is>
          <t>Average Cost</t>
        </is>
      </c>
      <c r="F6" s="68" t="inlineStr">
        <is>
          <t>Selling Price</t>
        </is>
      </c>
      <c r="G6" s="68" t="inlineStr">
        <is>
          <t>Unit Contribution</t>
        </is>
      </c>
    </row>
    <row r="7">
      <c r="A7" s="75" t="inlineStr">
        <is>
          <t>Hike Bike</t>
        </is>
      </c>
      <c r="B7" s="72" t="inlineStr">
        <is>
          <t>Y</t>
        </is>
      </c>
      <c r="C7" s="75" t="n">
        <v>0</v>
      </c>
      <c r="D7" s="96">
        <f>IF(OR(UPPER(B7)="N",UPPER(B7)="NO"),0,IF(Demand_Forecast!D17="","",Demand_Forecast!D17*$B$3))</f>
        <v/>
      </c>
      <c r="E7" s="96">
        <f>IF(Cost_of_Production!B15="","",Cost_of_Production!B15)</f>
        <v/>
      </c>
      <c r="F7" s="73">
        <f>IF(Pricing!F5="","",Pricing!F5)</f>
        <v/>
      </c>
      <c r="G7" s="113">
        <f>IF(OR(F7="",E7=""),"",F7-E7)</f>
        <v/>
      </c>
    </row>
    <row r="9">
      <c r="A9" s="64" t="inlineStr">
        <is>
          <t>Capacity (linked to Manufacturing)</t>
        </is>
      </c>
    </row>
    <row r="10">
      <c r="A10" s="68" t="inlineStr">
        <is>
          <t>Metric</t>
        </is>
      </c>
      <c r="B10" s="68" t="inlineStr">
        <is>
          <t>Units/Day</t>
        </is>
      </c>
      <c r="C10" s="68" t="inlineStr">
        <is>
          <t>Units/Quarter</t>
        </is>
      </c>
    </row>
    <row r="11">
      <c r="A11" s="75" t="inlineStr">
        <is>
          <t>Fixed capacity</t>
        </is>
      </c>
      <c r="B11" s="107">
        <f>Manufacturing!B25</f>
        <v/>
      </c>
      <c r="C11" s="96">
        <f>Manufacturing!B25*65</f>
        <v/>
      </c>
    </row>
    <row r="12">
      <c r="A12" s="75" t="inlineStr">
        <is>
          <t>Operating capacity</t>
        </is>
      </c>
      <c r="B12" s="107">
        <f>Manufacturing!B39</f>
        <v/>
      </c>
      <c r="C12" s="96">
        <f>IF(Manufacturing!B39="","",Manufacturing!B39*65)</f>
        <v/>
      </c>
    </row>
    <row r="13">
      <c r="A13" s="75" t="inlineStr">
        <is>
          <t>Effective OC after productivity (no OT)</t>
        </is>
      </c>
      <c r="B13" s="107">
        <f>Manufacturing!B40</f>
        <v/>
      </c>
      <c r="C13" s="96">
        <f>Manufacturing!C40</f>
        <v/>
      </c>
    </row>
    <row r="14">
      <c r="A14" s="75" t="inlineStr">
        <is>
          <t>Effective OC needed for demand projection</t>
        </is>
      </c>
      <c r="B14" s="107">
        <f>Manufacturing!B41</f>
        <v/>
      </c>
      <c r="C14" s="96">
        <f>Manufacturing!C41</f>
        <v/>
      </c>
    </row>
    <row r="15">
      <c r="A15" t="inlineStr">
        <is>
          <t>Maximum hours of overtime per day</t>
        </is>
      </c>
      <c r="B15" s="85">
        <f>Manufacturing!B53</f>
        <v/>
      </c>
    </row>
    <row r="16">
      <c r="A16" t="inlineStr">
        <is>
          <t>Projected worker productivity [%] (base / with OT)</t>
        </is>
      </c>
      <c r="B16" s="10">
        <f>Manufacturing!B30</f>
        <v/>
      </c>
      <c r="C16" s="10">
        <f>Manufacturing!B97</f>
        <v/>
      </c>
    </row>
    <row r="18">
      <c r="A18" s="64" t="inlineStr">
        <is>
          <t>Number of Units</t>
        </is>
      </c>
    </row>
    <row r="19">
      <c r="A19" s="68" t="inlineStr">
        <is>
          <t>Brand</t>
        </is>
      </c>
      <c r="B19" s="68" t="inlineStr">
        <is>
          <t>Units Produced</t>
        </is>
      </c>
      <c r="C19" s="68" t="inlineStr">
        <is>
          <t>Net Demand</t>
        </is>
      </c>
      <c r="D19" s="68" t="inlineStr">
        <is>
          <t>Lost Sales Due to Stock-Outs</t>
        </is>
      </c>
    </row>
    <row r="20">
      <c r="A20" s="75" t="inlineStr">
        <is>
          <t>Hike Bike</t>
        </is>
      </c>
      <c r="B20" s="96">
        <f>IF(OR(D7="",Manufacturing!B39=""),0,MIN(D7,Manufacturing!B39*IF(Manufacturing!B53=0,Manufacturing!B30,Manufacturing!B97)*65+Manufacturing!B25*(IF(Manufacturing!B53="",0,Manufacturing!B53)/8)*65))</f>
        <v/>
      </c>
      <c r="C20" s="70">
        <f>D7</f>
        <v/>
      </c>
      <c r="D20" s="96">
        <f>IF(OR(C20="",B20=""),0,MAX(0,C20-B20))</f>
        <v/>
      </c>
    </row>
    <row r="21">
      <c r="A21" s="86" t="inlineStr">
        <is>
          <t>Total</t>
        </is>
      </c>
      <c r="B21" s="96">
        <f>B20</f>
        <v/>
      </c>
      <c r="C21" s="96">
        <f>C20</f>
        <v/>
      </c>
      <c r="D21" s="96">
        <f>D20</f>
        <v/>
      </c>
    </row>
    <row r="22">
      <c r="A22" t="inlineStr">
        <is>
          <t>Unmet demand %</t>
        </is>
      </c>
      <c r="B22" s="10">
        <f>IF(OR(C21="",C21=0),"",D21/C21)</f>
        <v/>
      </c>
    </row>
    <row r="23">
      <c r="A23" t="inlineStr">
        <is>
          <t>Next-Q ill-will penalty % (½ unmet)</t>
        </is>
      </c>
      <c r="B23" s="114">
        <f>IF(B22="","",B22/2)</f>
        <v/>
      </c>
    </row>
    <row r="25">
      <c r="A25" s="64" t="inlineStr">
        <is>
          <t>Production Costs per Unit</t>
        </is>
      </c>
    </row>
    <row r="26">
      <c r="A26" s="68" t="inlineStr">
        <is>
          <t>Brand</t>
        </is>
      </c>
      <c r="B26" s="68" t="inlineStr">
        <is>
          <t>Units Produced</t>
        </is>
      </c>
      <c r="C26" s="68" t="inlineStr">
        <is>
          <t>Direct Materials</t>
        </is>
      </c>
      <c r="D26" s="68" t="inlineStr">
        <is>
          <t>+ Direct Labor</t>
        </is>
      </c>
      <c r="E26" s="68" t="inlineStr">
        <is>
          <t>+ Total Overhead</t>
        </is>
      </c>
      <c r="F26" s="68">
        <f>"= Production Average"</f>
        <v/>
      </c>
    </row>
    <row r="27">
      <c r="A27" s="75" t="inlineStr">
        <is>
          <t>Hike Bike</t>
        </is>
      </c>
      <c r="B27" s="71">
        <f>B20</f>
        <v/>
      </c>
      <c r="C27" s="73" t="n">
        <v>337</v>
      </c>
      <c r="D27" s="108">
        <f>IF(Manufacturing!B43="","",Manufacturing!B43+IF(Manufacturing!B96="",0,Manufacturing!B96))</f>
        <v/>
      </c>
      <c r="E27" s="108">
        <f>IF(Manufacturing!B44="","",Manufacturing!B44+IF(Manufacturing!B45="",0,Manufacturing!B45))</f>
        <v/>
      </c>
      <c r="F27" s="109">
        <f>IF(COUNT(C27:E27)&lt;1,"",SUM(C27:E27))</f>
        <v/>
      </c>
      <c r="G27" t="inlineStr">
        <is>
          <t>Materials default ~$337 parts (brand-mountain); replace with Workspace</t>
        </is>
      </c>
    </row>
    <row r="28">
      <c r="A28" t="inlineStr">
        <is>
          <t>vs Cost_of_Production table</t>
        </is>
      </c>
      <c r="B28">
        <f>IF(Cost_of_Production!B15="","",Cost_of_Production!B15)</f>
        <v/>
      </c>
      <c r="C28" t="inlineStr">
        <is>
          <t>Reconcile F27 vs Workspace volume cost table</t>
        </is>
      </c>
    </row>
    <row r="30">
      <c r="A30" s="64" t="inlineStr">
        <is>
          <t>Operating Capacity Utilization</t>
        </is>
      </c>
    </row>
    <row r="31">
      <c r="A31" s="81" t="inlineStr">
        <is>
          <t>Overtime</t>
        </is>
      </c>
    </row>
    <row r="32">
      <c r="A32" t="inlineStr">
        <is>
          <t>Overtime hours used</t>
        </is>
      </c>
      <c r="B32" s="115">
        <f>IF(OR(C20="",Manufacturing!B39=""),0,IF(C20&lt;=Manufacturing!B39*Manufacturing!B30*65,0,MIN(IF(Manufacturing!B53="",0,Manufacturing!B53),(C20-Manufacturing!B39*Manufacturing!B30*65)/(Manufacturing!B25*65/8))))</f>
        <v/>
      </c>
      <c r="C32" t="inlineStr">
        <is>
          <t>Approx hours needed; capped by max authorized</t>
        </is>
      </c>
    </row>
    <row r="33">
      <c r="A33" t="inlineStr">
        <is>
          <t>Overtime capacity (units/quarter add'l)</t>
        </is>
      </c>
      <c r="B33" s="71">
        <f>Manufacturing!B94</f>
        <v/>
      </c>
    </row>
    <row r="34">
      <c r="A34" t="inlineStr">
        <is>
          <t>Production worker productivity without overtime</t>
        </is>
      </c>
      <c r="B34" s="10">
        <f>Manufacturing!B30</f>
        <v/>
      </c>
    </row>
    <row r="35">
      <c r="A35" t="inlineStr">
        <is>
          <t>Production worker productivity with overtime</t>
        </is>
      </c>
      <c r="B35">
        <f>IF(OR(Manufacturing!B53="",Manufacturing!B53=0),"N/A",Manufacturing!B97)</f>
        <v/>
      </c>
    </row>
    <row r="36">
      <c r="A36" t="inlineStr">
        <is>
          <t>Increase in average direct labor cost/unit due to overtime</t>
        </is>
      </c>
      <c r="B36" s="116">
        <f>Manufacturing!B96</f>
        <v/>
      </c>
    </row>
    <row r="38">
      <c r="A38" s="81" t="inlineStr">
        <is>
          <t>Operating Capacity</t>
        </is>
      </c>
    </row>
    <row r="39">
      <c r="A39" t="inlineStr">
        <is>
          <t>Planned operating capacity (units/quarter)</t>
        </is>
      </c>
      <c r="B39" s="71">
        <f>IF(Manufacturing!B39="","",Manufacturing!B39*65)</f>
        <v/>
      </c>
    </row>
    <row r="40">
      <c r="A40" t="inlineStr">
        <is>
          <t>Planned operating capacity including overtime</t>
        </is>
      </c>
      <c r="B40" s="71">
        <f>IF(B39="","",B39+IF(B33="",0,B33))</f>
        <v/>
      </c>
    </row>
    <row r="41">
      <c r="A41" t="inlineStr">
        <is>
          <t>Production worker productivity (effective)</t>
        </is>
      </c>
      <c r="B41" s="10">
        <f>IF(OR(Manufacturing!B53="",Manufacturing!B53=0),Manufacturing!B30,Manufacturing!B97)</f>
        <v/>
      </c>
    </row>
    <row r="42">
      <c r="A42" t="inlineStr">
        <is>
          <t>Effective operating capacity (units/quarter)</t>
        </is>
      </c>
      <c r="B42" s="84">
        <f>IF(Manufacturing!B39="","",Manufacturing!B39*IF(Manufacturing!B53=0,Manufacturing!B30,Manufacturing!B97)*65+Manufacturing!B25*(IF(Manufacturing!B53="",0,Manufacturing!B53)/8)*65*IF(Manufacturing!B53=0,1,Manufacturing!B97))</f>
        <v/>
      </c>
    </row>
    <row r="43">
      <c r="A43" t="inlineStr">
        <is>
          <t>Effective operating capacity utilized</t>
        </is>
      </c>
      <c r="B43" s="71">
        <f>B20</f>
        <v/>
      </c>
    </row>
    <row r="44">
      <c r="A44" t="inlineStr">
        <is>
          <t>Effective operating capacity utilization</t>
        </is>
      </c>
      <c r="B44" s="10">
        <f>IF(OR(B42="",B42=0),"",B43/B42)</f>
        <v/>
      </c>
    </row>
    <row r="46">
      <c r="A46" s="81" t="inlineStr">
        <is>
          <t>Excess Capacity</t>
        </is>
      </c>
    </row>
    <row r="47">
      <c r="A47" t="inlineStr">
        <is>
          <t>Unused operating capacity</t>
        </is>
      </c>
      <c r="B47" s="71">
        <f>IF(OR(B42="",B43=""),0,MAX(0,B42-B43))</f>
        <v/>
      </c>
    </row>
    <row r="48">
      <c r="A48" t="inlineStr">
        <is>
          <t>Excess operating capacity %</t>
        </is>
      </c>
      <c r="B48" s="10">
        <f>IF(OR(B42="",B42=0),"",B47/B42)</f>
        <v/>
      </c>
    </row>
    <row r="49">
      <c r="A49" t="inlineStr">
        <is>
          <t>Overhead+labor charged to excess OC (approx)</t>
        </is>
      </c>
      <c r="B49" s="71">
        <f>IF(OR(B47="",Manufacturing!B46=""),0,B47*Manufacturing!B46)</f>
        <v/>
      </c>
      <c r="C49" t="inlineStr">
        <is>
          <t>Rough: unused units × (labor+OH)/unit — refine in Workspace</t>
        </is>
      </c>
    </row>
    <row r="51">
      <c r="A51" s="64" t="inlineStr">
        <is>
          <t>Fixed Capacity Increase (order this Q → available next Q)</t>
        </is>
      </c>
    </row>
    <row r="52">
      <c r="A52" s="68" t="inlineStr">
        <is>
          <t>3D Printers</t>
        </is>
      </c>
      <c r="B52" s="68" t="inlineStr">
        <is>
          <t>Units/Day</t>
        </is>
      </c>
      <c r="C52" s="68" t="inlineStr">
        <is>
          <t>Units/Quarter</t>
        </is>
      </c>
      <c r="D52" s="68" t="inlineStr">
        <is>
          <t>Capital Investment</t>
        </is>
      </c>
      <c r="E52" s="68" t="inlineStr">
        <is>
          <t>Select?</t>
        </is>
      </c>
    </row>
    <row r="53">
      <c r="A53" s="75" t="n">
        <v>0</v>
      </c>
      <c r="B53" s="75" t="n">
        <v>0</v>
      </c>
      <c r="C53" s="70" t="n">
        <v>0</v>
      </c>
      <c r="D53" s="70" t="n">
        <v>0</v>
      </c>
      <c r="E53" s="72" t="n"/>
    </row>
    <row r="54">
      <c r="A54" s="75" t="n">
        <v>1</v>
      </c>
      <c r="B54" s="75" t="n">
        <v>8</v>
      </c>
      <c r="C54" s="70" t="n">
        <v>520</v>
      </c>
      <c r="D54" s="70" t="n">
        <v>240000</v>
      </c>
      <c r="E54" s="72" t="n"/>
    </row>
    <row r="55">
      <c r="A55" s="75" t="n">
        <v>2</v>
      </c>
      <c r="B55" s="75" t="n">
        <v>16</v>
      </c>
      <c r="C55" s="70" t="n">
        <v>1040</v>
      </c>
      <c r="D55" s="70" t="n">
        <v>480000</v>
      </c>
      <c r="E55" s="72" t="n"/>
    </row>
    <row r="56">
      <c r="A56" s="75" t="n">
        <v>3</v>
      </c>
      <c r="B56" s="75" t="n">
        <v>24</v>
      </c>
      <c r="C56" s="70" t="n">
        <v>1560</v>
      </c>
      <c r="D56" s="70" t="n">
        <v>720000</v>
      </c>
      <c r="E56" s="72" t="n"/>
    </row>
    <row r="57">
      <c r="A57" s="75" t="n">
        <v>4</v>
      </c>
      <c r="B57" s="75" t="n">
        <v>32</v>
      </c>
      <c r="C57" s="70" t="n">
        <v>2080</v>
      </c>
      <c r="D57" s="70" t="n">
        <v>960000</v>
      </c>
      <c r="E57" s="72" t="n"/>
    </row>
    <row r="58">
      <c r="A58" s="75" t="n">
        <v>5</v>
      </c>
      <c r="B58" s="75" t="n">
        <v>40</v>
      </c>
      <c r="C58" s="70" t="n">
        <v>2600</v>
      </c>
      <c r="D58" s="70" t="n">
        <v>1200000</v>
      </c>
      <c r="E58" s="72" t="n"/>
    </row>
    <row r="59">
      <c r="A59" s="75" t="n">
        <v>7</v>
      </c>
      <c r="B59" s="75" t="n">
        <v>56</v>
      </c>
      <c r="C59" s="70" t="n">
        <v>3640</v>
      </c>
      <c r="D59" s="70" t="n">
        <v>1680000</v>
      </c>
      <c r="E59" s="72" t="n"/>
    </row>
    <row r="60">
      <c r="A60" s="75" t="n">
        <v>10</v>
      </c>
      <c r="B60" s="75" t="n">
        <v>80</v>
      </c>
      <c r="C60" s="70" t="n">
        <v>5200</v>
      </c>
      <c r="D60" s="70" t="n">
        <v>2400000</v>
      </c>
      <c r="E60" s="72" t="n"/>
    </row>
    <row r="62">
      <c r="A62" t="inlineStr">
        <is>
          <t>Printers to add (count)</t>
        </is>
      </c>
      <c r="B62" s="72" t="n">
        <v>0</v>
      </c>
      <c r="C62" t="inlineStr">
        <is>
          <t>Or mark Select? column; B62 drives summary (0–10)</t>
        </is>
      </c>
    </row>
    <row r="63">
      <c r="A63" t="inlineStr">
        <is>
          <t>Capital for selected add</t>
        </is>
      </c>
      <c r="B63" s="84">
        <f>IF(B62=0,0,IF(B62=1,240000,IF(B62=2,480000,IF(B62=3,720000,IF(B62=4,960000,IF(B62=5,1200000,IF(B62=7,1680000,IF(B62=10,2400000,"check"))))))))</f>
        <v/>
      </c>
    </row>
    <row r="64">
      <c r="A64" t="inlineStr">
        <is>
          <t>Sync Manufacturing!B75</t>
        </is>
      </c>
      <c r="B64">
        <f>B62</f>
        <v/>
      </c>
      <c r="C64" t="inlineStr">
        <is>
          <t>Keep Manufacturing next-Q add in sync</t>
        </is>
      </c>
    </row>
    <row r="66">
      <c r="A66" s="64" t="inlineStr">
        <is>
          <t>Summary</t>
        </is>
      </c>
    </row>
    <row r="67">
      <c r="A67" s="68" t="inlineStr">
        <is>
          <t>Metric</t>
        </is>
      </c>
      <c r="B67" s="68" t="inlineStr">
        <is>
          <t>Units/Day</t>
        </is>
      </c>
      <c r="C67" s="68" t="inlineStr">
        <is>
          <t>Units/Quarter</t>
        </is>
      </c>
    </row>
    <row r="68">
      <c r="A68" s="75" t="inlineStr">
        <is>
          <t>Fixed capacity available in current quarter</t>
        </is>
      </c>
      <c r="B68" s="96" t="n">
        <v>24</v>
      </c>
      <c r="C68" s="96" t="n">
        <v>1560</v>
      </c>
    </row>
    <row r="69">
      <c r="A69" s="75" t="inlineStr">
        <is>
          <t>Planned increase in fixed capacity</t>
        </is>
      </c>
      <c r="B69" s="96">
        <f>IF(B62=0,0,IF(B62=1,8,IF(B62=2,16,IF(B62=3,24,IF(B62=4,32,IF(B62=5,40,IF(B62=7,56,IF(B62=10,80,0))))))))</f>
        <v/>
      </c>
      <c r="C69" s="96">
        <f>B69*65</f>
        <v/>
      </c>
    </row>
    <row r="70">
      <c r="A70" s="75" t="inlineStr">
        <is>
          <t>Fixed capacity available in next quarter</t>
        </is>
      </c>
      <c r="B70" s="96">
        <f>B68+B69</f>
        <v/>
      </c>
      <c r="C70" s="96">
        <f>C68+C69</f>
        <v/>
      </c>
    </row>
    <row r="72">
      <c r="A72" t="inlineStr">
        <is>
          <t>Next Q demand vs next Q fixed (check)</t>
        </is>
      </c>
      <c r="B72">
        <f>IF(Demand_Forecast!I34="","",Demand_Forecast!I34)</f>
        <v/>
      </c>
      <c r="C72">
        <f>IF(OR(B72="",C70=""),"",IF(C70&gt;=B72*(1+(1-Manufacturing!B30)),"Capacity OK for padded demand","May need more printers or OT"))</f>
        <v/>
      </c>
    </row>
    <row r="74">
      <c r="A74" s="64" t="inlineStr">
        <is>
          <t>Optimization reminders</t>
        </is>
      </c>
    </row>
    <row r="75">
      <c r="A75" t="inlineStr">
        <is>
          <t>1. Set Demand_Forecast + Sales_Ops headcount first</t>
        </is>
      </c>
    </row>
    <row r="76">
      <c r="A76" t="inlineStr">
        <is>
          <t>2. Set Manufacturing B39 OC near needed (labor sweet spot ~18–22 if demand allows)</t>
        </is>
      </c>
    </row>
    <row r="77">
      <c r="A77" t="inlineStr">
        <is>
          <t>3. Use B53 OT as safety net — productivity falls 70%→64.4% at 4h; labor cost rises</t>
        </is>
      </c>
    </row>
    <row r="78">
      <c r="A78" t="inlineStr">
        <is>
          <t>4. Avoid stock-outs (ill-will = ½ unmet % next Q) and excess capacity (idle labor+OH)</t>
        </is>
      </c>
    </row>
    <row r="79">
      <c r="A79" t="inlineStr">
        <is>
          <t>5. Order printers (B62) only if next-Q demand needs &gt; current 24/day after OT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4.5"/>
  <cols>
    <col width="22" customWidth="1" style="146" min="1" max="1"/>
    <col width="12" customWidth="1" style="146" min="2" max="4"/>
    <col width="14" customWidth="1" style="146" min="5" max="7"/>
  </cols>
  <sheetData>
    <row r="1" ht="18.5" customHeight="1" s="146">
      <c r="A1" s="67" t="inlineStr">
        <is>
          <t>Cost of Production Estimate</t>
        </is>
      </c>
    </row>
    <row r="2">
      <c r="A2" t="inlineStr">
        <is>
          <t>Report reflects company decisions in Quarter 2 (Workspace). Look under the column for total units you expect to sell across ALL brands.</t>
        </is>
      </c>
    </row>
    <row r="3">
      <c r="A3" t="inlineStr">
        <is>
          <t>Ask Sales for the demand forecast. Unit cost falls with volume until crowding near fixed capacity.</t>
        </is>
      </c>
    </row>
    <row r="5">
      <c r="A5" s="68" t="inlineStr">
        <is>
          <t>Brand</t>
        </is>
      </c>
      <c r="B5" s="68" t="inlineStr">
        <is>
          <t>100 units</t>
        </is>
      </c>
      <c r="C5" s="68" t="inlineStr">
        <is>
          <t>250 units</t>
        </is>
      </c>
      <c r="D5" s="68" t="inlineStr">
        <is>
          <t>500 units</t>
        </is>
      </c>
      <c r="E5" s="68" t="inlineStr">
        <is>
          <t>1,000 units</t>
        </is>
      </c>
      <c r="F5" s="68" t="inlineStr">
        <is>
          <t>5,000 units</t>
        </is>
      </c>
      <c r="G5" s="68" t="inlineStr">
        <is>
          <t>10,000 units</t>
        </is>
      </c>
    </row>
    <row r="6">
      <c r="A6" s="69" t="inlineStr">
        <is>
          <t>Hike Bike</t>
        </is>
      </c>
      <c r="B6" s="70" t="n">
        <v>924</v>
      </c>
      <c r="C6" s="70" t="n">
        <v>675</v>
      </c>
      <c r="D6" s="70" t="n">
        <v>550</v>
      </c>
      <c r="E6" s="70" t="n">
        <v>495</v>
      </c>
      <c r="F6" s="70" t="n">
        <v>405</v>
      </c>
      <c r="G6" s="70" t="n">
        <v>363</v>
      </c>
    </row>
    <row r="8">
      <c r="A8" t="inlineStr">
        <is>
          <t>Volume columns (units across all brands)</t>
        </is>
      </c>
      <c r="B8" t="n">
        <v>100</v>
      </c>
      <c r="C8" t="n">
        <v>250</v>
      </c>
      <c r="D8" t="n">
        <v>500</v>
      </c>
      <c r="E8" t="n">
        <v>1000</v>
      </c>
      <c r="F8" t="n">
        <v>5000</v>
      </c>
      <c r="G8" t="n">
        <v>10000</v>
      </c>
    </row>
    <row r="9">
      <c r="A9" t="inlineStr">
        <is>
          <t>Source</t>
        </is>
      </c>
      <c r="B9" t="inlineStr">
        <is>
          <t>Workspace — Cost of Production Estimate (Q2)</t>
        </is>
      </c>
    </row>
    <row r="10">
      <c r="A10" t="inlineStr">
        <is>
          <t>As-of</t>
        </is>
      </c>
      <c r="B10" s="65" t="inlineStr">
        <is>
          <t>Q2 current decisions</t>
        </is>
      </c>
    </row>
    <row r="12">
      <c r="A12" s="64" t="inlineStr">
        <is>
          <t>Lookup helper (yellow = expected total units)</t>
        </is>
      </c>
    </row>
    <row r="13">
      <c r="A13" t="inlineStr">
        <is>
          <t>Expected total units (all brands)</t>
        </is>
      </c>
      <c r="B13" s="65">
        <f>IF(Demand_Forecast!B12="","",Demand_Forecast!B12)</f>
        <v/>
      </c>
      <c r="C13" t="inlineStr">
        <is>
          <t>linked to Demand_Forecast total (override yellow if needed)</t>
        </is>
      </c>
    </row>
    <row r="14">
      <c r="A14" t="inlineStr">
        <is>
          <t>Nearest column volume</t>
        </is>
      </c>
      <c r="B14">
        <f>IF(B13="","",IF(B13&lt;=175,100,IF(B13&lt;=375,250,IF(B13&lt;=750,500,IF(B13&lt;=3000,1000,IF(B13&lt;=7500,5000,10000))))))</f>
        <v/>
      </c>
    </row>
    <row r="15">
      <c r="A15" t="inlineStr">
        <is>
          <t>Est. unit production cost (Hike Bike)</t>
        </is>
      </c>
      <c r="B15" s="71">
        <f>IF(B13="","",IF(B14=100,B6,IF(B14=250,C6,IF(B14=500,D6,IF(B14=1000,E6,IF(B14=5000,F6,G6))))))</f>
        <v/>
      </c>
    </row>
    <row r="16">
      <c r="A16" t="inlineStr">
        <is>
          <t>Note</t>
        </is>
      </c>
      <c r="B16" t="inlineStr">
        <is>
          <t>Interpolation not applied — uses nearest published column. Re-paste table if Workspace updates.</t>
        </is>
      </c>
    </row>
    <row r="18">
      <c r="A18" s="64" t="inlineStr">
        <is>
          <t>Room for additional brands (paste when priced)</t>
        </is>
      </c>
    </row>
    <row r="19">
      <c r="A19" s="68" t="inlineStr">
        <is>
          <t>Brand</t>
        </is>
      </c>
      <c r="B19" s="68" t="inlineStr">
        <is>
          <t>100</t>
        </is>
      </c>
      <c r="C19" s="68" t="inlineStr">
        <is>
          <t>250</t>
        </is>
      </c>
      <c r="D19" s="68" t="inlineStr">
        <is>
          <t>500</t>
        </is>
      </c>
      <c r="E19" s="68" t="inlineStr">
        <is>
          <t>1000</t>
        </is>
      </c>
      <c r="F19" s="68" t="inlineStr">
        <is>
          <t>5000</t>
        </is>
      </c>
      <c r="G19" s="68" t="inlineStr">
        <is>
          <t>10000</t>
        </is>
      </c>
    </row>
    <row r="20">
      <c r="A20" s="72" t="n"/>
      <c r="B20" s="72" t="n"/>
      <c r="C20" s="72" t="n"/>
      <c r="D20" s="72" t="n"/>
      <c r="E20" s="72" t="n"/>
      <c r="F20" s="72" t="n"/>
      <c r="G20" s="72" t="n"/>
    </row>
    <row r="21">
      <c r="A21" s="72" t="n"/>
      <c r="B21" s="72" t="n"/>
      <c r="C21" s="72" t="n"/>
      <c r="D21" s="72" t="n"/>
      <c r="E21" s="72" t="n"/>
      <c r="F21" s="72" t="n"/>
      <c r="G21" s="72" t="n"/>
    </row>
    <row r="22">
      <c r="A22" s="72" t="n"/>
      <c r="B22" s="72" t="n"/>
      <c r="C22" s="72" t="n"/>
      <c r="D22" s="72" t="n"/>
      <c r="E22" s="72" t="n"/>
      <c r="F22" s="72" t="n"/>
      <c r="G22" s="72" t="n"/>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4.5"/>
  <cols>
    <col width="42" customWidth="1" style="146" min="1" max="1"/>
    <col width="14" customWidth="1" style="146" min="2" max="9"/>
  </cols>
  <sheetData>
    <row r="1" ht="18.5" customHeight="1" s="146">
      <c r="A1" s="67" t="inlineStr">
        <is>
          <t>Demand Projection — Current &amp; Next Quarter</t>
        </is>
      </c>
    </row>
    <row r="2">
      <c r="A2" t="inlineStr">
        <is>
          <t>Formula: Demand = units per salesperson × # sales people. Feeds Manufacturing OC / Pricing / Cost_of_Production. Detail: demand-projection-background.md · Yellow = changeable.</t>
        </is>
      </c>
    </row>
    <row r="3">
      <c r="A3" t="inlineStr">
        <is>
          <t>Q2 tip: conservative — ~30–70 units/SP; safe ~40. Q3 tip: ~40–80 units/SP; start ~60. Stock-out ill-will: next Q demand cut by half of unmet %.</t>
        </is>
      </c>
    </row>
    <row r="5">
      <c r="A5" s="64" t="inlineStr">
        <is>
          <t>This Quarter (Projected) vs Last Quarter (Actual)</t>
        </is>
      </c>
    </row>
    <row r="6">
      <c r="A6" s="68" t="inlineStr">
        <is>
          <t>Channel</t>
        </is>
      </c>
      <c r="B6" s="68" t="inlineStr">
        <is>
          <t>Last Q — Sales People</t>
        </is>
      </c>
      <c r="C6" s="68" t="inlineStr">
        <is>
          <t>Last Q — Demand/SP</t>
        </is>
      </c>
      <c r="D6" s="68" t="inlineStr">
        <is>
          <t>Last Q — Total Demand</t>
        </is>
      </c>
      <c r="E6" s="68" t="inlineStr">
        <is>
          <t>This Q — Sales People</t>
        </is>
      </c>
      <c r="F6" s="68" t="inlineStr">
        <is>
          <t>This Q — Demand/SP</t>
        </is>
      </c>
      <c r="G6" s="68" t="inlineStr">
        <is>
          <t>This Q — Total Demand</t>
        </is>
      </c>
    </row>
    <row r="7">
      <c r="A7" s="75" t="inlineStr">
        <is>
          <t>Stores</t>
        </is>
      </c>
      <c r="B7" s="75" t="n">
        <v>0</v>
      </c>
      <c r="C7" s="75" t="n">
        <v>0</v>
      </c>
      <c r="D7" s="75" t="n">
        <v>0</v>
      </c>
      <c r="E7" s="72">
        <f>IF(Sales_Ops!C19="","",Sales_Ops!C19)</f>
        <v/>
      </c>
      <c r="F7" s="164" t="n">
        <v>40</v>
      </c>
      <c r="G7" s="96">
        <f>IF(OR(E7="",F7=""),"",E7*F7)</f>
        <v/>
      </c>
    </row>
    <row r="8">
      <c r="A8" s="75" t="inlineStr">
        <is>
          <t>Web Sales Center</t>
        </is>
      </c>
      <c r="B8" s="75" t="n">
        <v>0</v>
      </c>
      <c r="C8" s="75" t="n">
        <v>0</v>
      </c>
      <c r="D8" s="75" t="n">
        <v>0</v>
      </c>
      <c r="E8" s="72">
        <f>IF(Sales_Ops!E55="","",Sales_Ops!E55)</f>
        <v/>
      </c>
      <c r="F8" s="164" t="n">
        <v>40</v>
      </c>
      <c r="G8" s="96">
        <f>IF(OR(E8="",F8=""),"",E8*F8)</f>
        <v/>
      </c>
    </row>
    <row r="9">
      <c r="A9" s="99" t="inlineStr">
        <is>
          <t>Total</t>
        </is>
      </c>
      <c r="B9" s="86">
        <f>B7+B8</f>
        <v/>
      </c>
      <c r="C9" s="86" t="n"/>
      <c r="D9" s="86">
        <f>D7+D8</f>
        <v/>
      </c>
      <c r="E9" s="86">
        <f>IF(COUNT(E7:E8)=0,"",SUM(E7:E8))</f>
        <v/>
      </c>
      <c r="F9" s="86" t="n"/>
      <c r="G9" s="100">
        <f>IF(COUNT(G7:G8)=0,"",SUM(G7:G8))</f>
        <v/>
      </c>
    </row>
    <row r="10">
      <c r="A10" t="inlineStr">
        <is>
          <t>Scenario multiplier (lean stress-test)</t>
        </is>
      </c>
      <c r="B10" s="98" t="n">
        <v>1</v>
      </c>
      <c r="C10" t="inlineStr">
        <is>
          <t>1.0 = base; 0.5 = half; 1.5 = +50%</t>
        </is>
      </c>
    </row>
    <row r="11">
      <c r="A11" t="inlineStr">
        <is>
          <t>Total forecasted demand (adjusted) — Manufacturing link</t>
        </is>
      </c>
    </row>
    <row r="12">
      <c r="A12" t="inlineStr">
        <is>
          <t>Total forecasted demand (adjusted)</t>
        </is>
      </c>
      <c r="B12" s="97">
        <f>IF(G9="","",G9*B10)</f>
        <v/>
      </c>
      <c r="C12" t="inlineStr">
        <is>
          <t>← Manufacturing!B31 and Cost_of_Production lookup use this cell</t>
        </is>
      </c>
    </row>
    <row r="13">
      <c r="A13" t="inlineStr">
        <is>
          <t>Changeable this Q: E7/E8 people (linked; override OK) · F7/F8 demand per SP · brand demands below · B10 multiplier</t>
        </is>
      </c>
    </row>
    <row r="15">
      <c r="A15" s="64" t="inlineStr">
        <is>
          <t>Brand Demand Projections</t>
        </is>
      </c>
    </row>
    <row r="16">
      <c r="A16" s="68" t="inlineStr">
        <is>
          <t>Brand</t>
        </is>
      </c>
      <c r="B16" s="68" t="inlineStr">
        <is>
          <t>Last Q Demand</t>
        </is>
      </c>
      <c r="C16" s="68" t="inlineStr">
        <is>
          <t>Last Q %</t>
        </is>
      </c>
      <c r="D16" s="68" t="inlineStr">
        <is>
          <t>This Q Demand</t>
        </is>
      </c>
      <c r="E16" s="68" t="inlineStr">
        <is>
          <t>This Q %</t>
        </is>
      </c>
      <c r="F16" s="68" t="inlineStr">
        <is>
          <t>Capacity Required (units)</t>
        </is>
      </c>
      <c r="G16" s="68" t="inlineStr">
        <is>
          <t>Segment</t>
        </is>
      </c>
      <c r="H16" s="68" t="inlineStr">
        <is>
          <t>Notes</t>
        </is>
      </c>
    </row>
    <row r="17">
      <c r="A17" s="75" t="inlineStr">
        <is>
          <t>Hike Bike</t>
        </is>
      </c>
      <c r="B17" s="75" t="inlineStr">
        <is>
          <t>n/a</t>
        </is>
      </c>
      <c r="C17" s="75" t="inlineStr">
        <is>
          <t>LOCKED hiring → ~400 total @ 40/SP (AMS 5 + web 5); 100% Hike Bike</t>
        </is>
      </c>
      <c r="D17" s="73">
        <f>IF($B$12="","",$B$12)</f>
        <v/>
      </c>
      <c r="E17" s="95">
        <f>IF(OR($B$12="",D17="",$B$12=0),"",D17/$B$12)</f>
        <v/>
      </c>
      <c r="F17" s="70">
        <f>D17</f>
        <v/>
      </c>
      <c r="G17" s="75" t="inlineStr">
        <is>
          <t>Mountain</t>
        </is>
      </c>
      <c r="H17" s="75" t="inlineStr">
        <is>
          <t>Primary; replace D17 formula with fixed units if splitting brands</t>
        </is>
      </c>
    </row>
    <row r="18">
      <c r="A18" s="72" t="n"/>
      <c r="B18" s="75" t="n"/>
      <c r="C18" s="75" t="n"/>
      <c r="D18" s="73" t="n"/>
      <c r="E18" s="95">
        <f>IF(OR($B$12="",D18="",$B$12=0),"",D18/$B$12)</f>
        <v/>
      </c>
      <c r="F18" s="70">
        <f>D18</f>
        <v/>
      </c>
      <c r="G18" s="72" t="n"/>
      <c r="H18" s="75" t="inlineStr">
        <is>
          <t>Optional brand 2</t>
        </is>
      </c>
    </row>
    <row r="19">
      <c r="A19" s="72" t="n"/>
      <c r="B19" s="75" t="n"/>
      <c r="C19" s="75" t="n"/>
      <c r="D19" s="73" t="n"/>
      <c r="E19" s="95">
        <f>IF(OR($B$12="",D19="",$B$12=0),"",D19/$B$12)</f>
        <v/>
      </c>
      <c r="F19" s="70">
        <f>D19</f>
        <v/>
      </c>
      <c r="G19" s="72" t="n"/>
      <c r="H19" s="75" t="inlineStr">
        <is>
          <t>Optional brand 3</t>
        </is>
      </c>
    </row>
    <row r="20">
      <c r="A20" s="86" t="inlineStr">
        <is>
          <t>Total</t>
        </is>
      </c>
      <c r="B20" s="86" t="n"/>
      <c r="C20" s="86" t="n"/>
      <c r="D20" s="96">
        <f>IF(COUNT(D17:D19)=0,"",SUM(D17:D19))</f>
        <v/>
      </c>
      <c r="E20" s="101">
        <f>IF(OR($B$12="",D20=""),"",D20/$B$12)</f>
        <v/>
      </c>
      <c r="F20" s="86">
        <f>D20</f>
        <v/>
      </c>
      <c r="G20" s="86" t="n"/>
      <c r="H20" s="86" t="inlineStr">
        <is>
          <t>Should equal 100% of B12</t>
        </is>
      </c>
    </row>
    <row r="21">
      <c r="A21" t="inlineStr">
        <is>
          <t>Brand sum matches total?</t>
        </is>
      </c>
      <c r="B21">
        <f>IF(OR(B12="",D20=""),"",IF(ABS(D20-B12)&lt;0.5,"YES","NO — adjust brand demands"))</f>
        <v/>
      </c>
    </row>
    <row r="23">
      <c r="A23" s="64" t="inlineStr">
        <is>
          <t>Operating capacity required to satisfy projected demand</t>
        </is>
      </c>
    </row>
    <row r="24">
      <c r="A24" s="68" t="n"/>
      <c r="B24" s="68" t="inlineStr">
        <is>
          <t>Units / Quarter</t>
        </is>
      </c>
      <c r="C24" s="68" t="inlineStr">
        <is>
          <t>Units / Day</t>
        </is>
      </c>
    </row>
    <row r="25">
      <c r="A25" t="inlineStr">
        <is>
          <t>Operating capacity required (raw demand)</t>
        </is>
      </c>
      <c r="B25" s="71">
        <f>IF(B12="","",B12)</f>
        <v/>
      </c>
      <c r="C25" s="102">
        <f>IF(B12="","",B12/65)</f>
        <v/>
      </c>
      <c r="D25" t="inlineStr">
        <is>
          <t>Workspace-style: demand ÷ 65 workdays</t>
        </is>
      </c>
    </row>
    <row r="26">
      <c r="A26" t="inlineStr">
        <is>
          <t>Min daily OC with productivity pad</t>
        </is>
      </c>
      <c r="B26">
        <f>IF(OR(B12="",Manufacturing!B32=""),"",B12)</f>
        <v/>
      </c>
      <c r="C26" s="102">
        <f>IF(OR(B12="",Manufacturing!B32=""),"",B12/65*(1+(1-Manufacturing!B32)))</f>
        <v/>
      </c>
      <c r="D26" t="inlineStr">
        <is>
          <t>Use this when scheduling OC (Manufacturing lecture)</t>
        </is>
      </c>
    </row>
    <row r="27">
      <c r="A27" t="inlineStr">
        <is>
          <t>Fixed capacity / day available</t>
        </is>
      </c>
      <c r="C27">
        <f>Manufacturing!B25</f>
        <v/>
      </c>
    </row>
    <row r="28">
      <c r="A28" t="inlineStr">
        <is>
          <t>Headroom (fixed − padded daily OC)</t>
        </is>
      </c>
      <c r="C28">
        <f>IF(OR(C26="",C27=""),"",C27-C26)</f>
        <v/>
      </c>
    </row>
    <row r="30">
      <c r="A30" s="64" t="inlineStr">
        <is>
          <t>Demand Projection — Next Quarter (for fixed capacity / printers)</t>
        </is>
      </c>
    </row>
    <row r="31">
      <c r="A31" s="68" t="inlineStr">
        <is>
          <t>Channel</t>
        </is>
      </c>
      <c r="B31" s="68" t="inlineStr">
        <is>
          <t>This Q — Outlets</t>
        </is>
      </c>
      <c r="C31" s="68" t="inlineStr">
        <is>
          <t>This Q — People</t>
        </is>
      </c>
      <c r="D31" s="68" t="inlineStr">
        <is>
          <t>This Q — Demand/SP</t>
        </is>
      </c>
      <c r="E31" s="68" t="inlineStr">
        <is>
          <t>This Q — Total</t>
        </is>
      </c>
      <c r="F31" s="68" t="inlineStr">
        <is>
          <t>Next Q — Outlets</t>
        </is>
      </c>
      <c r="G31" s="68" t="inlineStr">
        <is>
          <t>Next Q — People</t>
        </is>
      </c>
      <c r="H31" s="68" t="inlineStr">
        <is>
          <t>Next Q — Demand/SP</t>
        </is>
      </c>
      <c r="I31" s="68" t="inlineStr">
        <is>
          <t>Next Q — Total</t>
        </is>
      </c>
    </row>
    <row r="32">
      <c r="A32" s="75" t="inlineStr">
        <is>
          <t>Stores</t>
        </is>
      </c>
      <c r="B32" s="75" t="n">
        <v>1</v>
      </c>
      <c r="C32" s="75">
        <f>E7</f>
        <v/>
      </c>
      <c r="D32" s="75">
        <f>F7</f>
        <v/>
      </c>
      <c r="E32" s="75">
        <f>G7</f>
        <v/>
      </c>
      <c r="F32" s="72" t="n">
        <v>1</v>
      </c>
      <c r="G32" s="72" t="n"/>
      <c r="H32" s="98" t="n">
        <v>60</v>
      </c>
      <c r="I32" s="96">
        <f>IF(OR(G32="",H32=""),"",G32*H32)</f>
        <v/>
      </c>
    </row>
    <row r="33">
      <c r="A33" s="75" t="inlineStr">
        <is>
          <t>Web Sales Center</t>
        </is>
      </c>
      <c r="B33" s="75" t="n">
        <v>1</v>
      </c>
      <c r="C33" s="75">
        <f>E8</f>
        <v/>
      </c>
      <c r="D33" s="75">
        <f>F8</f>
        <v/>
      </c>
      <c r="E33" s="75">
        <f>G8</f>
        <v/>
      </c>
      <c r="F33" s="72" t="n">
        <v>1</v>
      </c>
      <c r="G33" s="72" t="n"/>
      <c r="H33" s="98" t="n">
        <v>60</v>
      </c>
      <c r="I33" s="96">
        <f>IF(OR(G33="",H33=""),"",G33*H33)</f>
        <v/>
      </c>
    </row>
    <row r="34">
      <c r="A34" s="103" t="inlineStr">
        <is>
          <t>Total</t>
        </is>
      </c>
      <c r="B34" s="86">
        <f>B32+B33</f>
        <v/>
      </c>
      <c r="C34" s="86">
        <f>IF(COUNT(C32:C33)=0,"",SUM(C32:C33))</f>
        <v/>
      </c>
      <c r="D34" s="86" t="n"/>
      <c r="E34" s="86">
        <f>IF(COUNT(E32:E33)=0,"",SUM(E32:E33))</f>
        <v/>
      </c>
      <c r="F34" s="86">
        <f>F32+F33</f>
        <v/>
      </c>
      <c r="G34" s="86">
        <f>IF(COUNT(G32:G33)=0,"",SUM(G32:G33))</f>
        <v/>
      </c>
      <c r="H34" s="86" t="n"/>
      <c r="I34" s="100">
        <f>IF(COUNT(I32:I33)=0,"",SUM(I32:I33))</f>
        <v/>
      </c>
    </row>
    <row r="36">
      <c r="A36" t="inlineStr">
        <is>
          <t>Next Q total demand (for printer planning)</t>
        </is>
      </c>
      <c r="B36" s="83">
        <f>I34</f>
        <v/>
      </c>
      <c r="C36" t="inlineStr">
        <is>
          <t>Link hint: also paste into Sales_Ops Q3 demand / Manufacturing capacity add</t>
        </is>
      </c>
    </row>
    <row r="37">
      <c r="A37" t="inlineStr">
        <is>
          <t>Next Q min daily OC (w/ productivity pad)</t>
        </is>
      </c>
      <c r="B37" s="102">
        <f>IF(OR(I34="",Manufacturing!B32=""),"",I34/65*(1+(1-Manufacturing!B32)))</f>
        <v/>
      </c>
      <c r="C37" t="inlineStr">
        <is>
          <t>If &gt; fixed 24/day, order printers this Q</t>
        </is>
      </c>
    </row>
    <row r="38">
      <c r="A38" t="inlineStr">
        <is>
          <t>Changeable next Q: F32/F33 outlets · G32/G33 people · H32/H33 demand per SP</t>
        </is>
      </c>
    </row>
    <row r="40">
      <c r="A40" t="inlineStr">
        <is>
          <t>Ill-will reminder</t>
        </is>
      </c>
      <c r="B40" t="inlineStr">
        <is>
          <t>Unmet demand % this Q → next Q demand reduced by half that %. Prefer slight OC buffer / overtime safety net over chronic stock-outs.</t>
        </is>
      </c>
    </row>
    <row r="41">
      <c r="A41" t="inlineStr">
        <is>
          <t>Source</t>
        </is>
      </c>
      <c r="B41" t="inlineStr">
        <is>
          <t>Workspace — Demand Projection (current + next quarter)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4.5"/>
  <cols>
    <col width="14" customWidth="1" style="146" min="1" max="1"/>
    <col width="12" customWidth="1" style="146" min="2" max="2"/>
    <col width="10" customWidth="1" style="146" min="3" max="3"/>
    <col width="12" customWidth="1" style="146" min="4" max="4"/>
    <col width="16" customWidth="1" style="146" min="5" max="6"/>
    <col width="10" customWidth="1" style="146" min="7" max="7"/>
    <col width="16" customWidth="1" style="146" min="8" max="8"/>
    <col width="12" customWidth="1" style="146" min="9" max="9"/>
    <col width="22" customWidth="1" style="146" min="10" max="10"/>
  </cols>
  <sheetData>
    <row r="1" ht="18.5" customHeight="1" s="146">
      <c r="A1" s="67" t="inlineStr">
        <is>
          <t>Brand Pricing — Q2</t>
        </is>
      </c>
    </row>
    <row r="2">
      <c r="A2" t="inlineStr">
        <is>
          <t>Decide list price for each brand on sale. Compare to WTP ceiling and estimated unit production cost at expected volume.</t>
        </is>
      </c>
    </row>
    <row r="4">
      <c r="A4" s="68" t="inlineStr">
        <is>
          <t>Brand</t>
        </is>
      </c>
      <c r="B4" s="68" t="inlineStr">
        <is>
          <t>Segment</t>
        </is>
      </c>
      <c r="C4" s="68" t="inlineStr">
        <is>
          <t>Priority</t>
        </is>
      </c>
      <c r="D4" s="68" t="inlineStr">
        <is>
          <t>WTP ceiling</t>
        </is>
      </c>
      <c r="E4" s="68" t="inlineStr">
        <is>
          <t>Est. unit prod. cost</t>
        </is>
      </c>
      <c r="F4" s="68" t="inlineStr">
        <is>
          <t>List price (decision)</t>
        </is>
      </c>
      <c r="G4" s="68" t="inlineStr">
        <is>
          <t>vs WTP</t>
        </is>
      </c>
      <c r="H4" s="68" t="inlineStr">
        <is>
          <t>Gross vs prod. cost</t>
        </is>
      </c>
      <c r="I4" s="68" t="inlineStr">
        <is>
          <t>Gross margin %</t>
        </is>
      </c>
      <c r="J4" s="68" t="inlineStr">
        <is>
          <t>Status</t>
        </is>
      </c>
    </row>
    <row r="5">
      <c r="A5" t="inlineStr">
        <is>
          <t>Hike Bike</t>
        </is>
      </c>
      <c r="B5" t="inlineStr">
        <is>
          <t>Mountain</t>
        </is>
      </c>
      <c r="C5" t="n">
        <v>1</v>
      </c>
      <c r="D5" s="71">
        <f>Price_WTP!B6</f>
        <v/>
      </c>
      <c r="E5" s="71">
        <f>Cost_of_Production!B15</f>
        <v/>
      </c>
      <c r="F5" s="73" t="n"/>
      <c r="G5" s="71">
        <f>IF(OR(F5="",D5=""),"",F5-D5)</f>
        <v/>
      </c>
      <c r="H5" s="71">
        <f>IF(OR(F5="",E5=""),"",F5-E5)</f>
        <v/>
      </c>
      <c r="I5" s="10">
        <f>IF(OR(F5="",E5="",F5=0),"",H5/F5)</f>
        <v/>
      </c>
      <c r="J5" t="inlineStr">
        <is>
          <t>OPEN — set list price</t>
        </is>
      </c>
    </row>
    <row r="7">
      <c r="A7" s="64" t="inlineStr">
        <is>
          <t>Pricing notes</t>
        </is>
      </c>
    </row>
    <row r="8">
      <c r="A8" t="inlineStr">
        <is>
          <t>Mountain WTP ceiling (ideal brand)</t>
        </is>
      </c>
      <c r="B8" s="71">
        <f>Price_WTP!B6</f>
        <v/>
      </c>
    </row>
    <row r="9">
      <c r="A9" t="inlineStr">
        <is>
          <t>Alumni ballpark (advisory only)</t>
        </is>
      </c>
      <c r="B9" t="inlineStr">
        <is>
          <t>~$1,260–$1,500</t>
        </is>
      </c>
    </row>
    <row r="10">
      <c r="A10" t="inlineStr">
        <is>
          <t>At 100 units, COGS ≈ $924 → price must clear this + other opex</t>
        </is>
      </c>
    </row>
    <row r="11">
      <c r="A11" t="inlineStr">
        <is>
          <t>At 250 units, COGS ≈ $675; at 500 ≈ $550 — volume drops unit cost sharply</t>
        </is>
      </c>
    </row>
    <row r="12">
      <c r="A12" t="inlineStr">
        <is>
          <t>Decision tip: price near WTP if Brand/Ad Judgment lead; slightly under if fighting for share</t>
        </is>
      </c>
    </row>
    <row r="13">
      <c r="A13" t="inlineStr">
        <is>
          <t>Team decision (yellow F5). Do not lock until majority vote.</t>
        </is>
      </c>
    </row>
    <row r="15">
      <c r="A15" s="64" t="inlineStr">
        <is>
          <t>Scenario scratch (optional)</t>
        </is>
      </c>
    </row>
    <row r="16">
      <c r="A16" t="inlineStr">
        <is>
          <t>Trial price</t>
        </is>
      </c>
      <c r="B16" s="74" t="n"/>
    </row>
    <row r="17">
      <c r="A17" t="inlineStr">
        <is>
          <t>Assumed volume</t>
        </is>
      </c>
      <c r="B17" s="65" t="n"/>
    </row>
    <row r="18">
      <c r="A18" t="inlineStr">
        <is>
          <t>Nearest cost column</t>
        </is>
      </c>
      <c r="B18">
        <f>IF(B17="","",IF(B17&lt;=175,100,IF(B17&lt;=375,250,IF(B17&lt;=750,500,IF(B17&lt;=3000,1000,IF(B17&lt;=7500,5000,10000))))))</f>
        <v/>
      </c>
    </row>
    <row r="19">
      <c r="A19" t="inlineStr">
        <is>
          <t>Unit cost at trial volume</t>
        </is>
      </c>
      <c r="B19" s="71">
        <f>IF(B17="","",IF(B18=100,Cost_of_Production!B6,IF(B18=250,Cost_of_Production!C6,IF(B18=500,Cost_of_Production!D6,IF(B18=1000,Cost_of_Production!E6,IF(B18=5000,Cost_of_Production!F6,Cost_of_Production!G6))))))</f>
        <v/>
      </c>
    </row>
    <row r="20">
      <c r="A20" t="inlineStr">
        <is>
          <t>Unit contribution (price − cost)</t>
        </is>
      </c>
      <c r="B20" s="71">
        <f>IF(OR(B16="",B19=""),"",B16-B19)</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49"/>
  <sheetViews>
    <sheetView topLeftCell="A8" workbookViewId="0">
      <selection activeCell="G21" sqref="G21"/>
    </sheetView>
  </sheetViews>
  <sheetFormatPr baseColWidth="8" defaultRowHeight="14.5"/>
  <cols>
    <col width="28" customWidth="1" style="146" min="1" max="1"/>
    <col width="22" customWidth="1" style="146" min="2" max="2"/>
    <col width="14" customWidth="1" style="146" min="3" max="3"/>
    <col width="22" customWidth="1" style="146" min="4" max="4"/>
    <col width="14" customWidth="1" style="146" min="5" max="5"/>
    <col width="22" customWidth="1" style="146" min="6" max="6"/>
    <col width="12" customWidth="1" style="146" min="7" max="7"/>
  </cols>
  <sheetData>
    <row r="1" ht="18.5" customHeight="1" s="146">
      <c r="A1" s="67" t="inlineStr">
        <is>
          <t>Media Preference</t>
        </is>
      </c>
    </row>
    <row r="2">
      <c r="A2" t="inlineStr">
        <is>
          <t>One-time report prepared for your company (Workspace). Higher score = stronger preference for that medium in the segment.</t>
        </is>
      </c>
    </row>
    <row r="3">
      <c r="A3" t="inlineStr">
        <is>
          <t>Use to prioritize major media placement for Mountain (primary), then Speed / Rec. Yellow = placement decisions (not locked).</t>
        </is>
      </c>
    </row>
    <row r="5">
      <c r="A5" s="68" t="inlineStr">
        <is>
          <t>Medium</t>
        </is>
      </c>
      <c r="B5" s="68" t="inlineStr">
        <is>
          <t>Recreation</t>
        </is>
      </c>
      <c r="C5" s="68" t="inlineStr">
        <is>
          <t>Mountain</t>
        </is>
      </c>
      <c r="D5" s="68" t="inlineStr">
        <is>
          <t>Speed</t>
        </is>
      </c>
      <c r="E5" s="68" t="inlineStr">
        <is>
          <t>Max</t>
        </is>
      </c>
      <c r="F5" s="68" t="inlineStr">
        <is>
          <t>Mtn rank</t>
        </is>
      </c>
      <c r="G5" s="68" t="inlineStr">
        <is>
          <t>Notes</t>
        </is>
      </c>
    </row>
    <row r="6">
      <c r="A6" s="75" t="inlineStr">
        <is>
          <t>Leisure &amp; Entertainment</t>
        </is>
      </c>
      <c r="B6" s="76" t="n">
        <v>143</v>
      </c>
      <c r="C6" s="75" t="n">
        <v>60</v>
      </c>
      <c r="D6" s="75" t="n">
        <v>51</v>
      </c>
      <c r="E6" s="75">
        <f>IF(COUNT(B6:D6)=0,"",MAX(B6:D6))</f>
        <v/>
      </c>
      <c r="F6" s="75">
        <f>IF(C6="","",RANK(C6,$C$6:$C$12,0))</f>
        <v/>
      </c>
      <c r="G6" s="72" t="n"/>
    </row>
    <row r="7">
      <c r="A7" s="75" t="inlineStr">
        <is>
          <t>Health &amp; Fitness Magazines</t>
        </is>
      </c>
      <c r="B7" s="76" t="n">
        <v>127</v>
      </c>
      <c r="C7" s="75" t="n">
        <v>104</v>
      </c>
      <c r="D7" s="75" t="n">
        <v>100</v>
      </c>
      <c r="E7" s="75">
        <f>IF(COUNT(B7:D7)=0,"",MAX(B7:D7))</f>
        <v/>
      </c>
      <c r="F7" s="75">
        <f>IF(C7="","",RANK(C7,$C$6:$C$12,0))</f>
        <v/>
      </c>
      <c r="G7" s="72" t="n"/>
    </row>
    <row r="8">
      <c r="A8" s="75" t="inlineStr">
        <is>
          <t>Biking Magazines</t>
        </is>
      </c>
      <c r="B8" s="75" t="n">
        <v>51</v>
      </c>
      <c r="C8" s="76" t="n">
        <v>134</v>
      </c>
      <c r="D8" s="76" t="n">
        <v>133</v>
      </c>
      <c r="E8" s="75">
        <f>IF(COUNT(B8:D8)=0,"",MAX(B8:D8))</f>
        <v/>
      </c>
      <c r="F8" s="75">
        <f>IF(C8="","",RANK(C8,$C$6:$C$12,0))</f>
        <v/>
      </c>
      <c r="G8" s="72" t="n"/>
    </row>
    <row r="9">
      <c r="A9" s="75" t="inlineStr">
        <is>
          <t>Sport Magazines</t>
        </is>
      </c>
      <c r="B9" s="75" t="n">
        <v>84</v>
      </c>
      <c r="C9" s="76" t="n">
        <v>123</v>
      </c>
      <c r="D9" s="76" t="n">
        <v>117</v>
      </c>
      <c r="E9" s="75">
        <f>IF(COUNT(B9:D9)=0,"",MAX(B9:D9))</f>
        <v/>
      </c>
      <c r="F9" s="75">
        <f>IF(C9="","",RANK(C9,$C$6:$C$12,0))</f>
        <v/>
      </c>
      <c r="G9" s="72" t="n"/>
    </row>
    <row r="10">
      <c r="A10" s="75" t="inlineStr">
        <is>
          <t>Business Magazines</t>
        </is>
      </c>
      <c r="B10" s="75" t="n">
        <v>90</v>
      </c>
      <c r="C10" s="75" t="n">
        <v>93</v>
      </c>
      <c r="D10" s="76" t="n">
        <v>125</v>
      </c>
      <c r="E10" s="75">
        <f>IF(COUNT(B10:D10)=0,"",MAX(B10:D10))</f>
        <v/>
      </c>
      <c r="F10" s="75">
        <f>IF(C10="","",RANK(C10,$C$6:$C$12,0))</f>
        <v/>
      </c>
      <c r="G10" s="72" t="n"/>
    </row>
    <row r="11">
      <c r="A11" s="75" t="inlineStr">
        <is>
          <t>New Venture Magazines</t>
        </is>
      </c>
      <c r="B11" s="75" t="n">
        <v>81</v>
      </c>
      <c r="C11" s="75" t="n">
        <v>94</v>
      </c>
      <c r="D11" s="76" t="n">
        <v>114</v>
      </c>
      <c r="E11" s="75">
        <f>IF(COUNT(B11:D11)=0,"",MAX(B11:D11))</f>
        <v/>
      </c>
      <c r="F11" s="75">
        <f>IF(C11="","",RANK(C11,$C$6:$C$12,0))</f>
        <v/>
      </c>
      <c r="G11" s="72" t="n"/>
    </row>
    <row r="12">
      <c r="A12" s="75" t="inlineStr">
        <is>
          <t>General News Magazines</t>
        </is>
      </c>
      <c r="B12" s="76" t="n">
        <v>111</v>
      </c>
      <c r="C12" s="76" t="n">
        <v>122</v>
      </c>
      <c r="D12" s="76" t="n">
        <v>113</v>
      </c>
      <c r="E12" s="75">
        <f>IF(COUNT(B12:D12)=0,"",MAX(B12:D12))</f>
        <v/>
      </c>
      <c r="F12" s="75">
        <f>IF(C12="","",RANK(C12,$C$6:$C$12,0))</f>
        <v/>
      </c>
      <c r="G12" s="72" t="n"/>
    </row>
    <row r="14">
      <c r="A14" s="64" t="inlineStr">
        <is>
          <t>Mountain priority (by score)</t>
        </is>
      </c>
    </row>
    <row r="15">
      <c r="A15" t="inlineStr">
        <is>
          <t>1st</t>
        </is>
      </c>
      <c r="B15" t="inlineStr">
        <is>
          <t>Biking Magazines (134)</t>
        </is>
      </c>
    </row>
    <row r="16">
      <c r="A16" t="inlineStr">
        <is>
          <t>2nd</t>
        </is>
      </c>
      <c r="B16" t="inlineStr">
        <is>
          <t>Sport Magazines (123)</t>
        </is>
      </c>
    </row>
    <row r="17">
      <c r="A17" t="inlineStr">
        <is>
          <t>3rd</t>
        </is>
      </c>
      <c r="B17" t="inlineStr">
        <is>
          <t>General News Magazines (122)</t>
        </is>
      </c>
    </row>
    <row r="18">
      <c r="A18" t="inlineStr">
        <is>
          <t>Avoid / low for Mountain</t>
        </is>
      </c>
      <c r="B18" t="inlineStr">
        <is>
          <t>Leisure &amp; Entertainment (60) — Rec-skewed</t>
        </is>
      </c>
    </row>
    <row r="20">
      <c r="A20" s="64" t="inlineStr">
        <is>
          <t>Speed priority (by score)</t>
        </is>
      </c>
    </row>
    <row r="21">
      <c r="A21" t="inlineStr">
        <is>
          <t>1st</t>
        </is>
      </c>
      <c r="B21" t="inlineStr">
        <is>
          <t>Biking Magazines (133)</t>
        </is>
      </c>
    </row>
    <row r="22">
      <c r="A22" t="inlineStr">
        <is>
          <t>2nd</t>
        </is>
      </c>
      <c r="B22" t="inlineStr">
        <is>
          <t>Business Magazines (125)</t>
        </is>
      </c>
    </row>
    <row r="23">
      <c r="A23" t="inlineStr">
        <is>
          <t>3rd</t>
        </is>
      </c>
      <c r="B23" t="inlineStr">
        <is>
          <t>Sport Magazines (117)</t>
        </is>
      </c>
    </row>
    <row r="25">
      <c r="A25" s="64" t="inlineStr">
        <is>
          <t>Recreation priority (by score)</t>
        </is>
      </c>
    </row>
    <row r="26">
      <c r="A26" t="inlineStr">
        <is>
          <t>1st</t>
        </is>
      </c>
      <c r="B26" t="inlineStr">
        <is>
          <t>Leisure &amp; Entertainment (143)</t>
        </is>
      </c>
    </row>
    <row r="27">
      <c r="A27" t="inlineStr">
        <is>
          <t>2nd</t>
        </is>
      </c>
      <c r="B27" t="inlineStr">
        <is>
          <t>Health &amp; Fitness Magazines (127)</t>
        </is>
      </c>
    </row>
    <row r="28">
      <c r="A28" t="inlineStr">
        <is>
          <t>3rd</t>
        </is>
      </c>
      <c r="B28" t="inlineStr">
        <is>
          <t>General News Magazines (111)</t>
        </is>
      </c>
    </row>
    <row r="30">
      <c r="A30" s="64" t="inlineStr">
        <is>
          <t>Major media placement (OPEN — team decision)</t>
        </is>
      </c>
    </row>
    <row r="31">
      <c r="A31" s="68" t="inlineStr">
        <is>
          <t>Ad name / focus</t>
        </is>
      </c>
      <c r="B31" s="68" t="inlineStr">
        <is>
          <t>Primary medium</t>
        </is>
      </c>
      <c r="C31" s="68" t="inlineStr">
        <is>
          <t>Inserts / spend</t>
        </is>
      </c>
      <c r="D31" s="68" t="inlineStr">
        <is>
          <t>Secondary medium</t>
        </is>
      </c>
      <c r="E31" s="68" t="inlineStr">
        <is>
          <t>Inserts / spend</t>
        </is>
      </c>
      <c r="F31" s="68" t="inlineStr">
        <is>
          <t>Geo / notes</t>
        </is>
      </c>
      <c r="G31" s="68" t="inlineStr">
        <is>
          <t>Status</t>
        </is>
      </c>
    </row>
    <row r="32">
      <c r="A32" s="75" t="inlineStr">
        <is>
          <t>HikeBike1 — Mountain primary</t>
        </is>
      </c>
      <c r="B32" s="163" t="inlineStr">
        <is>
          <t>Web + World Market magazines</t>
        </is>
      </c>
      <c r="C32" s="163" t="n">
        <v>1000</v>
      </c>
      <c r="D32" s="72" t="inlineStr">
        <is>
          <t>Biking</t>
        </is>
      </c>
      <c r="E32" s="163" t="n">
        <v>12</v>
      </c>
      <c r="F32" s="75" t="inlineStr">
        <is>
          <t>LOCKED: web $1,000/qtr; inserts Health1 Biking12 Sport2 News1 = $89,000 (Leisure/Business/NV=0); ranks brand→trail→gears→tires→adventure→tough→mtns→price</t>
        </is>
      </c>
      <c r="G32" s="75" t="inlineStr">
        <is>
          <t>LOCKED 2026-08-27</t>
        </is>
      </c>
    </row>
    <row r="33">
      <c r="A33" s="75" t="inlineStr">
        <is>
          <t>Secondary segment ad (TBD)</t>
        </is>
      </c>
      <c r="B33" s="72" t="n"/>
      <c r="C33" s="72" t="n"/>
      <c r="D33" s="72" t="n"/>
      <c r="E33" s="72" t="n"/>
      <c r="F33" s="75" t="n"/>
      <c r="G33" s="75" t="inlineStr">
        <is>
          <t>OPEN</t>
        </is>
      </c>
    </row>
    <row r="34">
      <c r="A34" s="75" t="inlineStr">
        <is>
          <t>Company / corporate ad (optional)</t>
        </is>
      </c>
      <c r="B34" s="72" t="n"/>
      <c r="C34" s="72" t="n"/>
      <c r="D34" s="72" t="n"/>
      <c r="E34" s="72" t="n"/>
      <c r="F34" s="75" t="n"/>
      <c r="G34" s="75" t="inlineStr">
        <is>
          <t>OPEN</t>
        </is>
      </c>
    </row>
    <row r="36">
      <c r="A36" s="64" t="inlineStr">
        <is>
          <t>Budget / constraints</t>
        </is>
      </c>
    </row>
    <row r="37">
      <c r="A37" t="inlineStr">
        <is>
          <t>Total traditional media budget (this Q)</t>
        </is>
      </c>
      <c r="B37" s="159" t="n">
        <v>89000</v>
      </c>
      <c r="C37" t="inlineStr">
        <is>
          <t>World Market traditional inserts LOCKED</t>
        </is>
      </c>
    </row>
    <row r="38">
      <c r="A38" t="inlineStr">
        <is>
          <t>Web media / SEM budget (this Q)</t>
        </is>
      </c>
      <c r="B38" s="159" t="n">
        <v>1000</v>
      </c>
      <c r="C38" t="inlineStr">
        <is>
          <t>HikeBike1 web LOCKED</t>
        </is>
      </c>
    </row>
    <row r="39">
      <c r="A39" t="inlineStr">
        <is>
          <t>Source</t>
        </is>
      </c>
      <c r="B39" t="inlineStr">
        <is>
          <t>Workspace — Media Preference (one-time report)</t>
        </is>
      </c>
    </row>
    <row r="40">
      <c r="A40" t="inlineStr">
        <is>
          <t>HikeBike1 insert detail (LOCKED)</t>
        </is>
      </c>
      <c r="B40" t="inlineStr">
        <is>
          <t>Primary spend should follow Mountain prefs (Biking → Sport → General News). Leisure is Rec-primary — use only if Rec ad launched.</t>
        </is>
      </c>
    </row>
    <row r="41">
      <c r="A41" t="inlineStr">
        <is>
          <t>Medium</t>
        </is>
      </c>
      <c r="B41" t="inlineStr">
        <is>
          <t>Inserts</t>
        </is>
      </c>
      <c r="C41" t="inlineStr">
        <is>
          <t>Cost/insert</t>
        </is>
      </c>
      <c r="D41" t="inlineStr">
        <is>
          <t>Spend</t>
        </is>
      </c>
    </row>
    <row r="42">
      <c r="A42" t="inlineStr">
        <is>
          <t>Leisure &amp; Entertainment</t>
        </is>
      </c>
      <c r="B42" s="159" t="n">
        <v>0</v>
      </c>
      <c r="C42" t="n">
        <v>10000</v>
      </c>
      <c r="D42" t="n">
        <v>0</v>
      </c>
    </row>
    <row r="43">
      <c r="A43" t="inlineStr">
        <is>
          <t>Health &amp; Fitness Magazines</t>
        </is>
      </c>
      <c r="B43" s="159" t="n">
        <v>1</v>
      </c>
      <c r="C43" t="n">
        <v>7000</v>
      </c>
      <c r="D43" t="n">
        <v>7000</v>
      </c>
    </row>
    <row r="44">
      <c r="A44" t="inlineStr">
        <is>
          <t>Biking Magazines</t>
        </is>
      </c>
      <c r="B44" s="159" t="n">
        <v>12</v>
      </c>
      <c r="C44" t="n">
        <v>4500</v>
      </c>
      <c r="D44" t="n">
        <v>54000</v>
      </c>
    </row>
    <row r="45">
      <c r="A45" t="inlineStr">
        <is>
          <t>Sport Magazines</t>
        </is>
      </c>
      <c r="B45" s="159" t="n">
        <v>2</v>
      </c>
      <c r="C45" t="n">
        <v>10000</v>
      </c>
      <c r="D45" t="n">
        <v>20000</v>
      </c>
    </row>
    <row r="46">
      <c r="A46" t="inlineStr">
        <is>
          <t>Business Magazines</t>
        </is>
      </c>
      <c r="B46" s="159" t="n">
        <v>0</v>
      </c>
      <c r="C46" t="n">
        <v>9500</v>
      </c>
      <c r="D46" t="n">
        <v>0</v>
      </c>
    </row>
    <row r="47">
      <c r="A47" t="inlineStr">
        <is>
          <t>New Venture Magazines</t>
        </is>
      </c>
      <c r="B47" s="159" t="n">
        <v>0</v>
      </c>
      <c r="C47" t="n">
        <v>5500</v>
      </c>
      <c r="D47" t="n">
        <v>0</v>
      </c>
    </row>
    <row r="48">
      <c r="A48" t="inlineStr">
        <is>
          <t>General News Magazines</t>
        </is>
      </c>
      <c r="B48" s="159" t="n">
        <v>1</v>
      </c>
      <c r="C48" t="n">
        <v>8000</v>
      </c>
      <c r="D48" t="n">
        <v>8000</v>
      </c>
    </row>
    <row r="49">
      <c r="A49" t="inlineStr">
        <is>
          <t>TOTAL traditional</t>
        </is>
      </c>
      <c r="D49" s="159" t="n">
        <v>89000</v>
      </c>
      <c r="E49" t="inlineStr">
        <is>
          <t>$1,594 of ~$90,594 envelope unspent</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4.5"/>
  <cols>
    <col width="28" customWidth="1" style="146" min="1" max="1"/>
    <col width="18" customWidth="1" style="146" min="2" max="2"/>
    <col width="28" customWidth="1" style="146" min="3" max="3"/>
    <col width="18" customWidth="1" style="146" min="4" max="4"/>
    <col width="20" customWidth="1" style="146" min="5" max="5"/>
    <col width="14" customWidth="1" style="146" min="6" max="6"/>
    <col width="12" customWidth="1" style="146" min="7" max="7"/>
    <col width="36" customWidth="1" style="146" min="8" max="8"/>
  </cols>
  <sheetData>
    <row r="1" ht="18.5" customHeight="1" s="146">
      <c r="A1" s="67" t="inlineStr">
        <is>
          <t>Internet Marketing / Organic SEM — Web Pages</t>
        </is>
      </c>
    </row>
    <row r="2">
      <c r="A2" t="inlineStr">
        <is>
          <t>Q2: build marketing site from ads; assign segment (keywords follow); check to run. Organic first — slow ramp. Yellow = decisions (not locked). Detail: seo-internet-marketing-background.md</t>
        </is>
      </c>
    </row>
    <row r="3">
      <c r="A3" t="inlineStr">
        <is>
          <t>SERP tip: only first 3 ad benefits show in search results — rank carefully. No deceptive claims (match Hike Bike specs).</t>
        </is>
      </c>
    </row>
    <row r="5">
      <c r="A5" s="64" t="inlineStr">
        <is>
          <t>Background summary</t>
        </is>
      </c>
    </row>
    <row r="6">
      <c r="A6" t="inlineStr">
        <is>
          <t>Focus</t>
        </is>
      </c>
      <c r="B6" t="inlineStr">
        <is>
          <t>Organic SEM this quarter; paid SEM later</t>
        </is>
      </c>
    </row>
    <row r="7">
      <c r="A7" t="inlineStr">
        <is>
          <t>Content source</t>
        </is>
      </c>
      <c r="B7" t="inlineStr">
        <is>
          <t>Convert media ads → web layout (same message)</t>
        </is>
      </c>
    </row>
    <row r="8">
      <c r="A8" t="inlineStr">
        <is>
          <t>Keywords</t>
        </is>
      </c>
      <c r="B8" t="inlineStr">
        <is>
          <t>Agency set per segment — chosen when you pick segment (≠ ad benefits)</t>
        </is>
      </c>
    </row>
    <row r="9">
      <c r="A9" t="inlineStr">
        <is>
          <t>Expectation</t>
        </is>
      </c>
      <c r="B9" t="inlineStr">
        <is>
          <t>Modest early traffic; support with traditional ads that list brand + URL</t>
        </is>
      </c>
    </row>
    <row r="10">
      <c r="A10" t="inlineStr">
        <is>
          <t>Localize</t>
        </is>
      </c>
      <c r="B10" t="inlineStr">
        <is>
          <t>Pages translated / country-tagged for markets with outlets</t>
        </is>
      </c>
    </row>
    <row r="11">
      <c r="A11" t="inlineStr">
        <is>
          <t>Fee</t>
        </is>
      </c>
      <c r="B11" s="65" t="n"/>
      <c r="C11" t="inlineStr">
        <is>
          <t>yellow = paste modest web-page design fee from Workspace</t>
        </is>
      </c>
    </row>
    <row r="13">
      <c r="A13" s="64" t="inlineStr">
        <is>
          <t>Web Page Content tracker (from ads)</t>
        </is>
      </c>
    </row>
    <row r="14">
      <c r="A14" s="68" t="inlineStr">
        <is>
          <t>Ad name</t>
        </is>
      </c>
      <c r="B14" s="68" t="inlineStr">
        <is>
          <t>Brand emphasized</t>
        </is>
      </c>
      <c r="C14" s="68" t="inlineStr">
        <is>
          <t>Segment + keywords</t>
        </is>
      </c>
      <c r="D14" s="68" t="inlineStr">
        <is>
          <t>Status (Inactive/Run)</t>
        </is>
      </c>
      <c r="E14" s="68" t="inlineStr">
        <is>
          <t>SERP top-3 benefits OK?</t>
        </is>
      </c>
      <c r="F14" s="68" t="inlineStr">
        <is>
          <t>Deceptive flag?</t>
        </is>
      </c>
      <c r="G14" s="68" t="inlineStr">
        <is>
          <t>Design fee</t>
        </is>
      </c>
      <c r="H14" s="68" t="inlineStr">
        <is>
          <t>Notes</t>
        </is>
      </c>
    </row>
    <row r="15">
      <c r="A15" s="72" t="inlineStr">
        <is>
          <t>TBD — Mountain primary ad</t>
        </is>
      </c>
      <c r="B15" s="72" t="inlineStr">
        <is>
          <t>Hike Bike</t>
        </is>
      </c>
      <c r="C15" s="72" t="inlineStr">
        <is>
          <t>Mountain (agency keywords)</t>
        </is>
      </c>
      <c r="D15" s="72" t="inlineStr">
        <is>
          <t>Inactive</t>
        </is>
      </c>
      <c r="E15" s="72" t="n"/>
      <c r="F15" s="72" t="n"/>
      <c r="G15" s="72" t="n"/>
      <c r="H15" s="75" t="inlineStr">
        <is>
          <t>Primary; steep-trail / adventure pool</t>
        </is>
      </c>
    </row>
    <row r="16">
      <c r="A16" s="72" t="inlineStr">
        <is>
          <t>TBD — Secondary segment ad</t>
        </is>
      </c>
      <c r="B16" s="72" t="n"/>
      <c r="C16" s="72" t="n"/>
      <c r="D16" s="72" t="inlineStr">
        <is>
          <t>Inactive</t>
        </is>
      </c>
      <c r="E16" s="72" t="n"/>
      <c r="F16" s="72" t="n"/>
      <c r="G16" s="72" t="n"/>
      <c r="H16" s="75" t="inlineStr">
        <is>
          <t>Speed or Rec if launched</t>
        </is>
      </c>
    </row>
    <row r="17">
      <c r="A17" s="72" t="inlineStr">
        <is>
          <t>TBD — Company ad (optional)</t>
        </is>
      </c>
      <c r="B17" s="72" t="inlineStr">
        <is>
          <t>WeBike (company)</t>
        </is>
      </c>
      <c r="C17" s="72" t="n"/>
      <c r="D17" s="72" t="inlineStr">
        <is>
          <t>Inactive</t>
        </is>
      </c>
      <c r="E17" s="72" t="n"/>
      <c r="F17" s="72" t="n"/>
      <c r="G17" s="72" t="n"/>
      <c r="H17" s="75" t="inlineStr">
        <is>
          <t>No brand emphasize</t>
        </is>
      </c>
    </row>
    <row r="19">
      <c r="A19" s="64" t="inlineStr">
        <is>
          <t>Segment keyword reminder</t>
        </is>
      </c>
    </row>
    <row r="20">
      <c r="A20" s="68" t="inlineStr">
        <is>
          <t>Segment</t>
        </is>
      </c>
      <c r="B20" s="68" t="inlineStr">
        <is>
          <t>Keywords (paste from Workspace when assigned)</t>
        </is>
      </c>
      <c r="C20" s="68" t="inlineStr">
        <is>
          <t>Primary use</t>
        </is>
      </c>
    </row>
    <row r="21">
      <c r="A21" s="75" t="inlineStr">
        <is>
          <t>Mountain</t>
        </is>
      </c>
      <c r="B21" s="72" t="n"/>
      <c r="C21" s="75" t="inlineStr">
        <is>
          <t>Hike Bike / primary Q2</t>
        </is>
      </c>
    </row>
    <row r="22">
      <c r="A22" s="75" t="inlineStr">
        <is>
          <t>Speed</t>
        </is>
      </c>
      <c r="B22" s="72" t="n"/>
      <c r="C22" s="75" t="inlineStr">
        <is>
          <t>If Speed ad/page launched</t>
        </is>
      </c>
    </row>
    <row r="23">
      <c r="A23" s="75" t="inlineStr">
        <is>
          <t>Recreation</t>
        </is>
      </c>
      <c r="B23" s="72" t="n"/>
      <c r="C23" s="75" t="inlineStr">
        <is>
          <t>If Rec ad/page launched</t>
        </is>
      </c>
    </row>
    <row r="25">
      <c r="A25" s="64" t="inlineStr">
        <is>
          <t>Organic support checklist</t>
        </is>
      </c>
    </row>
    <row r="26">
      <c r="A26" t="inlineStr">
        <is>
          <t>Traditional ads list brand + web URL</t>
        </is>
      </c>
      <c r="B26" s="65" t="n"/>
      <c r="C26" t="inlineStr">
        <is>
          <t>Yes/No — helps discovery</t>
        </is>
      </c>
    </row>
    <row r="27">
      <c r="A27" t="inlineStr">
        <is>
          <t>Deceptive review cleared</t>
        </is>
      </c>
      <c r="B27" s="65" t="n"/>
    </row>
    <row r="28">
      <c r="A28" t="inlineStr">
        <is>
          <t>Cash+CD still ≥ $300k after page fees</t>
        </is>
      </c>
      <c r="B28" s="65" t="n"/>
    </row>
    <row r="29">
      <c r="A29" t="inlineStr">
        <is>
          <t>Source</t>
        </is>
      </c>
      <c r="B29" t="inlineStr">
        <is>
          <t>Workspace — Internet marketing / Web Page Content / organic SEM</t>
        </is>
      </c>
    </row>
    <row r="31">
      <c r="A31" s="64" t="inlineStr">
        <is>
          <t>Do not expect</t>
        </is>
      </c>
    </row>
    <row r="32">
      <c r="A32" t="inlineStr">
        <is>
          <t>Large Q2 demand from organic alone. Pair with media placement + strong top-3 benefits.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93"/>
  <sheetViews>
    <sheetView workbookViewId="0">
      <selection activeCell="A1" sqref="A1"/>
    </sheetView>
  </sheetViews>
  <sheetFormatPr baseColWidth="8" defaultRowHeight="14.5"/>
  <cols>
    <col width="48" customWidth="1" style="146" min="1" max="1"/>
    <col width="22" customWidth="1" style="146" min="2" max="2"/>
    <col width="18" customWidth="1" style="146" min="3" max="3"/>
    <col width="14" customWidth="1" style="146" min="4" max="4"/>
    <col width="18" customWidth="1" style="146" min="5" max="5"/>
    <col width="12" customWidth="1" style="146" min="6" max="7"/>
    <col width="16" customWidth="1" style="146" min="8" max="8"/>
    <col width="14" customWidth="1" style="146" min="9" max="9"/>
    <col width="36" customWidth="1" style="146" min="10" max="10"/>
  </cols>
  <sheetData>
    <row r="1" ht="18.5" customHeight="1" s="146">
      <c r="A1" s="67" t="inlineStr">
        <is>
          <t>Sales Channel Ops — Staffing Planner + Regional Summary</t>
        </is>
      </c>
    </row>
    <row r="2">
      <c r="A2" t="inlineStr">
        <is>
          <t>Plan per-location headcount and specialty training (Service / Recreation / Mountain / Speed). Yellow = inputs. Paste Workspace unit costs into rate table. Test tip: ≤7 people per city; ≥1 service. Detail: sales-channel-background.md</t>
        </is>
      </c>
    </row>
    <row r="3">
      <c r="A3" t="inlineStr">
        <is>
          <t>Training counts need not equal total headcount — unassigned sell to all segments equally. Prior Q = 0 (no sales staff in Q1 setup).</t>
        </is>
      </c>
    </row>
    <row r="5">
      <c r="A5" s="64" t="inlineStr">
        <is>
          <t>Unit cost rates (paste from Workspace — yellow)</t>
        </is>
      </c>
    </row>
    <row r="6">
      <c r="A6" s="68" t="inlineStr">
        <is>
          <t>Cost item</t>
        </is>
      </c>
      <c r="B6" s="68" t="inlineStr">
        <is>
          <t>Unit / basis</t>
        </is>
      </c>
      <c r="C6" s="68" t="inlineStr">
        <is>
          <t>$ this quarter</t>
        </is>
      </c>
      <c r="D6" s="68" t="inlineStr">
        <is>
          <t>Notes</t>
        </is>
      </c>
    </row>
    <row r="7">
      <c r="A7" s="75" t="inlineStr">
        <is>
          <t>Hiring expense</t>
        </is>
      </c>
      <c r="B7" s="75" t="inlineStr">
        <is>
          <t>per person hired</t>
        </is>
      </c>
      <c r="C7" s="73" t="n"/>
      <c r="D7" s="75" t="inlineStr">
        <is>
          <t>One-time when headcount rises</t>
        </is>
      </c>
    </row>
    <row r="8">
      <c r="A8" s="75" t="inlineStr">
        <is>
          <t>Layoff expense</t>
        </is>
      </c>
      <c r="B8" s="75" t="inlineStr">
        <is>
          <t>per person laid off</t>
        </is>
      </c>
      <c r="C8" s="73" t="n"/>
      <c r="D8" s="75" t="inlineStr">
        <is>
          <t>One-time when headcount falls</t>
        </is>
      </c>
    </row>
    <row r="9">
      <c r="A9" s="75" t="inlineStr">
        <is>
          <t>Salary + training — Service</t>
        </is>
      </c>
      <c r="B9" s="75" t="inlineStr">
        <is>
          <t>per person assigned</t>
        </is>
      </c>
      <c r="C9" s="157" t="n">
        <v>300</v>
      </c>
      <c r="D9" s="75" t="inlineStr">
        <is>
          <t>LOCKED Q2 — training only; salary via $24,425 annual package</t>
        </is>
      </c>
    </row>
    <row r="10">
      <c r="A10" s="75" t="inlineStr">
        <is>
          <t>Salary + training — Recreation</t>
        </is>
      </c>
      <c r="B10" s="75" t="inlineStr">
        <is>
          <t>per person assigned</t>
        </is>
      </c>
      <c r="C10" s="157" t="n">
        <v>250</v>
      </c>
      <c r="D10" s="75" t="n"/>
    </row>
    <row r="11">
      <c r="A11" s="75" t="inlineStr">
        <is>
          <t>Salary + training — Mountain</t>
        </is>
      </c>
      <c r="B11" s="75" t="inlineStr">
        <is>
          <t>per person assigned</t>
        </is>
      </c>
      <c r="C11" s="157" t="n">
        <v>400</v>
      </c>
      <c r="D11" s="75" t="inlineStr">
        <is>
          <t>LOCKED Q2 primary segment</t>
        </is>
      </c>
    </row>
    <row r="12">
      <c r="A12" s="75" t="inlineStr">
        <is>
          <t>Salary + training — Speed</t>
        </is>
      </c>
      <c r="B12" s="75" t="inlineStr">
        <is>
          <t>per person assigned</t>
        </is>
      </c>
      <c r="C12" s="157" t="n">
        <v>400</v>
      </c>
      <c r="D12" s="75" t="n"/>
    </row>
    <row r="13">
      <c r="A13" s="75" t="inlineStr">
        <is>
          <t>Salary + training — Unassigned / general</t>
        </is>
      </c>
      <c r="B13" s="75" t="inlineStr">
        <is>
          <t>per unassigned person</t>
        </is>
      </c>
      <c r="C13" s="73" t="n">
        <v>0</v>
      </c>
      <c r="D13" s="75" t="inlineStr">
        <is>
          <t>No specialty; optional rate</t>
        </is>
      </c>
    </row>
    <row r="15">
      <c r="A15" t="inlineStr">
        <is>
          <t>Rate keys (for formulas): Hire=C7 Layoff=C8 Svc=C9 Rec=C10 Mtn=C11 Spd=C12 Unass=C13</t>
        </is>
      </c>
    </row>
    <row r="17">
      <c r="A17" s="64" t="inlineStr">
        <is>
          <t>Per-location staffing &amp; specialized training</t>
        </is>
      </c>
    </row>
    <row r="18">
      <c r="A18" s="68" t="inlineStr">
        <is>
          <t>Location</t>
        </is>
      </c>
      <c r="B18" s="68" t="inlineStr">
        <is>
          <t>Status</t>
        </is>
      </c>
      <c r="C18" s="68" t="inlineStr">
        <is>
          <t>Total sales+service</t>
        </is>
      </c>
      <c r="D18" s="68" t="inlineStr">
        <is>
          <t>Service</t>
        </is>
      </c>
      <c r="E18" s="68" t="inlineStr">
        <is>
          <t>Recreation</t>
        </is>
      </c>
      <c r="F18" s="68" t="inlineStr">
        <is>
          <t>Mountain</t>
        </is>
      </c>
      <c r="G18" s="68" t="inlineStr">
        <is>
          <t>Speed</t>
        </is>
      </c>
      <c r="H18" s="68" t="inlineStr">
        <is>
          <t>Unassigned (calc)</t>
        </is>
      </c>
      <c r="I18" s="68" t="inlineStr">
        <is>
          <t>Specialty sum</t>
        </is>
      </c>
      <c r="J18" s="68" t="inlineStr">
        <is>
          <t>≤7 tip / notes</t>
        </is>
      </c>
    </row>
    <row r="19">
      <c r="A19" s="75" t="inlineStr">
        <is>
          <t>Amsterdam</t>
        </is>
      </c>
      <c r="B19" s="75" t="inlineStr">
        <is>
          <t>OPEN (Q2 live)</t>
        </is>
      </c>
      <c r="C19" s="163" t="n">
        <v>5</v>
      </c>
      <c r="D19" s="163" t="n">
        <v>1</v>
      </c>
      <c r="E19" s="163" t="n">
        <v>0</v>
      </c>
      <c r="F19" s="163" t="n">
        <v>4</v>
      </c>
      <c r="G19" s="163" t="n">
        <v>0</v>
      </c>
      <c r="H19" s="75">
        <f>IF(C19="","",C19-SUM(D19:G19))</f>
        <v/>
      </c>
      <c r="I19" s="75">
        <f>IF(COUNT(D19:G19)=0,"",SUM(D19:G19))</f>
        <v/>
      </c>
      <c r="J19" s="75" t="inlineStr">
        <is>
          <t>Physical store — Hike Bike primary</t>
        </is>
      </c>
    </row>
    <row r="20">
      <c r="A20" s="75" t="inlineStr">
        <is>
          <t>World Web</t>
        </is>
      </c>
      <c r="B20" s="75" t="inlineStr">
        <is>
          <t>OPEN (Q2 live)</t>
        </is>
      </c>
      <c r="C20" s="72">
        <f>IF(E55="","",E55)</f>
        <v/>
      </c>
      <c r="D20" s="163" t="n">
        <v>2</v>
      </c>
      <c r="E20" s="72" t="n">
        <v>0</v>
      </c>
      <c r="F20" s="163" t="n">
        <v>3</v>
      </c>
      <c r="G20" s="72" t="n">
        <v>0</v>
      </c>
      <c r="H20" s="75">
        <f>IF(C20="","",C20-SUM(D20:G20))</f>
        <v/>
      </c>
      <c r="I20" s="75">
        <f>IF(COUNT(D20:G20)=0,"",SUM(D20:G20))</f>
        <v/>
      </c>
      <c r="J20" s="75" t="inlineStr">
        <is>
          <t>Total linked to Web Personnel E55 (C55+D55)</t>
        </is>
      </c>
    </row>
    <row r="21">
      <c r="A21" s="75" t="inlineStr">
        <is>
          <t>Rio de Janeiro (opens next Q)</t>
        </is>
      </c>
      <c r="B21" s="163" t="inlineStr">
        <is>
          <t>LOCKED — schedule Q2 / live Q3</t>
        </is>
      </c>
      <c r="C21" s="72" t="n"/>
      <c r="D21" s="72" t="n"/>
      <c r="E21" s="72" t="n"/>
      <c r="F21" s="72" t="n"/>
      <c r="G21" s="72" t="n"/>
      <c r="H21" s="75">
        <f>IF(C21="","",C21-SUM(D21:G21))</f>
        <v/>
      </c>
      <c r="I21" s="75">
        <f>IF(COUNT(D21:G21)=0,"",SUM(D21:G21))</f>
        <v/>
      </c>
      <c r="J21" s="75" t="inlineStr">
        <is>
          <t>Opens next quarter if scheduled</t>
        </is>
      </c>
    </row>
    <row r="22">
      <c r="A22" s="75" t="inlineStr">
        <is>
          <t>Other / TBD</t>
        </is>
      </c>
      <c r="B22" s="75" t="inlineStr">
        <is>
          <t>—</t>
        </is>
      </c>
      <c r="C22" s="72" t="n"/>
      <c r="D22" s="72" t="n"/>
      <c r="E22" s="72" t="n"/>
      <c r="F22" s="72" t="n"/>
      <c r="G22" s="72" t="n"/>
      <c r="H22" s="75">
        <f>IF(C22="","",C22-SUM(D22:G22))</f>
        <v/>
      </c>
      <c r="I22" s="75">
        <f>IF(COUNT(D22:G22)=0,"",SUM(D22:G22))</f>
        <v/>
      </c>
      <c r="J22" s="75" t="inlineStr">
        <is>
          <t>Optional</t>
        </is>
      </c>
    </row>
    <row r="23">
      <c r="A23" t="inlineStr">
        <is>
          <t>Checks</t>
        </is>
      </c>
    </row>
    <row r="24">
      <c r="A24" t="inlineStr">
        <is>
          <t>AMS total ≤7?</t>
        </is>
      </c>
      <c r="B24">
        <f>IF(C19="","",IF(C19&lt;=7,"YES","OVER tip"))</f>
        <v/>
      </c>
    </row>
    <row r="25">
      <c r="A25" t="inlineStr">
        <is>
          <t>AMS service ≥1?</t>
        </is>
      </c>
      <c r="B25">
        <f>IF(D19="","",IF(D19&gt;=1,"YES","NEED ≥1 service"))</f>
        <v/>
      </c>
    </row>
    <row r="26">
      <c r="A26" t="inlineStr">
        <is>
          <t>Specialty ≤ total (all rows)?</t>
        </is>
      </c>
      <c r="B26">
        <f>IF(OR(H19&lt;0,H20&lt;0,IF(C21="",FALSE,H21&lt;0),IF(C22="",FALSE,H22&lt;0)),"ERROR — specialties exceed total","OK")</f>
        <v/>
      </c>
    </row>
    <row r="28">
      <c r="A28" s="64" t="inlineStr">
        <is>
          <t>Estimated salary &amp; training cost by location (uses rates above)</t>
        </is>
      </c>
    </row>
    <row r="29">
      <c r="A29" s="68" t="inlineStr">
        <is>
          <t>Location</t>
        </is>
      </c>
      <c r="B29" s="68" t="inlineStr">
        <is>
          <t>Service $</t>
        </is>
      </c>
      <c r="C29" s="68" t="inlineStr">
        <is>
          <t>Rec $</t>
        </is>
      </c>
      <c r="D29" s="68" t="inlineStr">
        <is>
          <t>Mountain $</t>
        </is>
      </c>
      <c r="E29" s="68" t="inlineStr">
        <is>
          <t>Speed $</t>
        </is>
      </c>
      <c r="F29" s="68" t="inlineStr">
        <is>
          <t>Unassigned $ + Total</t>
        </is>
      </c>
    </row>
    <row r="30">
      <c r="A30" s="75">
        <f>A19</f>
        <v/>
      </c>
      <c r="B30" s="70">
        <f>IF(OR(D19="",$C$9=""),"",D19*$C$9)</f>
        <v/>
      </c>
      <c r="C30" s="70">
        <f>IF(OR(E19="",$C$10=""),"",E19*$C$10)</f>
        <v/>
      </c>
      <c r="D30" s="70">
        <f>IF(OR(F19="",$C$11=""),"",F19*$C$11)</f>
        <v/>
      </c>
      <c r="E30" s="70">
        <f>IF(OR(G19="",$C$12=""),"",G19*$C$12)</f>
        <v/>
      </c>
      <c r="F30" s="70">
        <f>IF(C19="","",IFERROR(B30,0)+IFERROR(C30,0)+IFERROR(D30,0)+IFERROR(E30,0)+IF(OR(H19="",$C$13=""),0,H19*$C$13))</f>
        <v/>
      </c>
    </row>
    <row r="31">
      <c r="A31" s="75">
        <f>A20</f>
        <v/>
      </c>
      <c r="B31" s="70">
        <f>IF(OR(D20="",$C$9=""),"",D20*$C$9)</f>
        <v/>
      </c>
      <c r="C31" s="70">
        <f>IF(OR(E20="",$C$10=""),"",E20*$C$10)</f>
        <v/>
      </c>
      <c r="D31" s="70">
        <f>IF(OR(F20="",$C$11=""),"",F20*$C$11)</f>
        <v/>
      </c>
      <c r="E31" s="70">
        <f>IF(OR(G20="",$C$12=""),"",G20*$C$12)</f>
        <v/>
      </c>
      <c r="F31" s="70">
        <f>IF(C20="","",IFERROR(B31,0)+IFERROR(C31,0)+IFERROR(D31,0)+IFERROR(E31,0)+IF(OR(H20="",$C$13=""),0,H20*$C$13))</f>
        <v/>
      </c>
    </row>
    <row r="32">
      <c r="A32" s="75">
        <f>A21</f>
        <v/>
      </c>
      <c r="B32" s="70">
        <f>IF(OR(D21="",$C$9=""),"",D21*$C$9)</f>
        <v/>
      </c>
      <c r="C32" s="70">
        <f>IF(OR(E21="",$C$10=""),"",E21*$C$10)</f>
        <v/>
      </c>
      <c r="D32" s="70">
        <f>IF(OR(F21="",$C$11=""),"",F21*$C$11)</f>
        <v/>
      </c>
      <c r="E32" s="70">
        <f>IF(OR(G21="",$C$12=""),"",G21*$C$12)</f>
        <v/>
      </c>
      <c r="F32" s="70">
        <f>IF(C21="","",IFERROR(B32,0)+IFERROR(C32,0)+IFERROR(D32,0)+IFERROR(E32,0)+IF(OR(H21="",$C$13=""),0,H21*$C$13))</f>
        <v/>
      </c>
    </row>
    <row r="33">
      <c r="A33" s="75">
        <f>A22</f>
        <v/>
      </c>
      <c r="B33" s="70">
        <f>IF(OR(D22="",$C$9=""),"",D22*$C$9)</f>
        <v/>
      </c>
      <c r="C33" s="70">
        <f>IF(OR(E22="",$C$10=""),"",E22*$C$10)</f>
        <v/>
      </c>
      <c r="D33" s="70">
        <f>IF(OR(F22="",$C$11=""),"",F22*$C$11)</f>
        <v/>
      </c>
      <c r="E33" s="70">
        <f>IF(OR(G22="",$C$12=""),"",G22*$C$12)</f>
        <v/>
      </c>
      <c r="F33" s="70">
        <f>IF(C22="","",IFERROR(B33,0)+IFERROR(C33,0)+IFERROR(D33,0)+IFERROR(E33,0)+IF(OR(H22="",$C$13=""),0,H22*$C$13))</f>
        <v/>
      </c>
    </row>
    <row r="34">
      <c r="A34" t="inlineStr">
        <is>
          <t>Total salary &amp; training (all locations)</t>
        </is>
      </c>
      <c r="B34" s="84">
        <f>IF(COUNT(F30:F33)=0,"",SUM(F30:F33))</f>
        <v/>
      </c>
    </row>
    <row r="36">
      <c r="A36" s="64" t="inlineStr">
        <is>
          <t>Regional Summary (Workspace mirror — strategic planning)</t>
        </is>
      </c>
    </row>
    <row r="37">
      <c r="A37" s="81" t="inlineStr">
        <is>
          <t>Total Number of Sales and Service People</t>
        </is>
      </c>
    </row>
    <row r="38">
      <c r="A38" t="inlineStr">
        <is>
          <t>Prior Quarter</t>
        </is>
      </c>
      <c r="B38" s="85" t="n">
        <v>0</v>
      </c>
      <c r="C38" t="inlineStr">
        <is>
          <t>Q1 had no sales staff</t>
        </is>
      </c>
    </row>
    <row r="39">
      <c r="A39" t="inlineStr">
        <is>
          <t>Current Quarter</t>
        </is>
      </c>
      <c r="B39" s="85">
        <f>IF(COUNT(C19:C22)=0,"",SUM(C19:C22))</f>
        <v/>
      </c>
      <c r="C39" t="inlineStr">
        <is>
          <t>Sum of location totals</t>
        </is>
      </c>
    </row>
    <row r="40">
      <c r="A40" t="inlineStr">
        <is>
          <t>Net Change</t>
        </is>
      </c>
      <c r="B40" s="85">
        <f>IF(B39="","",B39-B38)</f>
        <v/>
      </c>
    </row>
    <row r="42">
      <c r="A42" s="81" t="inlineStr">
        <is>
          <t>Costs This Quarter</t>
        </is>
      </c>
    </row>
    <row r="43">
      <c r="A43" t="inlineStr">
        <is>
          <t>Hiring expenses</t>
        </is>
      </c>
      <c r="B43" s="84">
        <f>IF(OR(B40="",$C$7=""),"",IF(B40&gt;0,B40*$C$7,0))</f>
        <v/>
      </c>
      <c r="C43" t="inlineStr">
        <is>
          <t>Net hires × hiring rate (simple; refine if mix hire/layoff)</t>
        </is>
      </c>
    </row>
    <row r="44">
      <c r="A44" t="inlineStr">
        <is>
          <t>Lay off expenses</t>
        </is>
      </c>
      <c r="B44" s="84">
        <f>IF(OR(B40="",$C$8=""),"",IF(B40&lt;0,ABS(B40)*$C$8,0))</f>
        <v/>
      </c>
      <c r="C44" t="inlineStr">
        <is>
          <t>Net layoffs × layoff rate</t>
        </is>
      </c>
    </row>
    <row r="45">
      <c r="A45" t="inlineStr">
        <is>
          <t>Salary and Training Costs</t>
        </is>
      </c>
      <c r="B45" s="84">
        <f>B34</f>
        <v/>
      </c>
      <c r="C45" t="inlineStr">
        <is>
          <t>From specialty assignments × rates</t>
        </is>
      </c>
    </row>
    <row r="46">
      <c r="A46" t="inlineStr">
        <is>
          <t>TOTAL people costs (hire + layoff + salary/training)</t>
        </is>
      </c>
      <c r="B46" s="82">
        <f>IF(COUNT(B43:B45)=0,"",SUM(B43:B45))</f>
        <v/>
      </c>
    </row>
    <row r="48">
      <c r="A48" s="64" t="inlineStr">
        <is>
          <t>Specialty mix — current quarter (all locations)</t>
        </is>
      </c>
    </row>
    <row r="49">
      <c r="A49" s="68" t="inlineStr">
        <is>
          <t>Service</t>
        </is>
      </c>
      <c r="B49" s="68" t="inlineStr">
        <is>
          <t>Recreation</t>
        </is>
      </c>
      <c r="C49" s="68" t="inlineStr">
        <is>
          <t>Mountain</t>
        </is>
      </c>
      <c r="D49" s="68" t="inlineStr">
        <is>
          <t>Speed</t>
        </is>
      </c>
      <c r="E49" s="68" t="inlineStr">
        <is>
          <t>Unassigned</t>
        </is>
      </c>
    </row>
    <row r="50">
      <c r="A50" s="86">
        <f>SUM(D19:D22)</f>
        <v/>
      </c>
      <c r="B50" s="86">
        <f>SUM(E19:E22)</f>
        <v/>
      </c>
      <c r="C50" s="86">
        <f>SUM(F19:F22)</f>
        <v/>
      </c>
      <c r="D50" s="86">
        <f>SUM(G19:G22)</f>
        <v/>
      </c>
      <c r="E50" s="86">
        <f>SUM(H19:H22)</f>
        <v/>
      </c>
    </row>
    <row r="52">
      <c r="A52" s="87" t="inlineStr">
        <is>
          <t>Web Personnel (Workspace — World Market)</t>
        </is>
      </c>
      <c r="B52" s="151" t="n"/>
      <c r="C52" s="151" t="n"/>
      <c r="D52" s="151" t="n"/>
      <c r="E52" s="151" t="n"/>
      <c r="F52" s="151" t="n"/>
      <c r="G52" s="151" t="n"/>
      <c r="H52" s="151" t="n"/>
      <c r="I52" s="151" t="n"/>
      <c r="J52" s="151" t="n"/>
      <c r="K52" s="151" t="n"/>
    </row>
    <row r="53">
      <c r="A53" s="89" t="inlineStr">
        <is>
          <t>Changeable: Web Sales headcount · Web Support headcount. Annual compensation shown is industry-sales package baseline ($19,310) until our Comp_Industry package is locked — then update.</t>
        </is>
      </c>
      <c r="B53" s="89" t="n"/>
      <c r="C53" s="89" t="n"/>
      <c r="D53" s="89" t="n"/>
      <c r="E53" s="89" t="n"/>
      <c r="F53" s="151" t="n"/>
      <c r="G53" s="151" t="n"/>
      <c r="H53" s="151" t="n"/>
      <c r="I53" s="151" t="n"/>
      <c r="J53" s="151" t="n"/>
      <c r="K53" s="151" t="n"/>
    </row>
    <row r="54">
      <c r="A54" s="68" t="inlineStr">
        <is>
          <t>Location</t>
        </is>
      </c>
      <c r="B54" s="68" t="inlineStr">
        <is>
          <t>Annual Compensation</t>
        </is>
      </c>
      <c r="C54" s="68" t="inlineStr">
        <is>
          <t>Web Sales</t>
        </is>
      </c>
      <c r="D54" s="68" t="inlineStr">
        <is>
          <t>Web Support</t>
        </is>
      </c>
      <c r="E54" s="68" t="inlineStr">
        <is>
          <t>Total Sales People</t>
        </is>
      </c>
      <c r="F54" s="151" t="n"/>
      <c r="G54" s="151" t="n"/>
      <c r="H54" s="151" t="n"/>
      <c r="I54" s="151" t="n"/>
      <c r="J54" s="151" t="n"/>
      <c r="K54" s="151" t="n"/>
    </row>
    <row r="55">
      <c r="A55" s="75" t="inlineStr">
        <is>
          <t>Bangalore, World Market</t>
        </is>
      </c>
      <c r="B55" s="157" t="n">
        <v>24425</v>
      </c>
      <c r="C55" s="163" t="n">
        <v>3</v>
      </c>
      <c r="D55" s="163" t="n">
        <v>2</v>
      </c>
      <c r="E55" s="86">
        <f>IF(COUNT(C55:D55)=0,"",SUM(C55:D55))</f>
        <v/>
      </c>
      <c r="F55" s="151" t="n"/>
      <c r="G55" s="151" t="n"/>
      <c r="H55" s="151" t="n"/>
      <c r="I55" s="151" t="n"/>
      <c r="J55" s="151" t="n"/>
      <c r="K55" s="151" t="n"/>
    </row>
    <row r="56">
      <c r="A56" s="151" t="inlineStr">
        <is>
          <t>Compensation source</t>
        </is>
      </c>
      <c r="B56" s="151" t="inlineStr">
        <is>
          <t>LOCKED Q2 sales package $24,425 (Comp_Industry)</t>
        </is>
      </c>
      <c r="C56" s="151" t="inlineStr">
        <is>
          <t>Prefer Comp_Industry total when set; B55 is the $ used for employ-cost calc</t>
        </is>
      </c>
      <c r="D56" s="151" t="n"/>
      <c r="E56" s="151" t="n"/>
      <c r="F56" s="151" t="n"/>
      <c r="G56" s="151" t="n"/>
      <c r="H56" s="151" t="n"/>
      <c r="I56" s="151" t="n"/>
      <c r="J56" s="151" t="n"/>
      <c r="K56" s="151" t="n"/>
    </row>
    <row r="57">
      <c r="A57" s="151" t="inlineStr">
        <is>
          <t>Use Comp_Industry sales total for B55?</t>
        </is>
      </c>
      <c r="B57" s="151" t="inlineStr">
        <is>
          <t>Paste or set B55 = Comp_Industry!C42 when package decided</t>
        </is>
      </c>
      <c r="C57" s="151" t="n"/>
      <c r="D57" s="151" t="n"/>
      <c r="E57" s="151" t="n"/>
      <c r="F57" s="151" t="n"/>
      <c r="G57" s="151" t="n"/>
      <c r="H57" s="151" t="n"/>
      <c r="I57" s="151" t="n"/>
      <c r="J57" s="151" t="n"/>
      <c r="K57" s="151" t="n"/>
    </row>
    <row r="58">
      <c r="A58" s="151" t="inlineStr">
        <is>
          <t>Sync tip</t>
        </is>
      </c>
      <c r="B58" s="151" t="inlineStr">
        <is>
          <t>Set row 20 (World Web) Total ≈ E55. Specialty columns on row 20 are optional for web; Web Sales vs Web Support is the Workspace split.</t>
        </is>
      </c>
      <c r="C58" s="151" t="n"/>
      <c r="D58" s="151" t="n"/>
      <c r="E58" s="151" t="n"/>
      <c r="F58" s="151" t="n"/>
      <c r="G58" s="151" t="n"/>
      <c r="H58" s="151" t="n"/>
      <c r="I58" s="151" t="n"/>
      <c r="J58" s="151" t="n"/>
      <c r="K58" s="151" t="n"/>
    </row>
    <row r="59">
      <c r="A59" s="151" t="inlineStr">
        <is>
          <t>World Web row20 Total vs Web Personnel Total</t>
        </is>
      </c>
      <c r="B59" s="90">
        <f>IF(OR(C20="",E55=""),"",C20-E55)</f>
        <v/>
      </c>
      <c r="C59" s="151" t="inlineStr">
        <is>
          <t>0 = synced</t>
        </is>
      </c>
      <c r="D59" s="151" t="n"/>
      <c r="E59" s="151" t="n"/>
      <c r="F59" s="151" t="n"/>
      <c r="G59" s="151" t="n"/>
      <c r="H59" s="151" t="n"/>
      <c r="I59" s="151" t="n"/>
      <c r="J59" s="151" t="n"/>
      <c r="K59" s="151" t="n"/>
    </row>
    <row r="60">
      <c r="A60" s="151" t="n"/>
      <c r="B60" s="151" t="n"/>
      <c r="C60" s="151" t="n"/>
      <c r="D60" s="151" t="n"/>
      <c r="E60" s="151" t="n"/>
      <c r="F60" s="151" t="n"/>
      <c r="G60" s="151" t="n"/>
      <c r="H60" s="151" t="n"/>
      <c r="I60" s="151" t="n"/>
      <c r="J60" s="151" t="n"/>
      <c r="K60" s="151" t="n"/>
    </row>
    <row r="61">
      <c r="A61" s="89" t="inlineStr">
        <is>
          <t>Web Personnel Summary</t>
        </is>
      </c>
      <c r="B61" s="151" t="n"/>
      <c r="C61" s="151" t="n"/>
      <c r="D61" s="151" t="n"/>
      <c r="E61" s="151" t="n"/>
      <c r="F61" s="151" t="n"/>
      <c r="G61" s="151" t="n"/>
      <c r="H61" s="151" t="n"/>
      <c r="I61" s="151" t="n"/>
      <c r="J61" s="151" t="n"/>
      <c r="K61" s="151" t="n"/>
    </row>
    <row r="62">
      <c r="A62" s="151" t="inlineStr">
        <is>
          <t>Total number of web personnel in the prior quarter</t>
        </is>
      </c>
      <c r="B62" s="91" t="n">
        <v>0</v>
      </c>
      <c r="C62" s="151" t="inlineStr">
        <is>
          <t>Q1: web center opening, no staff yet</t>
        </is>
      </c>
      <c r="D62" s="151" t="n"/>
      <c r="E62" s="151" t="n"/>
      <c r="F62" s="151" t="n"/>
      <c r="G62" s="151" t="n"/>
      <c r="H62" s="151" t="n"/>
      <c r="I62" s="151" t="n"/>
      <c r="J62" s="151" t="n"/>
      <c r="K62" s="151" t="n"/>
    </row>
    <row r="63">
      <c r="A63" s="151" t="inlineStr">
        <is>
          <t>Total number of web personnel in the current quarter</t>
        </is>
      </c>
      <c r="B63" s="91">
        <f>E55</f>
        <v/>
      </c>
      <c r="C63" s="151" t="n"/>
      <c r="D63" s="151" t="n"/>
      <c r="E63" s="151" t="n"/>
      <c r="F63" s="151" t="n"/>
      <c r="G63" s="151" t="n"/>
      <c r="H63" s="151" t="n"/>
      <c r="I63" s="151" t="n"/>
      <c r="J63" s="151" t="n"/>
      <c r="K63" s="151" t="n"/>
    </row>
    <row r="64">
      <c r="A64" s="151" t="inlineStr">
        <is>
          <t>Net change in number of web personnel</t>
        </is>
      </c>
      <c r="B64" s="92">
        <f>IF(B63="","",B63-B62)</f>
        <v/>
      </c>
      <c r="C64" s="151" t="n"/>
      <c r="D64" s="151" t="n"/>
      <c r="E64" s="151" t="n"/>
      <c r="F64" s="151" t="n"/>
      <c r="G64" s="151" t="n"/>
      <c r="H64" s="151" t="n"/>
      <c r="I64" s="151" t="n"/>
      <c r="J64" s="151" t="n"/>
      <c r="K64" s="151" t="n"/>
    </row>
    <row r="65">
      <c r="A65" s="151" t="n"/>
      <c r="B65" s="90" t="n"/>
      <c r="C65" s="151" t="n"/>
      <c r="D65" s="151" t="n"/>
      <c r="E65" s="151" t="n"/>
      <c r="F65" s="151" t="n"/>
      <c r="G65" s="151" t="n"/>
      <c r="H65" s="151" t="n"/>
      <c r="I65" s="151" t="n"/>
      <c r="J65" s="151" t="n"/>
      <c r="K65" s="151" t="n"/>
    </row>
    <row r="66">
      <c r="A66" s="151" t="inlineStr">
        <is>
          <t>Cost to hire new web personnel</t>
        </is>
      </c>
      <c r="B66" s="92">
        <f>IF(OR(B64="",$C$7=""),"",IF(B64&gt;0,B64*$C$7,0))</f>
        <v/>
      </c>
      <c r="C66" s="151" t="inlineStr">
        <is>
          <t>Uses Hiring expense rate C7 (paste from Workspace)</t>
        </is>
      </c>
      <c r="D66" s="151" t="n"/>
      <c r="E66" s="151" t="n"/>
      <c r="F66" s="151" t="n"/>
      <c r="G66" s="151" t="n"/>
      <c r="H66" s="151" t="n"/>
      <c r="I66" s="151" t="n"/>
      <c r="J66" s="151" t="n"/>
      <c r="K66" s="151" t="n"/>
    </row>
    <row r="67">
      <c r="A67" s="87" t="inlineStr">
        <is>
          <t>Cost to lay off web personnel</t>
        </is>
      </c>
      <c r="B67" s="92">
        <f>IF(OR(B64="",$C$8=""),"",IF(B64&lt;0,ABS(B64)*$C$8,0))</f>
        <v/>
      </c>
      <c r="C67" s="151" t="inlineStr">
        <is>
          <t>Uses Layoff expense rate C8</t>
        </is>
      </c>
      <c r="D67" s="151" t="n"/>
      <c r="E67" s="151" t="n"/>
      <c r="F67" s="151" t="n"/>
      <c r="G67" s="151" t="n"/>
      <c r="H67" s="151" t="n"/>
      <c r="I67" s="151" t="n"/>
      <c r="J67" s="151" t="n"/>
      <c r="K67" s="151" t="n"/>
    </row>
    <row r="68">
      <c r="A68" s="151" t="inlineStr">
        <is>
          <t>Cost to employ web personnel for the quarter</t>
        </is>
      </c>
      <c r="B68" s="92">
        <f>IF(OR(E55="",B55=""),"",E55*B55/4)</f>
        <v/>
      </c>
      <c r="C68" s="151" t="inlineStr">
        <is>
          <t>Assumes annual package ÷ 4 × headcount (adjust if Workspace uses different timing)</t>
        </is>
      </c>
      <c r="D68" s="151" t="n"/>
      <c r="E68" s="151" t="n"/>
      <c r="F68" s="151" t="n"/>
      <c r="G68" s="151" t="n"/>
      <c r="H68" s="151" t="n"/>
      <c r="I68" s="151" t="n"/>
      <c r="J68" s="151" t="n"/>
      <c r="K68" s="151" t="n"/>
    </row>
    <row r="69">
      <c r="A69" s="151" t="inlineStr">
        <is>
          <t>TOTAL web people costs (hire + layoff + employ)</t>
        </is>
      </c>
      <c r="B69" s="93">
        <f>IF(COUNT(B66:B68)=0,"",SUM(B66:B68))</f>
        <v/>
      </c>
      <c r="C69" s="151" t="n"/>
      <c r="D69" s="151" t="n"/>
      <c r="E69" s="151" t="n"/>
      <c r="F69" s="151" t="n"/>
      <c r="G69" s="151" t="n"/>
      <c r="H69" s="151" t="n"/>
      <c r="I69" s="151" t="n"/>
      <c r="J69" s="151" t="n"/>
      <c r="K69" s="151" t="n"/>
    </row>
    <row r="70">
      <c r="A70" s="151" t="n"/>
      <c r="B70" s="151" t="n"/>
      <c r="C70" s="151" t="n"/>
      <c r="D70" s="151" t="n"/>
      <c r="E70" s="151" t="n"/>
      <c r="F70" s="151" t="n"/>
      <c r="G70" s="151" t="n"/>
      <c r="H70" s="151" t="n"/>
      <c r="I70" s="151" t="n"/>
      <c r="J70" s="151" t="n"/>
      <c r="K70" s="151" t="n"/>
    </row>
    <row r="71">
      <c r="A71" s="151" t="inlineStr">
        <is>
          <t>Elements that can be changed</t>
        </is>
      </c>
      <c r="B71" s="151" t="inlineStr">
        <is>
          <t>Web Sales (C55) · Web Support (D55) · Annual compensation (B55) · Hire/layoff rates (C7/C8)</t>
        </is>
      </c>
      <c r="C71" s="151" t="n"/>
      <c r="D71" s="151" t="n"/>
      <c r="E71" s="151" t="n"/>
      <c r="F71" s="151" t="n"/>
      <c r="G71" s="151" t="n"/>
      <c r="H71" s="151" t="n"/>
      <c r="I71" s="151" t="n"/>
      <c r="J71" s="151" t="n"/>
      <c r="K71" s="151" t="n"/>
    </row>
    <row r="72">
      <c r="A72" s="151" t="n"/>
      <c r="B72" s="151" t="n"/>
      <c r="C72" s="151" t="n"/>
      <c r="D72" s="151" t="n"/>
      <c r="E72" s="151" t="n"/>
      <c r="F72" s="151" t="n"/>
      <c r="G72" s="151" t="n"/>
      <c r="H72" s="151" t="n"/>
      <c r="I72" s="151" t="n"/>
      <c r="J72" s="151" t="n"/>
      <c r="K72" s="151" t="n"/>
    </row>
    <row r="73">
      <c r="A73" s="87" t="inlineStr">
        <is>
          <t>Web productivity tactics — see sheet Web_Productivity</t>
        </is>
      </c>
      <c r="B73" s="151" t="n"/>
      <c r="C73" s="151" t="n"/>
      <c r="D73" s="151" t="n"/>
      <c r="E73" s="151" t="n"/>
      <c r="F73" s="151" t="n"/>
      <c r="G73" s="151" t="n"/>
      <c r="H73" s="151" t="n"/>
      <c r="I73" s="151" t="n"/>
      <c r="J73" s="151" t="n"/>
      <c r="K73" s="151" t="n"/>
    </row>
    <row r="74">
      <c r="A74" s="68" t="inlineStr">
        <is>
          <t>Active cash this Q (linked)</t>
        </is>
      </c>
      <c r="B74" s="94">
        <f>IF(Web_Productivity!B10="","",Web_Productivity!B10)</f>
        <v/>
      </c>
      <c r="C74" s="68" t="inlineStr">
        <is>
          <t>Edit Start/Budget on Web_Productivity sheet</t>
        </is>
      </c>
      <c r="D74" s="68" t="inlineStr">
        <is>
          <t>Quarters to full effect</t>
        </is>
      </c>
      <c r="E74" s="68" t="inlineStr">
        <is>
          <t>Notes</t>
        </is>
      </c>
    </row>
    <row r="75">
      <c r="A75" s="72" t="inlineStr">
        <is>
          <t>Toll-free default</t>
        </is>
      </c>
      <c r="B75" s="72" t="inlineStr">
        <is>
          <t>Setup $3,000 · Quarterly $3,000</t>
        </is>
      </c>
      <c r="C75" s="72" t="n"/>
      <c r="D75" s="72" t="n"/>
      <c r="E75" s="72" t="n"/>
    </row>
    <row r="76">
      <c r="A76" s="72" t="inlineStr">
        <is>
          <t>Page upgrades default</t>
        </is>
      </c>
      <c r="B76" s="72" t="inlineStr">
        <is>
          <t>Setup $6,000 · Quarterly $6,000</t>
        </is>
      </c>
      <c r="C76" s="72" t="n"/>
      <c r="D76" s="72" t="n"/>
      <c r="E76" s="72" t="n"/>
    </row>
    <row r="77">
      <c r="A77" s="72" t="inlineStr">
        <is>
          <t>Curve insight</t>
        </is>
      </c>
      <c r="B77" s="72" t="inlineStr">
        <is>
          <t>Toll-free &gt;&gt; page upgrades on % improvement; diminishing returns after ~$10k</t>
        </is>
      </c>
      <c r="C77" s="72" t="n"/>
      <c r="D77" s="72" t="n"/>
      <c r="E77" s="72" t="n"/>
    </row>
    <row r="78">
      <c r="A78" s="72" t="n"/>
      <c r="B78" s="72" t="n"/>
      <c r="C78" s="72" t="n"/>
      <c r="D78" s="72" t="n"/>
      <c r="E78" s="72" t="n"/>
    </row>
    <row r="79">
      <c r="A79" s="72" t="n"/>
      <c r="B79" s="72" t="n"/>
      <c r="C79" s="72" t="n"/>
      <c r="D79" s="72" t="n"/>
      <c r="E79" s="72" t="n"/>
    </row>
    <row r="80">
      <c r="A80" t="inlineStr">
        <is>
          <t>Total web tactics budget (linked)</t>
        </is>
      </c>
      <c r="B80" s="71">
        <f>B74</f>
        <v/>
      </c>
    </row>
    <row r="82">
      <c r="A82" s="64" t="inlineStr">
        <is>
          <t>New sales outlet for NEXT quarter (city #2)</t>
        </is>
      </c>
    </row>
    <row r="83">
      <c r="A83" t="inlineStr">
        <is>
          <t>Open a new store?</t>
        </is>
      </c>
      <c r="B83" s="163" t="inlineStr">
        <is>
          <t>Yes</t>
        </is>
      </c>
      <c r="C83" t="inlineStr">
        <is>
          <t>LOCKED Q2 — full quarter to open; live next quarter</t>
        </is>
      </c>
    </row>
    <row r="84">
      <c r="A84" t="inlineStr">
        <is>
          <t>City candidate</t>
        </is>
      </c>
      <c r="B84" s="163" t="inlineStr">
        <is>
          <t>Rio</t>
        </is>
      </c>
      <c r="C84" t="inlineStr">
        <is>
          <t>Setup $90,000 · lease $17,000/qtr when live (Stores_Costs)</t>
        </is>
      </c>
    </row>
    <row r="85">
      <c r="A85" t="inlineStr">
        <is>
          <t>Setup cost (hint)</t>
        </is>
      </c>
      <c r="B85" s="71">
        <f>IF(B84="","",IF(OR(LOWER(B84)="new york city",LOWER(B84)="nyc"),Stores_Costs!C6,IF(OR(LOWER(B84)="rio de janeiro",LOWER(B84)="rio"),Stores_Costs!C7,IF(LOWER(B84)="bangalore",Stores_Costs!C9,""))))</f>
        <v/>
      </c>
    </row>
    <row r="86">
      <c r="A86" t="inlineStr">
        <is>
          <t>Quarterly lease (hint)</t>
        </is>
      </c>
      <c r="B86" s="71">
        <f>IF(B84="","",IF(OR(LOWER(B84)="new york city",LOWER(B84)="nyc"),Stores_Costs!D6,IF(OR(LOWER(B84)="rio de janeiro",LOWER(B84)="rio"),Stores_Costs!D7,IF(LOWER(B84)="bangalore",Stores_Costs!D9,""))))</f>
        <v/>
      </c>
    </row>
    <row r="88">
      <c r="A88" s="64" t="inlineStr">
        <is>
          <t>Demand forecast bridge</t>
        </is>
      </c>
    </row>
    <row r="89">
      <c r="A89" t="inlineStr">
        <is>
          <t>Q2 total demand</t>
        </is>
      </c>
      <c r="B89">
        <f>IF(Demand_Forecast!B12="","",Demand_Forecast!B12)</f>
        <v/>
      </c>
    </row>
    <row r="90">
      <c r="A90" t="inlineStr">
        <is>
          <t>Q3 demand projection</t>
        </is>
      </c>
      <c r="B90" s="75">
        <f>IF(Demand_Forecast!I34="","",Demand_Forecast!I34)</f>
        <v/>
      </c>
    </row>
    <row r="91">
      <c r="A91" t="inlineStr">
        <is>
          <t>Naive AMS Mountain /4 (context only)</t>
        </is>
      </c>
      <c r="B91">
        <f>Market_Potential!C7/4</f>
        <v/>
      </c>
    </row>
    <row r="93">
      <c r="A93" t="inlineStr">
        <is>
          <t>Cash reminder</t>
        </is>
      </c>
      <c r="B93" t="inlineStr">
        <is>
          <t>Ending Cash+CD ≥ $300,000 after store + web people costs, tactics, leases, optional store setup.</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4.5"/>
  <cols>
    <col width="55" customWidth="1" style="146" min="1" max="1"/>
    <col width="12" customWidth="1" style="146" min="2" max="5"/>
    <col width="16" customWidth="1" style="146" min="6" max="6"/>
    <col width="22" customWidth="1" style="146" min="7" max="7"/>
    <col width="14" customWidth="1" style="146" min="8" max="9"/>
  </cols>
  <sheetData>
    <row r="1" ht="18.5" customHeight="1" s="146">
      <c r="A1" s="67" t="inlineStr">
        <is>
          <t>Web Productivity — Purchase Probability Tactics</t>
        </is>
      </c>
    </row>
    <row r="2">
      <c r="A2" t="inlineStr">
        <is>
          <t>LOCKED Q2: Start BOTH — Toll-free budget $3,000 · Page upgrades budget $6,000. First-Q cash ≈ setup $3k+$6k + budgets $3k+$6k = $18,000. Workspace: Options to Improve the Probability of Purchase. Start this quarter; full effect over a few quarters; diminishing returns on budget. Detail: web-productivity-background.md · Yellow = decisions (not locked).</t>
        </is>
      </c>
    </row>
    <row r="3">
      <c r="A3" t="inlineStr">
        <is>
          <t>You can Stop a service anytime. Chart points are approximate read-offs from Workspace graph.</t>
        </is>
      </c>
    </row>
    <row r="5">
      <c r="A5" s="64" t="inlineStr">
        <is>
          <t>Options to Improve the Probability of Purchase</t>
        </is>
      </c>
    </row>
    <row r="6">
      <c r="A6" s="68" t="inlineStr">
        <is>
          <t>Activity</t>
        </is>
      </c>
      <c r="B6" s="68" t="inlineStr">
        <is>
          <t>Start (Y/N)</t>
        </is>
      </c>
      <c r="C6" s="68" t="inlineStr">
        <is>
          <t>Stop (Y/N)</t>
        </is>
      </c>
      <c r="D6" s="68" t="inlineStr">
        <is>
          <t>Status</t>
        </is>
      </c>
      <c r="E6" s="68" t="inlineStr">
        <is>
          <t>Setup Cost</t>
        </is>
      </c>
      <c r="F6" s="68" t="inlineStr">
        <is>
          <t>Quarterly Budget</t>
        </is>
      </c>
      <c r="G6" s="68" t="inlineStr">
        <is>
          <t>Est. Potential Improvement %</t>
        </is>
      </c>
      <c r="H6" s="68" t="inlineStr">
        <is>
          <t>Setup due this Q?</t>
        </is>
      </c>
      <c r="I6" s="68" t="inlineStr">
        <is>
          <t>Cash hit this Q</t>
        </is>
      </c>
    </row>
    <row r="7">
      <c r="A7" s="75" t="inlineStr">
        <is>
          <t>Toll-free phone number for advising customers in the decision making process and for handling service calls</t>
        </is>
      </c>
      <c r="B7" s="163" t="inlineStr">
        <is>
          <t>Y</t>
        </is>
      </c>
      <c r="C7" s="72" t="n"/>
      <c r="D7" s="75">
        <f>IF(OR(UPPER(B7)="Y",UPPER(B7)="YES"),"Active",IF(OR(UPPER(C7)="Y",UPPER(C7)="YES"),"Stopped","—"))</f>
        <v/>
      </c>
      <c r="E7" s="70" t="n">
        <v>3000</v>
      </c>
      <c r="F7" s="157" t="n">
        <v>3000</v>
      </c>
      <c r="G7" s="95">
        <f>IF(OR(D7&lt;&gt;"Active",F7=""),"",IF(F7&lt;=1500,0.22,IF(F7&lt;=4000,0.31,IF(F7&lt;=7500,0.35,IF(F7&lt;=12500,0.415,IF(F7&lt;=17500,0.44,IF(F7&lt;=25000,0.45,0.465)))))))</f>
        <v/>
      </c>
      <c r="H7" s="72" t="n"/>
      <c r="I7" s="96">
        <f>IF(D7&lt;&gt;"Active","",IF(OR(UPPER(H7)="Y",UPPER(H7)="YES"),E7+F7,F7))</f>
        <v/>
      </c>
    </row>
    <row r="8">
      <c r="A8" s="75" t="inlineStr">
        <is>
          <t>Continuous upgrading of the product description, pricing, and order entry pages to improve content, visual appeal and navigation</t>
        </is>
      </c>
      <c r="B8" s="163" t="inlineStr">
        <is>
          <t>Y</t>
        </is>
      </c>
      <c r="C8" s="72" t="n"/>
      <c r="D8" s="75">
        <f>IF(OR(UPPER(B8)="Y",UPPER(B8)="YES"),"Active",IF(OR(UPPER(C8)="Y",UPPER(C8)="YES"),"Stopped","—"))</f>
        <v/>
      </c>
      <c r="E8" s="70" t="n">
        <v>6000</v>
      </c>
      <c r="F8" s="157" t="n">
        <v>6000</v>
      </c>
      <c r="G8" s="95">
        <f>IF(OR(D8&lt;&gt;"Active",F8=""),"",IF(F8&lt;=1500,0.12,IF(F8&lt;=4000,0.16,IF(F8&lt;=7500,0.185,IF(F8&lt;=12500,0.235,IF(F8&lt;=17500,0.26,IF(F8&lt;=25000,0.275,0.295)))))))</f>
        <v/>
      </c>
      <c r="H8" s="72" t="n"/>
      <c r="I8" s="96">
        <f>IF(D8&lt;&gt;"Active","",IF(OR(UPPER(H8)="Y",UPPER(H8)="YES"),E8+F8,F8))</f>
        <v/>
      </c>
    </row>
    <row r="10">
      <c r="A10" t="inlineStr">
        <is>
          <t>TOTAL web productivity cash this quarter</t>
        </is>
      </c>
      <c r="B10" s="97">
        <f>IF(COUNT(I7:I8)=0,"",SUM(I7:I8))</f>
        <v/>
      </c>
      <c r="C10" t="inlineStr">
        <is>
          <t>Sum of active tactics (setup if flagged + quarterly budget)</t>
        </is>
      </c>
    </row>
    <row r="12">
      <c r="A12" s="64" t="inlineStr">
        <is>
          <t>Planning notes</t>
        </is>
      </c>
    </row>
    <row r="13">
      <c r="A13" t="inlineStr">
        <is>
          <t>Default Workspace budgets sit on the steep part of both curves (efficient).</t>
        </is>
      </c>
    </row>
    <row r="14">
      <c r="A14" t="inlineStr">
        <is>
          <t>Toll-free dominates page upgrades on improvement % at every budget on the chart.</t>
        </is>
      </c>
    </row>
    <row r="15">
      <c r="A15" t="inlineStr">
        <is>
          <t>Most incremental gain is earned by ~$10k; $10k→$30k adds only ~5 points.</t>
        </is>
      </c>
    </row>
    <row r="16">
      <c r="A16" t="inlineStr">
        <is>
          <t>Effects take a few quarters to fully mature — don’t expect full % in Q2 alone.</t>
        </is>
      </c>
    </row>
    <row r="17">
      <c r="A17" t="inlineStr">
        <is>
          <t>Elements that can be changed: Start/Stop · Quarterly Budget · Setup-due flag</t>
        </is>
      </c>
    </row>
    <row r="19">
      <c r="A19" s="64" t="inlineStr">
        <is>
          <t>Potential Improvement [%] vs Quarterly Budget (approx chart read-off)</t>
        </is>
      </c>
    </row>
    <row r="20">
      <c r="A20" s="68" t="inlineStr">
        <is>
          <t>Quarterly Budget</t>
        </is>
      </c>
      <c r="B20" s="68" t="inlineStr">
        <is>
          <t>Toll-free phone %</t>
        </is>
      </c>
      <c r="C20" s="68" t="inlineStr">
        <is>
          <t>Page upgrades %</t>
        </is>
      </c>
    </row>
    <row r="21">
      <c r="A21" s="70" t="n">
        <v>0</v>
      </c>
      <c r="B21" s="95" t="n">
        <v>0</v>
      </c>
      <c r="C21" s="95" t="n">
        <v>0</v>
      </c>
    </row>
    <row r="22">
      <c r="A22" s="70" t="n">
        <v>3000</v>
      </c>
      <c r="B22" s="95" t="n">
        <v>0.31</v>
      </c>
      <c r="C22" s="95" t="n">
        <v>0.16</v>
      </c>
    </row>
    <row r="23">
      <c r="A23" s="70" t="n">
        <v>5000</v>
      </c>
      <c r="B23" s="95" t="n">
        <v>0.35</v>
      </c>
      <c r="C23" s="95" t="n">
        <v>0.185</v>
      </c>
    </row>
    <row r="24">
      <c r="A24" s="70" t="n">
        <v>10000</v>
      </c>
      <c r="B24" s="95" t="n">
        <v>0.415</v>
      </c>
      <c r="C24" s="95" t="n">
        <v>0.235</v>
      </c>
    </row>
    <row r="25">
      <c r="A25" s="70" t="n">
        <v>15000</v>
      </c>
      <c r="B25" s="95" t="n">
        <v>0.44</v>
      </c>
      <c r="C25" s="95" t="n">
        <v>0.26</v>
      </c>
    </row>
    <row r="26">
      <c r="A26" s="70" t="n">
        <v>20000</v>
      </c>
      <c r="B26" s="95" t="n">
        <v>0.45</v>
      </c>
      <c r="C26" s="95" t="n">
        <v>0.275</v>
      </c>
    </row>
    <row r="27">
      <c r="A27" s="70" t="n">
        <v>30000</v>
      </c>
      <c r="B27" s="95" t="n">
        <v>0.465</v>
      </c>
      <c r="C27" s="95" t="n">
        <v>0.295</v>
      </c>
    </row>
    <row r="29">
      <c r="A29" t="inlineStr">
        <is>
          <t>Source</t>
        </is>
      </c>
      <c r="B29" t="inlineStr">
        <is>
          <t>Workspace Web Sales Center + Potential Improvement chart (Q2)</t>
        </is>
      </c>
    </row>
    <row r="30">
      <c r="A30" t="inlineStr">
        <is>
          <t>Cash rule</t>
        </is>
      </c>
      <c r="B30" t="inlineStr">
        <is>
          <t>Keep ending Cash+CD ≥ $300,000 after web productivity + personnel + other Q2 spends.</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K41"/>
  <sheetViews>
    <sheetView workbookViewId="0">
      <selection activeCell="P13" sqref="P13"/>
    </sheetView>
  </sheetViews>
  <sheetFormatPr baseColWidth="8" defaultRowHeight="14.5"/>
  <cols>
    <col width="28" customWidth="1" style="146" min="1" max="1"/>
    <col width="10" customWidth="1" style="146" min="2" max="2"/>
    <col width="12" customWidth="1" style="146" min="3" max="3"/>
    <col width="3" customWidth="1" style="146" min="4" max="4"/>
    <col width="28" customWidth="1" style="146" min="5" max="5"/>
    <col width="10" customWidth="1" style="146" min="6" max="6"/>
    <col width="12" customWidth="1" style="146" min="7" max="7"/>
    <col width="3" customWidth="1" style="146" min="8" max="8"/>
    <col width="28" customWidth="1" style="146" min="9" max="9"/>
    <col width="10" customWidth="1" style="146" min="10" max="10"/>
    <col width="12" customWidth="1" style="146" min="11" max="11"/>
  </cols>
  <sheetData>
    <row r="1" ht="18.5" customHeight="1" s="146">
      <c r="A1" s="4" t="inlineStr">
        <is>
          <t>Needs Snapshot — linked to Needs sheet</t>
        </is>
      </c>
    </row>
    <row r="2">
      <c r="A2" s="1" t="inlineStr">
        <is>
          <t>After entering scores on Needs, filter each block where Flag = IMPORTANT, or sort Score descending (copy-paste values if needed).</t>
        </is>
      </c>
    </row>
    <row r="4">
      <c r="A4" s="12" t="inlineStr">
        <is>
          <t>Recreation priorities</t>
        </is>
      </c>
      <c r="E4" s="12" t="inlineStr">
        <is>
          <t>Mountain priorities</t>
        </is>
      </c>
      <c r="I4" s="12" t="inlineStr">
        <is>
          <t>Speed priorities</t>
        </is>
      </c>
    </row>
    <row r="5">
      <c r="A5" s="2" t="inlineStr">
        <is>
          <t>Need</t>
        </is>
      </c>
      <c r="B5" s="2" t="inlineStr">
        <is>
          <t>Score</t>
        </is>
      </c>
      <c r="C5" s="2" t="inlineStr">
        <is>
          <t>Flag</t>
        </is>
      </c>
      <c r="E5" s="2" t="inlineStr">
        <is>
          <t>Need</t>
        </is>
      </c>
      <c r="F5" s="2" t="inlineStr">
        <is>
          <t>Score</t>
        </is>
      </c>
      <c r="G5" s="2" t="inlineStr">
        <is>
          <t>Flag</t>
        </is>
      </c>
      <c r="I5" s="2" t="inlineStr">
        <is>
          <t>Need</t>
        </is>
      </c>
      <c r="J5" s="2" t="inlineStr">
        <is>
          <t>Score</t>
        </is>
      </c>
      <c r="K5" s="2" t="inlineStr">
        <is>
          <t>Flag</t>
        </is>
      </c>
    </row>
    <row r="6">
      <c r="A6" s="13">
        <f>Needs!A5</f>
        <v/>
      </c>
      <c r="B6" s="13">
        <f>Needs!B5</f>
        <v/>
      </c>
      <c r="C6" s="13">
        <f>Needs!F5</f>
        <v/>
      </c>
      <c r="E6" s="13">
        <f>Needs!A5</f>
        <v/>
      </c>
      <c r="F6" s="13">
        <f>Needs!C5</f>
        <v/>
      </c>
      <c r="G6" s="13">
        <f>Needs!G5</f>
        <v/>
      </c>
      <c r="I6" s="13">
        <f>Needs!A5</f>
        <v/>
      </c>
      <c r="J6" s="13">
        <f>Needs!D5</f>
        <v/>
      </c>
      <c r="K6" s="13">
        <f>Needs!H5</f>
        <v/>
      </c>
    </row>
    <row r="7">
      <c r="A7" s="13">
        <f>Needs!A6</f>
        <v/>
      </c>
      <c r="B7" s="13">
        <f>Needs!B6</f>
        <v/>
      </c>
      <c r="C7" s="13">
        <f>Needs!F6</f>
        <v/>
      </c>
      <c r="E7" s="13">
        <f>Needs!A6</f>
        <v/>
      </c>
      <c r="F7" s="13">
        <f>Needs!C6</f>
        <v/>
      </c>
      <c r="G7" s="13">
        <f>Needs!G6</f>
        <v/>
      </c>
      <c r="I7" s="13">
        <f>Needs!A6</f>
        <v/>
      </c>
      <c r="J7" s="13">
        <f>Needs!D6</f>
        <v/>
      </c>
      <c r="K7" s="13">
        <f>Needs!H6</f>
        <v/>
      </c>
    </row>
    <row r="8">
      <c r="A8" s="13">
        <f>Needs!A7</f>
        <v/>
      </c>
      <c r="B8" s="13">
        <f>Needs!B7</f>
        <v/>
      </c>
      <c r="C8" s="13">
        <f>Needs!F7</f>
        <v/>
      </c>
      <c r="E8" s="13">
        <f>Needs!A7</f>
        <v/>
      </c>
      <c r="F8" s="13">
        <f>Needs!C7</f>
        <v/>
      </c>
      <c r="G8" s="13">
        <f>Needs!G7</f>
        <v/>
      </c>
      <c r="I8" s="13">
        <f>Needs!A7</f>
        <v/>
      </c>
      <c r="J8" s="13">
        <f>Needs!D7</f>
        <v/>
      </c>
      <c r="K8" s="13">
        <f>Needs!H7</f>
        <v/>
      </c>
    </row>
    <row r="9">
      <c r="A9" s="13">
        <f>Needs!A8</f>
        <v/>
      </c>
      <c r="B9" s="13">
        <f>Needs!B8</f>
        <v/>
      </c>
      <c r="C9" s="13">
        <f>Needs!F8</f>
        <v/>
      </c>
      <c r="E9" s="13">
        <f>Needs!A8</f>
        <v/>
      </c>
      <c r="F9" s="13">
        <f>Needs!C8</f>
        <v/>
      </c>
      <c r="G9" s="13">
        <f>Needs!G8</f>
        <v/>
      </c>
      <c r="I9" s="13">
        <f>Needs!A8</f>
        <v/>
      </c>
      <c r="J9" s="13">
        <f>Needs!D8</f>
        <v/>
      </c>
      <c r="K9" s="13">
        <f>Needs!H8</f>
        <v/>
      </c>
    </row>
    <row r="10">
      <c r="A10" s="13">
        <f>Needs!A9</f>
        <v/>
      </c>
      <c r="B10" s="13">
        <f>Needs!B9</f>
        <v/>
      </c>
      <c r="C10" s="13">
        <f>Needs!F9</f>
        <v/>
      </c>
      <c r="E10" s="13">
        <f>Needs!A9</f>
        <v/>
      </c>
      <c r="F10" s="13">
        <f>Needs!C9</f>
        <v/>
      </c>
      <c r="G10" s="13">
        <f>Needs!G9</f>
        <v/>
      </c>
      <c r="I10" s="13">
        <f>Needs!A9</f>
        <v/>
      </c>
      <c r="J10" s="13">
        <f>Needs!D9</f>
        <v/>
      </c>
      <c r="K10" s="13">
        <f>Needs!H9</f>
        <v/>
      </c>
    </row>
    <row r="11">
      <c r="A11" s="13">
        <f>Needs!A10</f>
        <v/>
      </c>
      <c r="B11" s="13">
        <f>Needs!B10</f>
        <v/>
      </c>
      <c r="C11" s="13">
        <f>Needs!F10</f>
        <v/>
      </c>
      <c r="E11" s="13">
        <f>Needs!A10</f>
        <v/>
      </c>
      <c r="F11" s="13">
        <f>Needs!C10</f>
        <v/>
      </c>
      <c r="G11" s="13">
        <f>Needs!G10</f>
        <v/>
      </c>
      <c r="I11" s="13">
        <f>Needs!A10</f>
        <v/>
      </c>
      <c r="J11" s="13">
        <f>Needs!D10</f>
        <v/>
      </c>
      <c r="K11" s="13">
        <f>Needs!H10</f>
        <v/>
      </c>
    </row>
    <row r="12">
      <c r="A12" s="13">
        <f>Needs!A11</f>
        <v/>
      </c>
      <c r="B12" s="13">
        <f>Needs!B11</f>
        <v/>
      </c>
      <c r="C12" s="13">
        <f>Needs!F11</f>
        <v/>
      </c>
      <c r="E12" s="13">
        <f>Needs!A11</f>
        <v/>
      </c>
      <c r="F12" s="13">
        <f>Needs!C11</f>
        <v/>
      </c>
      <c r="G12" s="13">
        <f>Needs!G11</f>
        <v/>
      </c>
      <c r="I12" s="13">
        <f>Needs!A11</f>
        <v/>
      </c>
      <c r="J12" s="13">
        <f>Needs!D11</f>
        <v/>
      </c>
      <c r="K12" s="13">
        <f>Needs!H11</f>
        <v/>
      </c>
    </row>
    <row r="13">
      <c r="A13" s="13">
        <f>Needs!A12</f>
        <v/>
      </c>
      <c r="B13" s="13">
        <f>Needs!B12</f>
        <v/>
      </c>
      <c r="C13" s="13">
        <f>Needs!F12</f>
        <v/>
      </c>
      <c r="E13" s="13">
        <f>Needs!A12</f>
        <v/>
      </c>
      <c r="F13" s="13">
        <f>Needs!C12</f>
        <v/>
      </c>
      <c r="G13" s="13">
        <f>Needs!G12</f>
        <v/>
      </c>
      <c r="I13" s="13">
        <f>Needs!A12</f>
        <v/>
      </c>
      <c r="J13" s="13">
        <f>Needs!D12</f>
        <v/>
      </c>
      <c r="K13" s="13">
        <f>Needs!H12</f>
        <v/>
      </c>
    </row>
    <row r="14">
      <c r="A14" s="13">
        <f>Needs!A13</f>
        <v/>
      </c>
      <c r="B14" s="13">
        <f>Needs!B13</f>
        <v/>
      </c>
      <c r="C14" s="13">
        <f>Needs!F13</f>
        <v/>
      </c>
      <c r="E14" s="13">
        <f>Needs!A13</f>
        <v/>
      </c>
      <c r="F14" s="13">
        <f>Needs!C13</f>
        <v/>
      </c>
      <c r="G14" s="13">
        <f>Needs!G13</f>
        <v/>
      </c>
      <c r="I14" s="13">
        <f>Needs!A13</f>
        <v/>
      </c>
      <c r="J14" s="13">
        <f>Needs!D13</f>
        <v/>
      </c>
      <c r="K14" s="13">
        <f>Needs!H13</f>
        <v/>
      </c>
    </row>
    <row r="15">
      <c r="A15" s="13">
        <f>Needs!A14</f>
        <v/>
      </c>
      <c r="B15" s="13">
        <f>Needs!B14</f>
        <v/>
      </c>
      <c r="C15" s="13">
        <f>Needs!F14</f>
        <v/>
      </c>
      <c r="E15" s="13">
        <f>Needs!A14</f>
        <v/>
      </c>
      <c r="F15" s="13">
        <f>Needs!C14</f>
        <v/>
      </c>
      <c r="G15" s="13">
        <f>Needs!G14</f>
        <v/>
      </c>
      <c r="I15" s="13">
        <f>Needs!A14</f>
        <v/>
      </c>
      <c r="J15" s="13">
        <f>Needs!D14</f>
        <v/>
      </c>
      <c r="K15" s="13">
        <f>Needs!H14</f>
        <v/>
      </c>
    </row>
    <row r="16">
      <c r="A16" s="13">
        <f>Needs!A15</f>
        <v/>
      </c>
      <c r="B16" s="13">
        <f>Needs!B15</f>
        <v/>
      </c>
      <c r="C16" s="13">
        <f>Needs!F15</f>
        <v/>
      </c>
      <c r="E16" s="13">
        <f>Needs!A15</f>
        <v/>
      </c>
      <c r="F16" s="13">
        <f>Needs!C15</f>
        <v/>
      </c>
      <c r="G16" s="13">
        <f>Needs!G15</f>
        <v/>
      </c>
      <c r="I16" s="13">
        <f>Needs!A15</f>
        <v/>
      </c>
      <c r="J16" s="13">
        <f>Needs!D15</f>
        <v/>
      </c>
      <c r="K16" s="13">
        <f>Needs!H15</f>
        <v/>
      </c>
    </row>
    <row r="17">
      <c r="A17" s="13">
        <f>Needs!A16</f>
        <v/>
      </c>
      <c r="B17" s="13">
        <f>Needs!B16</f>
        <v/>
      </c>
      <c r="C17" s="13">
        <f>Needs!F16</f>
        <v/>
      </c>
      <c r="E17" s="13">
        <f>Needs!A16</f>
        <v/>
      </c>
      <c r="F17" s="13">
        <f>Needs!C16</f>
        <v/>
      </c>
      <c r="G17" s="13">
        <f>Needs!G16</f>
        <v/>
      </c>
      <c r="I17" s="13">
        <f>Needs!A16</f>
        <v/>
      </c>
      <c r="J17" s="13">
        <f>Needs!D16</f>
        <v/>
      </c>
      <c r="K17" s="13">
        <f>Needs!H16</f>
        <v/>
      </c>
    </row>
    <row r="18">
      <c r="A18" s="13">
        <f>Needs!A17</f>
        <v/>
      </c>
      <c r="B18" s="13">
        <f>Needs!B17</f>
        <v/>
      </c>
      <c r="C18" s="13">
        <f>Needs!F17</f>
        <v/>
      </c>
      <c r="E18" s="13">
        <f>Needs!A17</f>
        <v/>
      </c>
      <c r="F18" s="13">
        <f>Needs!C17</f>
        <v/>
      </c>
      <c r="G18" s="13">
        <f>Needs!G17</f>
        <v/>
      </c>
      <c r="I18" s="13">
        <f>Needs!A17</f>
        <v/>
      </c>
      <c r="J18" s="13">
        <f>Needs!D17</f>
        <v/>
      </c>
      <c r="K18" s="13">
        <f>Needs!H17</f>
        <v/>
      </c>
    </row>
    <row r="19">
      <c r="A19" s="13">
        <f>Needs!A18</f>
        <v/>
      </c>
      <c r="B19" s="13">
        <f>Needs!B18</f>
        <v/>
      </c>
      <c r="C19" s="13">
        <f>Needs!F18</f>
        <v/>
      </c>
      <c r="E19" s="13">
        <f>Needs!A18</f>
        <v/>
      </c>
      <c r="F19" s="13">
        <f>Needs!C18</f>
        <v/>
      </c>
      <c r="G19" s="13">
        <f>Needs!G18</f>
        <v/>
      </c>
      <c r="I19" s="13">
        <f>Needs!A18</f>
        <v/>
      </c>
      <c r="J19" s="13">
        <f>Needs!D18</f>
        <v/>
      </c>
      <c r="K19" s="13">
        <f>Needs!H18</f>
        <v/>
      </c>
    </row>
    <row r="20">
      <c r="A20" s="13">
        <f>Needs!A19</f>
        <v/>
      </c>
      <c r="B20" s="13">
        <f>Needs!B19</f>
        <v/>
      </c>
      <c r="C20" s="13">
        <f>Needs!F19</f>
        <v/>
      </c>
      <c r="E20" s="13">
        <f>Needs!A19</f>
        <v/>
      </c>
      <c r="F20" s="13">
        <f>Needs!C19</f>
        <v/>
      </c>
      <c r="G20" s="13">
        <f>Needs!G19</f>
        <v/>
      </c>
      <c r="I20" s="13">
        <f>Needs!A19</f>
        <v/>
      </c>
      <c r="J20" s="13">
        <f>Needs!D19</f>
        <v/>
      </c>
      <c r="K20" s="13">
        <f>Needs!H19</f>
        <v/>
      </c>
    </row>
    <row r="21">
      <c r="A21" s="13">
        <f>Needs!A20</f>
        <v/>
      </c>
      <c r="B21" s="13">
        <f>Needs!B20</f>
        <v/>
      </c>
      <c r="C21" s="13">
        <f>Needs!F20</f>
        <v/>
      </c>
      <c r="E21" s="13">
        <f>Needs!A20</f>
        <v/>
      </c>
      <c r="F21" s="13">
        <f>Needs!C20</f>
        <v/>
      </c>
      <c r="G21" s="13">
        <f>Needs!G20</f>
        <v/>
      </c>
      <c r="I21" s="13">
        <f>Needs!A20</f>
        <v/>
      </c>
      <c r="J21" s="13">
        <f>Needs!D20</f>
        <v/>
      </c>
      <c r="K21" s="13">
        <f>Needs!H20</f>
        <v/>
      </c>
    </row>
    <row r="22">
      <c r="A22" s="13">
        <f>Needs!A21</f>
        <v/>
      </c>
      <c r="B22" s="13">
        <f>Needs!B21</f>
        <v/>
      </c>
      <c r="C22" s="13">
        <f>Needs!F21</f>
        <v/>
      </c>
      <c r="E22" s="13">
        <f>Needs!A21</f>
        <v/>
      </c>
      <c r="F22" s="13">
        <f>Needs!C21</f>
        <v/>
      </c>
      <c r="G22" s="13">
        <f>Needs!G21</f>
        <v/>
      </c>
      <c r="I22" s="13">
        <f>Needs!A21</f>
        <v/>
      </c>
      <c r="J22" s="13">
        <f>Needs!D21</f>
        <v/>
      </c>
      <c r="K22" s="13">
        <f>Needs!H21</f>
        <v/>
      </c>
    </row>
    <row r="23">
      <c r="A23" s="13">
        <f>Needs!A22</f>
        <v/>
      </c>
      <c r="B23" s="13">
        <f>Needs!B22</f>
        <v/>
      </c>
      <c r="C23" s="13">
        <f>Needs!F22</f>
        <v/>
      </c>
      <c r="E23" s="13">
        <f>Needs!A22</f>
        <v/>
      </c>
      <c r="F23" s="13">
        <f>Needs!C22</f>
        <v/>
      </c>
      <c r="G23" s="13">
        <f>Needs!G22</f>
        <v/>
      </c>
      <c r="I23" s="13">
        <f>Needs!A22</f>
        <v/>
      </c>
      <c r="J23" s="13">
        <f>Needs!D22</f>
        <v/>
      </c>
      <c r="K23" s="13">
        <f>Needs!H22</f>
        <v/>
      </c>
    </row>
    <row r="24">
      <c r="A24" s="13">
        <f>Needs!A23</f>
        <v/>
      </c>
      <c r="B24" s="13">
        <f>Needs!B23</f>
        <v/>
      </c>
      <c r="C24" s="13">
        <f>Needs!F23</f>
        <v/>
      </c>
      <c r="E24" s="13">
        <f>Needs!A23</f>
        <v/>
      </c>
      <c r="F24" s="13">
        <f>Needs!C23</f>
        <v/>
      </c>
      <c r="G24" s="13">
        <f>Needs!G23</f>
        <v/>
      </c>
      <c r="I24" s="13">
        <f>Needs!A23</f>
        <v/>
      </c>
      <c r="J24" s="13">
        <f>Needs!D23</f>
        <v/>
      </c>
      <c r="K24" s="13">
        <f>Needs!H23</f>
        <v/>
      </c>
    </row>
    <row r="25">
      <c r="A25" s="13">
        <f>Needs!A24</f>
        <v/>
      </c>
      <c r="B25" s="13">
        <f>Needs!B24</f>
        <v/>
      </c>
      <c r="C25" s="13">
        <f>Needs!F24</f>
        <v/>
      </c>
      <c r="E25" s="13">
        <f>Needs!A24</f>
        <v/>
      </c>
      <c r="F25" s="13">
        <f>Needs!C24</f>
        <v/>
      </c>
      <c r="G25" s="13">
        <f>Needs!G24</f>
        <v/>
      </c>
      <c r="I25" s="13">
        <f>Needs!A24</f>
        <v/>
      </c>
      <c r="J25" s="13">
        <f>Needs!D24</f>
        <v/>
      </c>
      <c r="K25" s="13">
        <f>Needs!H24</f>
        <v/>
      </c>
    </row>
    <row r="26">
      <c r="A26" s="13">
        <f>Needs!A25</f>
        <v/>
      </c>
      <c r="B26" s="13">
        <f>Needs!B25</f>
        <v/>
      </c>
      <c r="C26" s="13">
        <f>Needs!F25</f>
        <v/>
      </c>
      <c r="E26" s="13">
        <f>Needs!A25</f>
        <v/>
      </c>
      <c r="F26" s="13">
        <f>Needs!C25</f>
        <v/>
      </c>
      <c r="G26" s="13">
        <f>Needs!G25</f>
        <v/>
      </c>
      <c r="I26" s="13">
        <f>Needs!A25</f>
        <v/>
      </c>
      <c r="J26" s="13">
        <f>Needs!D25</f>
        <v/>
      </c>
      <c r="K26" s="13">
        <f>Needs!H25</f>
        <v/>
      </c>
    </row>
    <row r="27">
      <c r="A27" s="13">
        <f>Needs!A26</f>
        <v/>
      </c>
      <c r="B27" s="13">
        <f>Needs!B26</f>
        <v/>
      </c>
      <c r="C27" s="13">
        <f>Needs!F26</f>
        <v/>
      </c>
      <c r="E27" s="13">
        <f>Needs!A26</f>
        <v/>
      </c>
      <c r="F27" s="13">
        <f>Needs!C26</f>
        <v/>
      </c>
      <c r="G27" s="13">
        <f>Needs!G26</f>
        <v/>
      </c>
      <c r="I27" s="13">
        <f>Needs!A26</f>
        <v/>
      </c>
      <c r="J27" s="13">
        <f>Needs!D26</f>
        <v/>
      </c>
      <c r="K27" s="13">
        <f>Needs!H26</f>
        <v/>
      </c>
    </row>
    <row r="28">
      <c r="A28" s="13">
        <f>Needs!A27</f>
        <v/>
      </c>
      <c r="B28" s="13">
        <f>Needs!B27</f>
        <v/>
      </c>
      <c r="C28" s="13">
        <f>Needs!F27</f>
        <v/>
      </c>
      <c r="E28" s="13">
        <f>Needs!A27</f>
        <v/>
      </c>
      <c r="F28" s="13">
        <f>Needs!C27</f>
        <v/>
      </c>
      <c r="G28" s="13">
        <f>Needs!G27</f>
        <v/>
      </c>
      <c r="I28" s="13">
        <f>Needs!A27</f>
        <v/>
      </c>
      <c r="J28" s="13">
        <f>Needs!D27</f>
        <v/>
      </c>
      <c r="K28" s="13">
        <f>Needs!H27</f>
        <v/>
      </c>
    </row>
    <row r="29">
      <c r="A29" s="13">
        <f>Needs!A28</f>
        <v/>
      </c>
      <c r="B29" s="13">
        <f>Needs!B28</f>
        <v/>
      </c>
      <c r="C29" s="13">
        <f>Needs!F28</f>
        <v/>
      </c>
      <c r="E29" s="13">
        <f>Needs!A28</f>
        <v/>
      </c>
      <c r="F29" s="13">
        <f>Needs!C28</f>
        <v/>
      </c>
      <c r="G29" s="13">
        <f>Needs!G28</f>
        <v/>
      </c>
      <c r="I29" s="13">
        <f>Needs!A28</f>
        <v/>
      </c>
      <c r="J29" s="13">
        <f>Needs!D28</f>
        <v/>
      </c>
      <c r="K29" s="13">
        <f>Needs!H28</f>
        <v/>
      </c>
    </row>
    <row r="30">
      <c r="A30" s="13">
        <f>Needs!A29</f>
        <v/>
      </c>
      <c r="B30" s="13">
        <f>Needs!B29</f>
        <v/>
      </c>
      <c r="C30" s="13">
        <f>Needs!F29</f>
        <v/>
      </c>
      <c r="E30" s="13">
        <f>Needs!A29</f>
        <v/>
      </c>
      <c r="F30" s="13">
        <f>Needs!C29</f>
        <v/>
      </c>
      <c r="G30" s="13">
        <f>Needs!G29</f>
        <v/>
      </c>
      <c r="I30" s="13">
        <f>Needs!A29</f>
        <v/>
      </c>
      <c r="J30" s="13">
        <f>Needs!D29</f>
        <v/>
      </c>
      <c r="K30" s="13">
        <f>Needs!H29</f>
        <v/>
      </c>
    </row>
    <row r="31">
      <c r="A31" s="13">
        <f>Needs!A30</f>
        <v/>
      </c>
      <c r="B31" s="13">
        <f>Needs!B30</f>
        <v/>
      </c>
      <c r="C31" s="13">
        <f>Needs!F30</f>
        <v/>
      </c>
      <c r="E31" s="13">
        <f>Needs!A30</f>
        <v/>
      </c>
      <c r="F31" s="13">
        <f>Needs!C30</f>
        <v/>
      </c>
      <c r="G31" s="13">
        <f>Needs!G30</f>
        <v/>
      </c>
      <c r="I31" s="13">
        <f>Needs!A30</f>
        <v/>
      </c>
      <c r="J31" s="13">
        <f>Needs!D30</f>
        <v/>
      </c>
      <c r="K31" s="13">
        <f>Needs!H30</f>
        <v/>
      </c>
    </row>
    <row r="32">
      <c r="A32" s="13">
        <f>Needs!A31</f>
        <v/>
      </c>
      <c r="B32" s="13">
        <f>Needs!B31</f>
        <v/>
      </c>
      <c r="C32" s="13">
        <f>Needs!F31</f>
        <v/>
      </c>
      <c r="E32" s="13">
        <f>Needs!A31</f>
        <v/>
      </c>
      <c r="F32" s="13">
        <f>Needs!C31</f>
        <v/>
      </c>
      <c r="G32" s="13">
        <f>Needs!G31</f>
        <v/>
      </c>
      <c r="I32" s="13">
        <f>Needs!A31</f>
        <v/>
      </c>
      <c r="J32" s="13">
        <f>Needs!D31</f>
        <v/>
      </c>
      <c r="K32" s="13">
        <f>Needs!H31</f>
        <v/>
      </c>
    </row>
    <row r="33">
      <c r="A33" s="13">
        <f>Needs!A32</f>
        <v/>
      </c>
      <c r="B33" s="13">
        <f>Needs!B32</f>
        <v/>
      </c>
      <c r="C33" s="13">
        <f>Needs!F32</f>
        <v/>
      </c>
      <c r="E33" s="13">
        <f>Needs!A32</f>
        <v/>
      </c>
      <c r="F33" s="13">
        <f>Needs!C32</f>
        <v/>
      </c>
      <c r="G33" s="13">
        <f>Needs!G32</f>
        <v/>
      </c>
      <c r="I33" s="13">
        <f>Needs!A32</f>
        <v/>
      </c>
      <c r="J33" s="13">
        <f>Needs!D32</f>
        <v/>
      </c>
      <c r="K33" s="13">
        <f>Needs!H32</f>
        <v/>
      </c>
    </row>
    <row r="34">
      <c r="A34" s="13">
        <f>Needs!A33</f>
        <v/>
      </c>
      <c r="B34" s="13">
        <f>Needs!B33</f>
        <v/>
      </c>
      <c r="C34" s="13">
        <f>Needs!F33</f>
        <v/>
      </c>
      <c r="E34" s="13">
        <f>Needs!A33</f>
        <v/>
      </c>
      <c r="F34" s="13">
        <f>Needs!C33</f>
        <v/>
      </c>
      <c r="G34" s="13">
        <f>Needs!G33</f>
        <v/>
      </c>
      <c r="I34" s="13">
        <f>Needs!A33</f>
        <v/>
      </c>
      <c r="J34" s="13">
        <f>Needs!D33</f>
        <v/>
      </c>
      <c r="K34" s="13">
        <f>Needs!H33</f>
        <v/>
      </c>
    </row>
    <row r="35">
      <c r="A35" s="13">
        <f>Needs!A34</f>
        <v/>
      </c>
      <c r="B35" s="13">
        <f>Needs!B34</f>
        <v/>
      </c>
      <c r="C35" s="13">
        <f>Needs!F34</f>
        <v/>
      </c>
      <c r="E35" s="13">
        <f>Needs!A34</f>
        <v/>
      </c>
      <c r="F35" s="13">
        <f>Needs!C34</f>
        <v/>
      </c>
      <c r="G35" s="13">
        <f>Needs!G34</f>
        <v/>
      </c>
      <c r="I35" s="13">
        <f>Needs!A34</f>
        <v/>
      </c>
      <c r="J35" s="13">
        <f>Needs!D34</f>
        <v/>
      </c>
      <c r="K35" s="13">
        <f>Needs!H34</f>
        <v/>
      </c>
    </row>
    <row r="36">
      <c r="A36" s="26">
        <f>Needs!A35</f>
        <v/>
      </c>
      <c r="B36" s="13">
        <f>Needs!B35</f>
        <v/>
      </c>
      <c r="C36" s="13">
        <f>Needs!F35</f>
        <v/>
      </c>
      <c r="E36" s="26">
        <f>Needs!A35</f>
        <v/>
      </c>
      <c r="F36" s="13">
        <f>Needs!C35</f>
        <v/>
      </c>
      <c r="G36" s="13">
        <f>Needs!G35</f>
        <v/>
      </c>
      <c r="I36" s="26">
        <f>Needs!A35</f>
        <v/>
      </c>
      <c r="J36" s="13">
        <f>Needs!D35</f>
        <v/>
      </c>
      <c r="K36" s="13">
        <f>Needs!H35</f>
        <v/>
      </c>
    </row>
    <row r="37">
      <c r="A37" s="26">
        <f>Needs!A36</f>
        <v/>
      </c>
      <c r="B37" s="13">
        <f>Needs!B36</f>
        <v/>
      </c>
      <c r="C37" s="13">
        <f>Needs!F36</f>
        <v/>
      </c>
      <c r="E37" s="26">
        <f>Needs!A36</f>
        <v/>
      </c>
      <c r="F37" s="13">
        <f>Needs!C36</f>
        <v/>
      </c>
      <c r="G37" s="13">
        <f>Needs!G36</f>
        <v/>
      </c>
      <c r="I37" s="26">
        <f>Needs!A36</f>
        <v/>
      </c>
      <c r="J37" s="13">
        <f>Needs!D36</f>
        <v/>
      </c>
      <c r="K37" s="13">
        <f>Needs!H36</f>
        <v/>
      </c>
    </row>
    <row r="38">
      <c r="A38" s="26">
        <f>Needs!A37</f>
        <v/>
      </c>
      <c r="B38" s="13">
        <f>Needs!B37</f>
        <v/>
      </c>
      <c r="C38" s="13">
        <f>Needs!F37</f>
        <v/>
      </c>
      <c r="E38" s="26">
        <f>Needs!A37</f>
        <v/>
      </c>
      <c r="F38" s="13">
        <f>Needs!C37</f>
        <v/>
      </c>
      <c r="G38" s="13">
        <f>Needs!G37</f>
        <v/>
      </c>
      <c r="I38" s="26">
        <f>Needs!A37</f>
        <v/>
      </c>
      <c r="J38" s="13">
        <f>Needs!D37</f>
        <v/>
      </c>
      <c r="K38" s="13">
        <f>Needs!H37</f>
        <v/>
      </c>
    </row>
    <row r="39">
      <c r="A39" s="26">
        <f>Needs!A38</f>
        <v/>
      </c>
      <c r="B39" s="13">
        <f>Needs!B38</f>
        <v/>
      </c>
      <c r="C39" s="13">
        <f>Needs!F38</f>
        <v/>
      </c>
      <c r="E39" s="26">
        <f>Needs!A38</f>
        <v/>
      </c>
      <c r="F39" s="13">
        <f>Needs!C38</f>
        <v/>
      </c>
      <c r="G39" s="13">
        <f>Needs!G38</f>
        <v/>
      </c>
      <c r="I39" s="26">
        <f>Needs!A38</f>
        <v/>
      </c>
      <c r="J39" s="13">
        <f>Needs!D38</f>
        <v/>
      </c>
      <c r="K39" s="13">
        <f>Needs!H38</f>
        <v/>
      </c>
    </row>
    <row r="40">
      <c r="A40" s="26">
        <f>Needs!A39</f>
        <v/>
      </c>
      <c r="B40" s="13">
        <f>Needs!B39</f>
        <v/>
      </c>
      <c r="C40" s="13">
        <f>Needs!F39</f>
        <v/>
      </c>
      <c r="E40" s="26">
        <f>Needs!A39</f>
        <v/>
      </c>
      <c r="F40" s="13">
        <f>Needs!C39</f>
        <v/>
      </c>
      <c r="G40" s="13">
        <f>Needs!G39</f>
        <v/>
      </c>
      <c r="I40" s="26">
        <f>Needs!A39</f>
        <v/>
      </c>
      <c r="J40" s="13">
        <f>Needs!D39</f>
        <v/>
      </c>
      <c r="K40" s="13">
        <f>Needs!H39</f>
        <v/>
      </c>
    </row>
    <row r="41">
      <c r="A41" s="26">
        <f>Needs!A40</f>
        <v/>
      </c>
      <c r="B41" s="13">
        <f>Needs!B40</f>
        <v/>
      </c>
      <c r="C41" s="13">
        <f>Needs!F40</f>
        <v/>
      </c>
      <c r="E41" s="26">
        <f>Needs!A40</f>
        <v/>
      </c>
      <c r="F41" s="13">
        <f>Needs!C40</f>
        <v/>
      </c>
      <c r="G41" s="13">
        <f>Needs!G40</f>
        <v/>
      </c>
      <c r="I41" s="26">
        <f>Needs!A40</f>
        <v/>
      </c>
      <c r="J41" s="13">
        <f>Needs!D40</f>
        <v/>
      </c>
      <c r="K41" s="13">
        <f>Needs!H40</f>
        <v/>
      </c>
    </row>
  </sheetData>
  <conditionalFormatting sqref="B6:B41">
    <cfRule type="colorScale" priority="3">
      <colorScale>
        <cfvo type="percentile" val="75"/>
        <cfvo type="percentile" val="80"/>
        <cfvo type="max"/>
        <color theme="0"/>
        <color rgb="FFFFEB84"/>
        <color rgb="FFFFC000"/>
      </colorScale>
    </cfRule>
  </conditionalFormatting>
  <conditionalFormatting sqref="C1:C1048576 G1:G1048576 K1:K1048576">
    <cfRule type="containsText" priority="4" operator="containsText" dxfId="1" text="IMPORTANT">
      <formula>NOT(ISERROR(SEARCH("IMPORTANT",C1)))</formula>
    </cfRule>
    <cfRule type="containsText" priority="5" operator="containsText" dxfId="0" text="CAUTION">
      <formula>NOT(ISERROR(SEARCH("CAUTION",C1)))</formula>
    </cfRule>
  </conditionalFormatting>
  <conditionalFormatting sqref="F6:F41">
    <cfRule type="colorScale" priority="1">
      <colorScale>
        <cfvo type="percentile" val="75"/>
        <cfvo type="percentile" val="80"/>
        <cfvo type="max"/>
        <color theme="0"/>
        <color rgb="FFFFEB84"/>
        <color rgb="FFFFC000"/>
      </colorScale>
    </cfRule>
  </conditionalFormatting>
  <conditionalFormatting sqref="J6:J41">
    <cfRule type="colorScale" priority="2">
      <colorScale>
        <cfvo type="percentile" val="75"/>
        <cfvo type="percentile" val="80"/>
        <cfvo type="max"/>
        <color theme="0"/>
        <color rgb="FFFFEB84"/>
        <color rgb="FFFFC000"/>
      </colorScale>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9"/>
  <sheetViews>
    <sheetView workbookViewId="0">
      <selection activeCell="D20" sqref="D20"/>
    </sheetView>
  </sheetViews>
  <sheetFormatPr baseColWidth="8" defaultRowHeight="14.5"/>
  <cols>
    <col width="14" customWidth="1" style="146" min="1" max="1"/>
    <col width="16" customWidth="1" style="146" min="2" max="5"/>
    <col width="12" customWidth="1" style="146" min="6" max="6"/>
    <col width="40" customWidth="1" style="146" min="7" max="7"/>
    <col width="12" customWidth="1" style="146" min="8" max="8"/>
  </cols>
  <sheetData>
    <row r="1" ht="18.5" customHeight="1" s="146">
      <c r="A1" s="4" t="inlineStr">
        <is>
          <t>Growth Room vs Classmates (1–5 scores)</t>
        </is>
      </c>
    </row>
    <row r="2">
      <c r="A2" s="1" t="inlineStr">
        <is>
          <t>Gap index = Attractiveness + Serveability − Crowding (higher = more room for growth). Yellow = inputs.</t>
        </is>
      </c>
    </row>
    <row r="4" ht="29" customHeight="1" s="146">
      <c r="A4" s="2" t="inlineStr">
        <is>
          <t>Segment</t>
        </is>
      </c>
      <c r="B4" s="2" t="inlineStr">
        <is>
          <t>City / Channel</t>
        </is>
      </c>
      <c r="C4" s="2" t="inlineStr">
        <is>
          <t>Attractiveness (1–5)</t>
        </is>
      </c>
      <c r="D4" s="2" t="inlineStr">
        <is>
          <t>Expected crowding (1–5)</t>
        </is>
      </c>
      <c r="E4" s="2" t="inlineStr">
        <is>
          <t>Our serveability (1–5)</t>
        </is>
      </c>
      <c r="F4" s="2" t="inlineStr">
        <is>
          <t>Gap index</t>
        </is>
      </c>
      <c r="G4" s="2" t="inlineStr">
        <is>
          <t>Why peers may leave it</t>
        </is>
      </c>
      <c r="H4" s="2" t="inlineStr">
        <is>
          <t>Priority (H/M/L)</t>
        </is>
      </c>
    </row>
    <row r="5">
      <c r="A5" s="7" t="inlineStr">
        <is>
          <t>Recreation</t>
        </is>
      </c>
      <c r="B5" s="7" t="inlineStr">
        <is>
          <t>New York</t>
        </is>
      </c>
      <c r="C5" s="6" t="n"/>
      <c r="D5" s="6" t="n"/>
      <c r="E5" s="6" t="n"/>
      <c r="F5" s="7">
        <f>IF(COUNT(C5:E5)&lt;3,"",C5+E5-D5)</f>
        <v/>
      </c>
      <c r="G5" s="5" t="n"/>
      <c r="H5" s="6" t="n"/>
    </row>
    <row r="6">
      <c r="A6" s="7" t="inlineStr">
        <is>
          <t>Recreation</t>
        </is>
      </c>
      <c r="B6" s="7" t="inlineStr">
        <is>
          <t>Amsterdam</t>
        </is>
      </c>
      <c r="C6" s="6" t="n"/>
      <c r="D6" s="6" t="n"/>
      <c r="E6" s="6" t="n"/>
      <c r="F6" s="7">
        <f>IF(COUNT(C6:E6)&lt;3,"",C6+E6-D6)</f>
        <v/>
      </c>
      <c r="G6" s="5" t="n"/>
      <c r="H6" s="6" t="n"/>
    </row>
    <row r="7">
      <c r="A7" s="7" t="inlineStr">
        <is>
          <t>Recreation</t>
        </is>
      </c>
      <c r="B7" s="7" t="inlineStr">
        <is>
          <t>Rio de Janeiro</t>
        </is>
      </c>
      <c r="C7" s="6" t="n"/>
      <c r="D7" s="6" t="n"/>
      <c r="E7" s="6" t="n"/>
      <c r="F7" s="7">
        <f>IF(COUNT(C7:E7)&lt;3,"",C7+E7-D7)</f>
        <v/>
      </c>
      <c r="G7" s="5" t="n"/>
      <c r="H7" s="6" t="n"/>
    </row>
    <row r="8">
      <c r="A8" s="7" t="inlineStr">
        <is>
          <t>Recreation</t>
        </is>
      </c>
      <c r="B8" s="7" t="inlineStr">
        <is>
          <t>Bangalore</t>
        </is>
      </c>
      <c r="C8" s="6" t="n"/>
      <c r="D8" s="6" t="n"/>
      <c r="E8" s="6" t="n"/>
      <c r="F8" s="7">
        <f>IF(COUNT(C8:E8)&lt;3,"",C8+E8-D8)</f>
        <v/>
      </c>
      <c r="G8" s="5" t="n"/>
      <c r="H8" s="6" t="n"/>
    </row>
    <row r="9">
      <c r="A9" s="7" t="inlineStr">
        <is>
          <t>Recreation</t>
        </is>
      </c>
      <c r="B9" s="7" t="inlineStr">
        <is>
          <t>Web</t>
        </is>
      </c>
      <c r="C9" s="6" t="n"/>
      <c r="D9" s="6" t="n"/>
      <c r="E9" s="6" t="n"/>
      <c r="F9" s="7">
        <f>IF(COUNT(C9:E9)&lt;3,"",C9+E9-D9)</f>
        <v/>
      </c>
      <c r="G9" s="5" t="n"/>
      <c r="H9" s="6" t="n"/>
    </row>
    <row r="10">
      <c r="A10" s="7" t="inlineStr">
        <is>
          <t>Mountain</t>
        </is>
      </c>
      <c r="B10" s="7" t="inlineStr">
        <is>
          <t>New York</t>
        </is>
      </c>
      <c r="C10" s="6" t="n"/>
      <c r="D10" s="6" t="n"/>
      <c r="E10" s="6" t="n"/>
      <c r="F10" s="7">
        <f>IF(COUNT(C10:E10)&lt;3,"",C10+E10-D10)</f>
        <v/>
      </c>
      <c r="G10" s="5" t="n"/>
      <c r="H10" s="6" t="n"/>
    </row>
    <row r="11">
      <c r="A11" s="7" t="inlineStr">
        <is>
          <t>Mountain</t>
        </is>
      </c>
      <c r="B11" s="7" t="inlineStr">
        <is>
          <t>Amsterdam</t>
        </is>
      </c>
      <c r="C11" s="6" t="n">
        <v>5</v>
      </c>
      <c r="D11" s="6" t="n"/>
      <c r="E11" s="6" t="n"/>
      <c r="F11" s="7">
        <f>IF(COUNT(C11:E11)&lt;3,"",C11+E11-D11)</f>
        <v/>
      </c>
      <c r="G11" s="5" t="n"/>
      <c r="H11" s="6" t="n"/>
    </row>
    <row r="12">
      <c r="A12" s="7" t="inlineStr">
        <is>
          <t>Mountain</t>
        </is>
      </c>
      <c r="B12" s="7" t="inlineStr">
        <is>
          <t>Rio de Janeiro</t>
        </is>
      </c>
      <c r="C12" s="6" t="n"/>
      <c r="D12" s="6" t="n"/>
      <c r="E12" s="6" t="n"/>
      <c r="F12" s="7">
        <f>IF(COUNT(C12:E12)&lt;3,"",C12+E12-D12)</f>
        <v/>
      </c>
      <c r="G12" s="5" t="n"/>
      <c r="H12" s="6" t="n"/>
    </row>
    <row r="13">
      <c r="A13" s="7" t="inlineStr">
        <is>
          <t>Mountain</t>
        </is>
      </c>
      <c r="B13" s="7" t="inlineStr">
        <is>
          <t>Bangalore</t>
        </is>
      </c>
      <c r="C13" s="6" t="n"/>
      <c r="D13" s="6" t="n"/>
      <c r="E13" s="6" t="n"/>
      <c r="F13" s="7">
        <f>IF(COUNT(C13:E13)&lt;3,"",C13+E13-D13)</f>
        <v/>
      </c>
      <c r="G13" s="5" t="n"/>
      <c r="H13" s="6" t="n"/>
    </row>
    <row r="14">
      <c r="A14" s="7" t="inlineStr">
        <is>
          <t>Mountain</t>
        </is>
      </c>
      <c r="B14" s="7" t="inlineStr">
        <is>
          <t>Web</t>
        </is>
      </c>
      <c r="C14" s="6" t="n">
        <v>5</v>
      </c>
      <c r="D14" s="6" t="n"/>
      <c r="E14" s="6" t="n"/>
      <c r="F14" s="7">
        <f>IF(COUNT(C14:E14)&lt;3,"",C14+E14-D14)</f>
        <v/>
      </c>
      <c r="G14" s="5" t="n"/>
      <c r="H14" s="6" t="n"/>
    </row>
    <row r="15">
      <c r="A15" s="7" t="inlineStr">
        <is>
          <t>Speed</t>
        </is>
      </c>
      <c r="B15" s="7" t="inlineStr">
        <is>
          <t>New York</t>
        </is>
      </c>
      <c r="C15" s="6" t="n"/>
      <c r="D15" s="6" t="n"/>
      <c r="E15" s="6" t="n"/>
      <c r="F15" s="7">
        <f>IF(COUNT(C15:E15)&lt;3,"",C15+E15-D15)</f>
        <v/>
      </c>
      <c r="G15" s="5" t="n"/>
      <c r="H15" s="6" t="n"/>
    </row>
    <row r="16">
      <c r="A16" s="7" t="inlineStr">
        <is>
          <t>Speed</t>
        </is>
      </c>
      <c r="B16" s="7" t="inlineStr">
        <is>
          <t>Amsterdam</t>
        </is>
      </c>
      <c r="C16" s="6" t="n"/>
      <c r="D16" s="6" t="n"/>
      <c r="E16" s="6" t="n"/>
      <c r="F16" s="7">
        <f>IF(COUNT(C16:E16)&lt;3,"",C16+E16-D16)</f>
        <v/>
      </c>
      <c r="G16" s="5" t="n"/>
      <c r="H16" s="6" t="n"/>
    </row>
    <row r="17">
      <c r="A17" s="7" t="inlineStr">
        <is>
          <t>Speed</t>
        </is>
      </c>
      <c r="B17" s="7" t="inlineStr">
        <is>
          <t>Rio de Janeiro</t>
        </is>
      </c>
      <c r="C17" s="6" t="n"/>
      <c r="D17" s="6" t="n"/>
      <c r="E17" s="6" t="n"/>
      <c r="F17" s="7">
        <f>IF(COUNT(C17:E17)&lt;3,"",C17+E17-D17)</f>
        <v/>
      </c>
      <c r="G17" s="5" t="n"/>
      <c r="H17" s="6" t="n"/>
    </row>
    <row r="18">
      <c r="A18" s="7" t="inlineStr">
        <is>
          <t>Speed</t>
        </is>
      </c>
      <c r="B18" s="7" t="inlineStr">
        <is>
          <t>Bangalore</t>
        </is>
      </c>
      <c r="C18" s="6" t="n"/>
      <c r="D18" s="6" t="n"/>
      <c r="E18" s="6" t="n"/>
      <c r="F18" s="7">
        <f>IF(COUNT(C18:E18)&lt;3,"",C18+E18-D18)</f>
        <v/>
      </c>
      <c r="G18" s="5" t="n"/>
      <c r="H18" s="6" t="n"/>
    </row>
    <row r="19">
      <c r="A19" s="7" t="inlineStr">
        <is>
          <t>Speed</t>
        </is>
      </c>
      <c r="B19" s="7" t="inlineStr">
        <is>
          <t>Web</t>
        </is>
      </c>
      <c r="C19" s="6" t="n"/>
      <c r="D19" s="6" t="n"/>
      <c r="E19" s="6" t="n"/>
      <c r="F19" s="7">
        <f>IF(COUNT(C19:E19)&lt;3,"",C19+E19-D19)</f>
        <v/>
      </c>
      <c r="G19" s="5" t="n"/>
      <c r="H19" s="6" t="n"/>
    </row>
  </sheetData>
  <dataValidations count="1">
    <dataValidation sqref="C5:E19" showDropDown="0" showInputMessage="0" showErrorMessage="0" allowBlank="1" errorTitle="Invalid score" error="Enter 1–5" type="whole">
      <formula1>1</formula1>
      <formula2>5</formula2>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4.5"/>
  <cols>
    <col width="18" customWidth="1" style="146" min="1" max="1"/>
    <col width="10" customWidth="1" style="146" min="2" max="2"/>
    <col width="16" customWidth="1" style="146" min="3" max="3"/>
    <col width="18" customWidth="1" style="146" min="4" max="4"/>
    <col width="22" customWidth="1" style="146" min="5" max="5"/>
    <col width="20" customWidth="1" style="146" min="6" max="6"/>
    <col width="14" customWidth="1" style="146" min="7" max="7"/>
    <col width="18" customWidth="1" style="146" min="8" max="8"/>
    <col width="28" customWidth="1" style="146" min="9" max="10"/>
  </cols>
  <sheetData>
    <row r="1" ht="18.5" customHeight="1" s="146">
      <c r="A1" s="4" t="inlineStr">
        <is>
          <t>Competitor (Classmate) Tracker</t>
        </is>
      </c>
    </row>
    <row r="2">
      <c r="A2" s="1" t="inlineStr">
        <is>
          <t>Q2+: enter firm names and metrics from results / purchased research. Competitor-first buy priority.</t>
        </is>
      </c>
    </row>
    <row r="4" ht="29" customHeight="1" s="146">
      <c r="A4" s="2" t="inlineStr">
        <is>
          <t>Firm</t>
        </is>
      </c>
      <c r="B4" s="2" t="inlineStr">
        <is>
          <t>Quarter</t>
        </is>
      </c>
      <c r="C4" s="2" t="inlineStr">
        <is>
          <t>Segments</t>
        </is>
      </c>
      <c r="D4" s="2" t="inlineStr">
        <is>
          <t>Cities / Web</t>
        </is>
      </c>
      <c r="E4" s="2" t="inlineStr">
        <is>
          <t>Brand Judgment notes</t>
        </is>
      </c>
      <c r="F4" s="2" t="inlineStr">
        <is>
          <t>Ad Judgment notes</t>
        </is>
      </c>
      <c r="G4" s="2" t="inlineStr">
        <is>
          <t>Price posture</t>
        </is>
      </c>
      <c r="H4" s="2" t="inlineStr">
        <is>
          <t>Share / demand served</t>
        </is>
      </c>
      <c r="I4" s="2" t="inlineStr">
        <is>
          <t>Weakness / gap for us</t>
        </is>
      </c>
      <c r="J4" s="2" t="inlineStr">
        <is>
          <t>Our response</t>
        </is>
      </c>
    </row>
    <row r="5">
      <c r="A5" s="11" t="n"/>
      <c r="B5" s="11" t="n"/>
      <c r="C5" s="11" t="n"/>
      <c r="D5" s="11" t="n"/>
      <c r="E5" s="11" t="n"/>
      <c r="F5" s="11" t="n"/>
      <c r="G5" s="11" t="n"/>
      <c r="H5" s="11" t="n"/>
      <c r="I5" s="11" t="n"/>
      <c r="J5" s="11" t="n"/>
    </row>
    <row r="6">
      <c r="A6" s="11" t="n"/>
      <c r="B6" s="11" t="n"/>
      <c r="C6" s="11" t="n"/>
      <c r="D6" s="11" t="n"/>
      <c r="E6" s="11" t="n"/>
      <c r="F6" s="11" t="n"/>
      <c r="G6" s="11" t="n"/>
      <c r="H6" s="11" t="n"/>
      <c r="I6" s="11" t="n"/>
      <c r="J6" s="11" t="n"/>
    </row>
    <row r="7">
      <c r="A7" s="11" t="n"/>
      <c r="B7" s="11" t="n"/>
      <c r="C7" s="11" t="n"/>
      <c r="D7" s="11" t="n"/>
      <c r="E7" s="11" t="n"/>
      <c r="F7" s="11" t="n"/>
      <c r="G7" s="11" t="n"/>
      <c r="H7" s="11" t="n"/>
      <c r="I7" s="11" t="n"/>
      <c r="J7" s="11" t="n"/>
    </row>
    <row r="8">
      <c r="A8" s="11" t="n"/>
      <c r="B8" s="11" t="n"/>
      <c r="C8" s="11" t="n"/>
      <c r="D8" s="11" t="n"/>
      <c r="E8" s="11" t="n"/>
      <c r="F8" s="11" t="n"/>
      <c r="G8" s="11" t="n"/>
      <c r="H8" s="11" t="n"/>
      <c r="I8" s="11" t="n"/>
      <c r="J8" s="11" t="n"/>
    </row>
    <row r="9">
      <c r="A9" s="11" t="n"/>
      <c r="B9" s="11" t="n"/>
      <c r="C9" s="11" t="n"/>
      <c r="D9" s="11" t="n"/>
      <c r="E9" s="11" t="n"/>
      <c r="F9" s="11" t="n"/>
      <c r="G9" s="11" t="n"/>
      <c r="H9" s="11" t="n"/>
      <c r="I9" s="11" t="n"/>
      <c r="J9" s="11" t="n"/>
    </row>
    <row r="10">
      <c r="A10" s="11" t="n"/>
      <c r="B10" s="11" t="n"/>
      <c r="C10" s="11" t="n"/>
      <c r="D10" s="11" t="n"/>
      <c r="E10" s="11" t="n"/>
      <c r="F10" s="11" t="n"/>
      <c r="G10" s="11" t="n"/>
      <c r="H10" s="11" t="n"/>
      <c r="I10" s="11" t="n"/>
      <c r="J10" s="11" t="n"/>
    </row>
    <row r="11">
      <c r="A11" s="11" t="n"/>
      <c r="B11" s="11" t="n"/>
      <c r="C11" s="11" t="n"/>
      <c r="D11" s="11" t="n"/>
      <c r="E11" s="11" t="n"/>
      <c r="F11" s="11" t="n"/>
      <c r="G11" s="11" t="n"/>
      <c r="H11" s="11" t="n"/>
      <c r="I11" s="11" t="n"/>
      <c r="J11" s="11" t="n"/>
    </row>
    <row r="12">
      <c r="A12" s="11" t="n"/>
      <c r="B12" s="11" t="n"/>
      <c r="C12" s="11" t="n"/>
      <c r="D12" s="11" t="n"/>
      <c r="E12" s="11" t="n"/>
      <c r="F12" s="11" t="n"/>
      <c r="G12" s="11" t="n"/>
      <c r="H12" s="11" t="n"/>
      <c r="I12" s="11" t="n"/>
      <c r="J12" s="11" t="n"/>
    </row>
    <row r="13">
      <c r="A13" s="11" t="n"/>
      <c r="B13" s="11" t="n"/>
      <c r="C13" s="11" t="n"/>
      <c r="D13" s="11" t="n"/>
      <c r="E13" s="11" t="n"/>
      <c r="F13" s="11" t="n"/>
      <c r="G13" s="11" t="n"/>
      <c r="H13" s="11" t="n"/>
      <c r="I13" s="11" t="n"/>
      <c r="J13" s="11" t="n"/>
    </row>
    <row r="14">
      <c r="A14" s="11" t="n"/>
      <c r="B14" s="11" t="n"/>
      <c r="C14" s="11" t="n"/>
      <c r="D14" s="11" t="n"/>
      <c r="E14" s="11" t="n"/>
      <c r="F14" s="11" t="n"/>
      <c r="G14" s="11" t="n"/>
      <c r="H14" s="11" t="n"/>
      <c r="I14" s="11" t="n"/>
      <c r="J14" s="11" t="n"/>
    </row>
    <row r="15">
      <c r="A15" s="11" t="n"/>
      <c r="B15" s="11" t="n"/>
      <c r="C15" s="11" t="n"/>
      <c r="D15" s="11" t="n"/>
      <c r="E15" s="11" t="n"/>
      <c r="F15" s="11" t="n"/>
      <c r="G15" s="11" t="n"/>
      <c r="H15" s="11" t="n"/>
      <c r="I15" s="11" t="n"/>
      <c r="J15" s="11" t="n"/>
    </row>
    <row r="16">
      <c r="A16" s="11" t="n"/>
      <c r="B16" s="11" t="n"/>
      <c r="C16" s="11" t="n"/>
      <c r="D16" s="11" t="n"/>
      <c r="E16" s="11" t="n"/>
      <c r="F16" s="11" t="n"/>
      <c r="G16" s="11" t="n"/>
      <c r="H16" s="11" t="n"/>
      <c r="I16" s="11" t="n"/>
      <c r="J16" s="11" t="n"/>
    </row>
    <row r="17">
      <c r="A17" s="11" t="n"/>
      <c r="B17" s="11" t="n"/>
      <c r="C17" s="11" t="n"/>
      <c r="D17" s="11" t="n"/>
      <c r="E17" s="11" t="n"/>
      <c r="F17" s="11" t="n"/>
      <c r="G17" s="11" t="n"/>
      <c r="H17" s="11" t="n"/>
      <c r="I17" s="11" t="n"/>
      <c r="J17" s="11" t="n"/>
    </row>
    <row r="18">
      <c r="A18" s="11" t="n"/>
      <c r="B18" s="11" t="n"/>
      <c r="C18" s="11" t="n"/>
      <c r="D18" s="11" t="n"/>
      <c r="E18" s="11" t="n"/>
      <c r="F18" s="11" t="n"/>
      <c r="G18" s="11" t="n"/>
      <c r="H18" s="11" t="n"/>
      <c r="I18" s="11" t="n"/>
      <c r="J18" s="11" t="n"/>
    </row>
    <row r="19">
      <c r="A19" s="11" t="n"/>
      <c r="B19" s="11" t="n"/>
      <c r="C19" s="11" t="n"/>
      <c r="D19" s="11" t="n"/>
      <c r="E19" s="11" t="n"/>
      <c r="F19" s="11" t="n"/>
      <c r="G19" s="11" t="n"/>
      <c r="H19" s="11" t="n"/>
      <c r="I19" s="11" t="n"/>
      <c r="J19" s="11" t="n"/>
    </row>
    <row r="20">
      <c r="A20" s="11" t="n"/>
      <c r="B20" s="11" t="n"/>
      <c r="C20" s="11" t="n"/>
      <c r="D20" s="11" t="n"/>
      <c r="E20" s="11" t="n"/>
      <c r="F20" s="11" t="n"/>
      <c r="G20" s="11" t="n"/>
      <c r="H20" s="11" t="n"/>
      <c r="I20" s="11" t="n"/>
      <c r="J20" s="11" t="n"/>
    </row>
    <row r="21">
      <c r="A21" s="11" t="n"/>
      <c r="B21" s="11" t="n"/>
      <c r="C21" s="11" t="n"/>
      <c r="D21" s="11" t="n"/>
      <c r="E21" s="11" t="n"/>
      <c r="F21" s="11" t="n"/>
      <c r="G21" s="11" t="n"/>
      <c r="H21" s="11" t="n"/>
      <c r="I21" s="11" t="n"/>
      <c r="J21" s="11" t="n"/>
    </row>
    <row r="22">
      <c r="A22" s="11" t="n"/>
      <c r="B22" s="11" t="n"/>
      <c r="C22" s="11" t="n"/>
      <c r="D22" s="11" t="n"/>
      <c r="E22" s="11" t="n"/>
      <c r="F22" s="11" t="n"/>
      <c r="G22" s="11" t="n"/>
      <c r="H22" s="11" t="n"/>
      <c r="I22" s="11" t="n"/>
      <c r="J22" s="11" t="n"/>
    </row>
    <row r="23">
      <c r="A23" s="11" t="n"/>
      <c r="B23" s="11" t="n"/>
      <c r="C23" s="11" t="n"/>
      <c r="D23" s="11" t="n"/>
      <c r="E23" s="11" t="n"/>
      <c r="F23" s="11" t="n"/>
      <c r="G23" s="11" t="n"/>
      <c r="H23" s="11" t="n"/>
      <c r="I23" s="11" t="n"/>
      <c r="J23" s="11" t="n"/>
    </row>
    <row r="24">
      <c r="A24" s="11" t="n"/>
      <c r="B24" s="11" t="n"/>
      <c r="C24" s="11" t="n"/>
      <c r="D24" s="11" t="n"/>
      <c r="E24" s="11" t="n"/>
      <c r="F24" s="11" t="n"/>
      <c r="G24" s="11" t="n"/>
      <c r="H24" s="11" t="n"/>
      <c r="I24" s="11" t="n"/>
      <c r="J24" s="11" t="n"/>
    </row>
    <row r="27">
      <c r="A27" s="14" t="inlineStr">
        <is>
          <t>Research purchase log (competitor-first)</t>
        </is>
      </c>
    </row>
    <row r="28" ht="29" customHeight="1" s="146">
      <c r="A28" s="2" t="inlineStr">
        <is>
          <t>Quarter</t>
        </is>
      </c>
      <c r="B28" s="2" t="inlineStr">
        <is>
          <t>Report bought</t>
        </is>
      </c>
      <c r="C28" s="2" t="inlineStr">
        <is>
          <t>Cost</t>
        </is>
      </c>
      <c r="D28" s="2" t="inlineStr">
        <is>
          <t>Key competitor insight</t>
        </is>
      </c>
      <c r="E28" s="2" t="inlineStr">
        <is>
          <t>Action</t>
        </is>
      </c>
    </row>
    <row r="29">
      <c r="A29" s="11" t="n"/>
      <c r="B29" s="11" t="n"/>
      <c r="C29" s="11" t="n"/>
      <c r="D29" s="11" t="n"/>
      <c r="E29" s="11" t="n"/>
    </row>
    <row r="30">
      <c r="A30" s="11" t="n"/>
      <c r="B30" s="11" t="n"/>
      <c r="C30" s="11" t="n"/>
      <c r="D30" s="11" t="n"/>
      <c r="E30" s="11" t="n"/>
    </row>
    <row r="31">
      <c r="A31" s="11" t="n"/>
      <c r="B31" s="11" t="n"/>
      <c r="C31" s="11" t="n"/>
      <c r="D31" s="11" t="n"/>
      <c r="E31" s="11" t="n"/>
    </row>
    <row r="32">
      <c r="A32" s="11" t="n"/>
      <c r="B32" s="11" t="n"/>
      <c r="C32" s="11" t="n"/>
      <c r="D32" s="11" t="n"/>
      <c r="E32" s="11" t="n"/>
    </row>
    <row r="33">
      <c r="A33" s="11" t="n"/>
      <c r="B33" s="11" t="n"/>
      <c r="C33" s="11" t="n"/>
      <c r="D33" s="11" t="n"/>
      <c r="E33" s="11" t="n"/>
    </row>
    <row r="34">
      <c r="A34" s="11" t="n"/>
      <c r="B34" s="11" t="n"/>
      <c r="C34" s="11" t="n"/>
      <c r="D34" s="11" t="n"/>
      <c r="E34" s="11" t="n"/>
    </row>
    <row r="35">
      <c r="A35" s="11" t="n"/>
      <c r="B35" s="11" t="n"/>
      <c r="C35" s="11" t="n"/>
      <c r="D35" s="11" t="n"/>
      <c r="E35" s="11"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159"/>
  <sheetViews>
    <sheetView tabSelected="1" topLeftCell="A31" zoomScale="115" zoomScaleNormal="115" workbookViewId="0">
      <selection activeCell="B41" sqref="B41"/>
    </sheetView>
  </sheetViews>
  <sheetFormatPr baseColWidth="8" defaultRowHeight="14.5"/>
  <cols>
    <col width="47.7265625" customWidth="1" style="146" min="1" max="1"/>
    <col width="14" customWidth="1" style="146" min="2" max="2"/>
    <col width="12" customWidth="1" style="146" min="3" max="4"/>
    <col width="36" customWidth="1" style="146" min="5" max="5"/>
    <col width="18" customWidth="1" style="146" min="6" max="6"/>
    <col width="10" customWidth="1" style="146" min="7" max="7"/>
    <col width="14" customWidth="1" style="146" min="8" max="8"/>
    <col width="12" customWidth="1" style="146" min="9" max="10"/>
  </cols>
  <sheetData>
    <row r="1" ht="18.5" customHeight="1" s="146">
      <c r="A1" s="67" t="inlineStr">
        <is>
          <t>Compensation &amp; Productivity Planner (Q2)</t>
        </is>
      </c>
    </row>
    <row r="2">
      <c r="A2" s="35" t="inlineStr">
        <is>
          <t>Team goal: pay ABOVE average. Set OUR planning weights (F68:F71); Score mode B73 = Our|Industry. History + charts track changes over quarters. Detail: compensation-background.md</t>
        </is>
      </c>
    </row>
    <row r="3">
      <c r="A3" t="inlineStr">
        <is>
          <t>Projected productivity starts ~70%. Last-quarter industry averages appear from Q3. Yellow = our decisions (not locked).</t>
        </is>
      </c>
    </row>
    <row r="4">
      <c r="A4" s="43" t="inlineStr">
        <is>
          <t>Sales people</t>
        </is>
      </c>
    </row>
    <row r="5" ht="58" customHeight="1" s="146">
      <c r="A5" s="29" t="inlineStr">
        <is>
          <t>Component</t>
        </is>
      </c>
      <c r="B5" s="29" t="inlineStr">
        <is>
          <t>Industry setting</t>
        </is>
      </c>
      <c r="C5" s="29" t="inlineStr">
        <is>
          <t>Cost</t>
        </is>
      </c>
      <c r="D5" s="29" t="inlineStr">
        <is>
          <t>Importance of further improvement</t>
        </is>
      </c>
    </row>
    <row r="6">
      <c r="A6" s="31" t="inlineStr">
        <is>
          <t>Salary</t>
        </is>
      </c>
      <c r="B6" s="31" t="n">
        <v>17000</v>
      </c>
      <c r="C6" s="31" t="n">
        <v>17000</v>
      </c>
      <c r="D6" s="31" t="n">
        <v>87</v>
      </c>
    </row>
    <row r="7">
      <c r="A7" s="31" t="inlineStr">
        <is>
          <t>Health benefits</t>
        </is>
      </c>
      <c r="B7" s="31" t="inlineStr">
        <is>
          <t>Minimum</t>
        </is>
      </c>
      <c r="C7" s="31" t="n">
        <v>1700</v>
      </c>
      <c r="D7" s="31" t="n">
        <v>84</v>
      </c>
    </row>
    <row r="8">
      <c r="A8" s="31" t="inlineStr">
        <is>
          <t>Vacation</t>
        </is>
      </c>
      <c r="B8" s="31" t="inlineStr">
        <is>
          <t>1 week</t>
        </is>
      </c>
      <c r="C8" s="31" t="n">
        <v>440</v>
      </c>
      <c r="D8" s="31" t="n">
        <v>72</v>
      </c>
    </row>
    <row r="9">
      <c r="A9" s="31" t="inlineStr">
        <is>
          <t>Pension</t>
        </is>
      </c>
      <c r="B9" s="31" t="inlineStr">
        <is>
          <t>1%</t>
        </is>
      </c>
      <c r="C9" s="31" t="n">
        <v>170</v>
      </c>
      <c r="D9" s="31" t="n">
        <v>70</v>
      </c>
    </row>
    <row r="10">
      <c r="A10" s="44" t="inlineStr">
        <is>
          <t>TOTAL yearly cost</t>
        </is>
      </c>
      <c r="B10" s="44" t="n"/>
      <c r="C10" s="44" t="n">
        <v>19310</v>
      </c>
      <c r="D10" s="44" t="n"/>
    </row>
    <row r="13">
      <c r="A13" s="43" t="inlineStr">
        <is>
          <t>Production workers</t>
        </is>
      </c>
    </row>
    <row r="14" ht="58" customHeight="1" s="146">
      <c r="A14" s="29" t="inlineStr">
        <is>
          <t>Component</t>
        </is>
      </c>
      <c r="B14" s="29" t="inlineStr">
        <is>
          <t>Industry setting</t>
        </is>
      </c>
      <c r="C14" s="29" t="inlineStr">
        <is>
          <t>Cost</t>
        </is>
      </c>
      <c r="D14" s="29" t="inlineStr">
        <is>
          <t>Importance of further improvement</t>
        </is>
      </c>
    </row>
    <row r="15">
      <c r="A15" s="31" t="inlineStr">
        <is>
          <t>Salary</t>
        </is>
      </c>
      <c r="B15" s="31" t="n">
        <v>14000</v>
      </c>
      <c r="C15" s="31" t="n">
        <v>14000</v>
      </c>
      <c r="D15" s="31" t="n">
        <v>87</v>
      </c>
    </row>
    <row r="16">
      <c r="A16" s="31" t="inlineStr">
        <is>
          <t>Health benefits</t>
        </is>
      </c>
      <c r="B16" s="31" t="inlineStr">
        <is>
          <t>Minimum</t>
        </is>
      </c>
      <c r="C16" s="31" t="n">
        <v>1400</v>
      </c>
      <c r="D16" s="31" t="n">
        <v>84</v>
      </c>
    </row>
    <row r="17">
      <c r="A17" s="31" t="inlineStr">
        <is>
          <t>Vacation</t>
        </is>
      </c>
      <c r="B17" s="31" t="inlineStr">
        <is>
          <t>1 week</t>
        </is>
      </c>
      <c r="C17" s="31" t="n">
        <v>363</v>
      </c>
      <c r="D17" s="31" t="n">
        <v>72</v>
      </c>
    </row>
    <row r="18">
      <c r="A18" s="31" t="inlineStr">
        <is>
          <t>Pension</t>
        </is>
      </c>
      <c r="B18" s="31" t="inlineStr">
        <is>
          <t>2%</t>
        </is>
      </c>
      <c r="C18" s="31" t="n">
        <v>280</v>
      </c>
      <c r="D18" s="31" t="n">
        <v>70</v>
      </c>
    </row>
    <row r="19">
      <c r="A19" s="44" t="inlineStr">
        <is>
          <t>TOTAL yearly cost</t>
        </is>
      </c>
      <c r="B19" s="44" t="n"/>
      <c r="C19" s="44" t="n">
        <v>16043</v>
      </c>
      <c r="D19" s="44" t="n"/>
    </row>
    <row r="22">
      <c r="A22" s="64" t="inlineStr">
        <is>
          <t>Benefit cost menus — Sales (Workspace)</t>
        </is>
      </c>
    </row>
    <row r="23" ht="29" customHeight="1" s="146">
      <c r="A23" s="77" t="inlineStr">
        <is>
          <t>Health tier</t>
        </is>
      </c>
      <c r="B23" s="77" t="inlineStr">
        <is>
          <t>Cost</t>
        </is>
      </c>
      <c r="C23" s="77" t="inlineStr">
        <is>
          <t>Vacation weeks</t>
        </is>
      </c>
      <c r="D23" s="77" t="inlineStr">
        <is>
          <t>Cost</t>
        </is>
      </c>
      <c r="E23" s="29" t="inlineStr">
        <is>
          <t>Pension</t>
        </is>
      </c>
      <c r="F23" s="29" t="inlineStr">
        <is>
          <t>Total cost</t>
        </is>
      </c>
      <c r="G23" s="29" t="inlineStr">
        <is>
          <t>vs Industry</t>
        </is>
      </c>
    </row>
    <row r="24">
      <c r="A24" s="75" t="inlineStr">
        <is>
          <t>No health benefits</t>
        </is>
      </c>
      <c r="B24" s="78" t="n">
        <v>0</v>
      </c>
      <c r="C24" s="79" t="n">
        <v>0</v>
      </c>
      <c r="D24" s="78" t="n">
        <v>0</v>
      </c>
      <c r="E24" s="42" t="n"/>
      <c r="F24" s="42" t="n"/>
      <c r="G24" s="42" t="n"/>
    </row>
    <row r="25">
      <c r="A25" s="75" t="inlineStr">
        <is>
          <t>Minimum</t>
        </is>
      </c>
      <c r="B25" s="78" t="n">
        <v>1700</v>
      </c>
      <c r="C25" s="79" t="n">
        <v>1</v>
      </c>
      <c r="D25" s="78" t="n">
        <v>440</v>
      </c>
      <c r="E25" s="42" t="n"/>
      <c r="F25" s="42" t="n"/>
      <c r="G25" s="42" t="n"/>
    </row>
    <row r="26">
      <c r="A26" s="75" t="inlineStr">
        <is>
          <t>Expanded</t>
        </is>
      </c>
      <c r="B26" s="70" t="n">
        <v>2550</v>
      </c>
      <c r="C26" s="75" t="n">
        <v>2</v>
      </c>
      <c r="D26" s="70" t="n">
        <v>944</v>
      </c>
    </row>
    <row r="27">
      <c r="A27" s="75" t="inlineStr">
        <is>
          <t>Full coverage</t>
        </is>
      </c>
      <c r="B27" s="70" t="n">
        <v>3740</v>
      </c>
      <c r="C27" s="75" t="n">
        <v>3</v>
      </c>
      <c r="D27" s="70" t="n">
        <v>1475</v>
      </c>
    </row>
    <row r="28">
      <c r="A28" s="75" t="inlineStr">
        <is>
          <t>Comprehensive</t>
        </is>
      </c>
      <c r="B28" s="70" t="n">
        <v>5610</v>
      </c>
      <c r="C28" s="75" t="n">
        <v>4</v>
      </c>
      <c r="D28" s="70" t="n">
        <v>2024</v>
      </c>
    </row>
    <row r="29">
      <c r="C29" s="75" t="n">
        <v>5</v>
      </c>
      <c r="D29" s="70" t="n">
        <v>2587</v>
      </c>
    </row>
    <row r="30">
      <c r="C30" s="75" t="n">
        <v>6</v>
      </c>
      <c r="D30" s="70" t="n">
        <v>3161</v>
      </c>
    </row>
    <row r="31">
      <c r="C31" s="75" t="n">
        <v>7</v>
      </c>
      <c r="D31" s="70" t="n">
        <v>3745</v>
      </c>
    </row>
    <row r="33">
      <c r="A33" t="inlineStr">
        <is>
          <t>Note: Production health/vacation $ may differ — confirm in Workspace (Q1 ind. Min health $1,400 / 1 wk $363).</t>
        </is>
      </c>
    </row>
    <row r="34">
      <c r="A34" t="inlineStr">
        <is>
          <t>Pension cost = Salary × (Pension % / 100). Salary $ = cost $.</t>
        </is>
      </c>
    </row>
    <row r="36">
      <c r="A36" s="64" t="inlineStr">
        <is>
          <t>OUR SALES PACKAGE (interactive — yellow)</t>
        </is>
      </c>
    </row>
    <row r="37">
      <c r="A37" s="68" t="inlineStr">
        <is>
          <t>Metric</t>
        </is>
      </c>
      <c r="B37" s="68" t="inlineStr">
        <is>
          <t>Our choice</t>
        </is>
      </c>
      <c r="C37" s="68" t="inlineStr">
        <is>
          <t>Cost $</t>
        </is>
      </c>
      <c r="D37" s="68" t="inlineStr">
        <is>
          <t>Industry</t>
        </is>
      </c>
      <c r="E37" s="68" t="inlineStr">
        <is>
          <t>vs Industry $</t>
        </is>
      </c>
      <c r="F37" s="68" t="inlineStr">
        <is>
          <t>Importance</t>
        </is>
      </c>
    </row>
    <row r="38">
      <c r="A38" t="inlineStr">
        <is>
          <t>Annual salary</t>
        </is>
      </c>
      <c r="B38" s="158" t="n">
        <v>19000</v>
      </c>
      <c r="C38" s="71">
        <f>IF(B38="","",B38)</f>
        <v/>
      </c>
      <c r="D38" s="71" t="n">
        <v>17000</v>
      </c>
      <c r="E38" s="71">
        <f>IF(C38="","",C38-D38)</f>
        <v/>
      </c>
      <c r="F38" t="n">
        <v>87</v>
      </c>
    </row>
    <row r="39">
      <c r="A39" t="inlineStr">
        <is>
          <t>Health (type tier name or paste cost)</t>
        </is>
      </c>
      <c r="B39" s="159" t="inlineStr">
        <is>
          <t>Full coverage</t>
        </is>
      </c>
      <c r="C39" s="158" t="n">
        <v>4180</v>
      </c>
      <c r="D39" s="71" t="n">
        <v>1700</v>
      </c>
      <c r="E39" s="71">
        <f>IF(C39="","",C39-D39)</f>
        <v/>
      </c>
      <c r="F39" t="n">
        <v>84</v>
      </c>
    </row>
    <row r="40">
      <c r="A40" t="inlineStr">
        <is>
          <t>Vacation weeks</t>
        </is>
      </c>
      <c r="B40" s="159" t="n">
        <v>2</v>
      </c>
      <c r="C40" s="158" t="n">
        <v>1055</v>
      </c>
      <c r="D40" s="71" t="n">
        <v>440</v>
      </c>
      <c r="E40" s="71">
        <f>IF(C40="","",C40-D40)</f>
        <v/>
      </c>
      <c r="F40" t="n">
        <v>72</v>
      </c>
    </row>
    <row r="41">
      <c r="A41" t="inlineStr">
        <is>
          <t>Pension %</t>
        </is>
      </c>
      <c r="B41" s="160" t="n">
        <v>1</v>
      </c>
      <c r="C41" s="71">
        <f>IF(OR(B38="",B41=""),"",B38*B41/100)</f>
        <v/>
      </c>
      <c r="D41" s="71" t="n">
        <v>170</v>
      </c>
      <c r="E41" s="71">
        <f>IF(C41="","",C41-D41)</f>
        <v/>
      </c>
      <c r="F41" t="n">
        <v>70</v>
      </c>
    </row>
    <row r="42">
      <c r="A42" s="81" t="inlineStr">
        <is>
          <t>TOTAL yearly cost / person</t>
        </is>
      </c>
      <c r="C42" s="82">
        <f>IF(COUNT(C38:C41)&lt;1,"",SUM(C38:C41))</f>
        <v/>
      </c>
      <c r="D42" s="71" t="n">
        <v>19310</v>
      </c>
      <c r="E42" s="83">
        <f>IF(C42="","",C42-D42)</f>
        <v/>
      </c>
    </row>
    <row r="43">
      <c r="A43" t="inlineStr">
        <is>
          <t>Estimated sales productivity %</t>
        </is>
      </c>
      <c r="B43" s="161" t="n">
        <v>0.85</v>
      </c>
      <c r="C43" t="inlineStr">
        <is>
          <t>LOCKED Q2 — World Market / sales force; productivity 85%</t>
        </is>
      </c>
    </row>
    <row r="44">
      <c r="A44" t="inlineStr">
        <is>
          <t>Above industry total?</t>
        </is>
      </c>
      <c r="B44">
        <f>IF(C42="","",IF(C42&gt;D42,"YES — goal direction","NO — below/at industry"))</f>
        <v/>
      </c>
    </row>
    <row r="46">
      <c r="A46" s="64" t="inlineStr">
        <is>
          <t>OUR PRODUCTION PACKAGE (interactive — yellow)</t>
        </is>
      </c>
    </row>
    <row r="47">
      <c r="A47" s="68" t="inlineStr">
        <is>
          <t>Metric</t>
        </is>
      </c>
      <c r="B47" s="68" t="inlineStr">
        <is>
          <t>Our choice</t>
        </is>
      </c>
      <c r="C47" s="68" t="inlineStr">
        <is>
          <t>Cost $</t>
        </is>
      </c>
      <c r="D47" s="68" t="inlineStr">
        <is>
          <t>Industry</t>
        </is>
      </c>
      <c r="E47" s="68" t="inlineStr">
        <is>
          <t>vs Industry $</t>
        </is>
      </c>
      <c r="F47" s="68" t="inlineStr">
        <is>
          <t>Importance</t>
        </is>
      </c>
    </row>
    <row r="48">
      <c r="A48" t="inlineStr">
        <is>
          <t>Annual salary</t>
        </is>
      </c>
      <c r="B48" s="158" t="n">
        <v>16800</v>
      </c>
      <c r="C48" s="71">
        <f>IF(B48="","",B48)</f>
        <v/>
      </c>
      <c r="D48" s="71" t="n">
        <v>14000</v>
      </c>
      <c r="E48" s="71">
        <f>IF(C48="","",C48-D48)</f>
        <v/>
      </c>
      <c r="F48" t="n">
        <v>87</v>
      </c>
    </row>
    <row r="49">
      <c r="A49" t="inlineStr">
        <is>
          <t>Health cost (paste from Workspace)</t>
        </is>
      </c>
      <c r="B49" s="159" t="inlineStr">
        <is>
          <t>Expanded coverage</t>
        </is>
      </c>
      <c r="C49" s="158" t="n">
        <v>2520</v>
      </c>
      <c r="D49" s="71" t="n">
        <v>1400</v>
      </c>
      <c r="E49" s="71">
        <f>IF(C49="","",C49-D49)</f>
        <v/>
      </c>
      <c r="F49" t="n">
        <v>84</v>
      </c>
    </row>
    <row r="50">
      <c r="A50" t="inlineStr">
        <is>
          <t>Vacation weeks / cost</t>
        </is>
      </c>
      <c r="B50" s="159" t="n">
        <v>2</v>
      </c>
      <c r="C50" s="158" t="n">
        <v>933</v>
      </c>
      <c r="D50" s="71" t="n">
        <v>363</v>
      </c>
      <c r="E50" s="71">
        <f>IF(C50="","",C50-D50)</f>
        <v/>
      </c>
      <c r="F50" t="n">
        <v>72</v>
      </c>
    </row>
    <row r="51">
      <c r="A51" t="inlineStr">
        <is>
          <t>Pension %</t>
        </is>
      </c>
      <c r="B51" s="160" t="n">
        <v>3</v>
      </c>
      <c r="C51" s="71">
        <f>IF(OR(B48="",B51=""),"",B48*B51/100)</f>
        <v/>
      </c>
      <c r="D51" s="71" t="n">
        <v>280</v>
      </c>
      <c r="E51" s="71">
        <f>IF(C51="","",C51-D51)</f>
        <v/>
      </c>
      <c r="F51" t="n">
        <v>70</v>
      </c>
    </row>
    <row r="52">
      <c r="A52" s="81" t="inlineStr">
        <is>
          <t>TOTAL yearly cost / person</t>
        </is>
      </c>
      <c r="C52" s="82">
        <f>IF(COUNT(C48:C51)&lt;1,"",SUM(C48:C51))</f>
        <v/>
      </c>
      <c r="D52" s="71" t="n">
        <v>16043</v>
      </c>
      <c r="E52" s="83">
        <f>IF(C52="","",C52-D52)</f>
        <v/>
      </c>
    </row>
    <row r="53">
      <c r="A53" t="inlineStr">
        <is>
          <t>Estimated production productivity %</t>
        </is>
      </c>
      <c r="B53" s="161" t="n">
        <v>0.85</v>
      </c>
      <c r="C53" t="inlineStr">
        <is>
          <t>LOCKED Q2 — World Market / production; productivity 85% → Manufacturing!B30</t>
        </is>
      </c>
    </row>
    <row r="54">
      <c r="A54" t="inlineStr">
        <is>
          <t>Above industry total?</t>
        </is>
      </c>
      <c r="B54">
        <f>IF(C52="","",IF(C52&gt;D52,"YES — goal direction","NO — below/at industry"))</f>
        <v/>
      </c>
    </row>
    <row r="55">
      <c r="A55" t="inlineStr">
        <is>
          <t>Link tip</t>
        </is>
      </c>
      <c r="B55" t="inlineStr">
        <is>
          <t>When production productivity is set, copy to Manufacturing worker productivity (OC pad).</t>
        </is>
      </c>
    </row>
    <row r="57">
      <c r="A57" s="64" t="inlineStr">
        <is>
          <t>Scenario scratch (optional what-ifs)</t>
        </is>
      </c>
    </row>
    <row r="58">
      <c r="A58" s="68" t="inlineStr">
        <is>
          <t>Scenario name</t>
        </is>
      </c>
      <c r="B58" s="68" t="inlineStr">
        <is>
          <t>Role</t>
        </is>
      </c>
      <c r="C58" s="68" t="inlineStr">
        <is>
          <t>Total $/person</t>
        </is>
      </c>
      <c r="D58" s="68" t="inlineStr">
        <is>
          <t>Est. productivity %</t>
        </is>
      </c>
      <c r="E58" s="68" t="inlineStr">
        <is>
          <t>$ per productivity point</t>
        </is>
      </c>
      <c r="F58" s="68" t="inlineStr">
        <is>
          <t>Notes</t>
        </is>
      </c>
    </row>
    <row r="59">
      <c r="A59" s="72" t="n"/>
      <c r="B59" s="72" t="n"/>
      <c r="C59" s="72" t="n"/>
      <c r="D59" s="72" t="n"/>
      <c r="E59" s="72">
        <f>IF(OR(C59="",D59="",D59=0),"",C59/(D59*100))</f>
        <v/>
      </c>
      <c r="F59" s="72" t="n"/>
    </row>
    <row r="60">
      <c r="A60" s="72" t="n"/>
      <c r="B60" s="72" t="n"/>
      <c r="C60" s="72" t="n"/>
      <c r="D60" s="72" t="n"/>
      <c r="E60" s="72">
        <f>IF(OR(C60="",D60="",D60=0),"",C60/(D60*100))</f>
        <v/>
      </c>
      <c r="F60" s="72" t="n"/>
    </row>
    <row r="61">
      <c r="A61" s="72" t="n"/>
      <c r="B61" s="72" t="n"/>
      <c r="C61" s="72" t="n"/>
      <c r="D61" s="72" t="n"/>
      <c r="E61" s="72">
        <f>IF(OR(C61="",D61="",D61=0),"",C61/(D61*100))</f>
        <v/>
      </c>
      <c r="F61" s="72" t="n"/>
    </row>
    <row r="62">
      <c r="A62" s="72" t="n"/>
      <c r="B62" s="72" t="n"/>
      <c r="C62" s="72" t="n"/>
      <c r="D62" s="72" t="n"/>
      <c r="E62" s="72">
        <f>IF(OR(C62="",D62="",D62=0),"",C62/(D62*100))</f>
        <v/>
      </c>
      <c r="F62" s="72" t="n"/>
    </row>
    <row r="63">
      <c r="A63" s="72" t="n"/>
      <c r="B63" s="72" t="n"/>
      <c r="C63" s="72" t="n"/>
      <c r="D63" s="72" t="n"/>
      <c r="E63" s="72">
        <f>IF(OR(C63="",D63="",D63=0),"",C63/(D63*100))</f>
        <v/>
      </c>
      <c r="F63" s="72" t="n"/>
    </row>
    <row r="65" ht="18.5" customHeight="1" s="146">
      <c r="A65" s="117" t="inlineStr">
        <is>
          <t>Importance Weights — Industry (Workspace) vs Our Planning Weights</t>
        </is>
      </c>
      <c r="B65" s="118" t="n"/>
      <c r="C65" s="118" t="n"/>
      <c r="D65" s="118" t="n"/>
      <c r="E65" s="118" t="n"/>
      <c r="F65" s="118" t="n"/>
      <c r="G65" s="118" t="n"/>
      <c r="H65" s="118" t="n"/>
      <c r="I65" s="118" t="n"/>
      <c r="J65" s="118" t="n"/>
      <c r="K65" s="118" t="n"/>
    </row>
    <row r="66">
      <c r="A66" t="inlineStr">
        <is>
          <t>Industry column = survey (locked reference). OUR PLANNING WEIGHTS (yellow) drive Value Index, budget split, and charts — edit anytime. Reset: copy Industry → Our. Score mode below chooses which set scores use.</t>
        </is>
      </c>
    </row>
    <row r="67">
      <c r="A67" s="119" t="inlineStr">
        <is>
          <t>Component</t>
        </is>
      </c>
      <c r="B67" s="119" t="inlineStr">
        <is>
          <t>Industry Importance</t>
        </is>
      </c>
      <c r="C67" s="119" t="inlineStr">
        <is>
          <t>Industry %</t>
        </is>
      </c>
      <c r="D67" s="119" t="inlineStr">
        <is>
          <t>Rank</t>
        </is>
      </c>
      <c r="E67" s="119" t="inlineStr">
        <is>
          <t>Implication</t>
        </is>
      </c>
      <c r="F67" s="119" t="inlineStr">
        <is>
          <t>OUR Planning Weight</t>
        </is>
      </c>
      <c r="G67" s="119" t="inlineStr">
        <is>
          <t>Our %</t>
        </is>
      </c>
      <c r="H67" s="119" t="inlineStr">
        <is>
          <t>Our − Industry</t>
        </is>
      </c>
    </row>
    <row r="68">
      <c r="A68" s="120" t="inlineStr">
        <is>
          <t>Salary</t>
        </is>
      </c>
      <c r="B68" s="121" t="n">
        <v>87</v>
      </c>
      <c r="C68" s="122">
        <f>B68/$B$72</f>
        <v/>
      </c>
      <c r="D68" s="120" t="n">
        <v>1</v>
      </c>
      <c r="E68" s="120" t="inlineStr">
        <is>
          <t>First dollars above industry — highest leverage</t>
        </is>
      </c>
      <c r="F68" s="133" t="n">
        <v>87</v>
      </c>
      <c r="G68" s="122">
        <f>IF($F$72=0,"",F68/$F$72)</f>
        <v/>
      </c>
      <c r="H68" s="120">
        <f>F68-B68</f>
        <v/>
      </c>
    </row>
    <row r="69">
      <c r="A69" s="120" t="inlineStr">
        <is>
          <t>Health Benefits</t>
        </is>
      </c>
      <c r="B69" s="121" t="n">
        <v>84</v>
      </c>
      <c r="C69" s="122">
        <f>B69/$B$72</f>
        <v/>
      </c>
      <c r="D69" s="120" t="n">
        <v>2</v>
      </c>
      <c r="E69" s="120" t="inlineStr">
        <is>
          <t>Second — almost as strong as salary</t>
        </is>
      </c>
      <c r="F69" s="133" t="n">
        <v>84</v>
      </c>
      <c r="G69" s="122">
        <f>IF($F$72=0,"",F69/$F$72)</f>
        <v/>
      </c>
      <c r="H69" s="120">
        <f>F69-B69</f>
        <v/>
      </c>
    </row>
    <row r="70">
      <c r="A70" s="120" t="inlineStr">
        <is>
          <t>Vacation</t>
        </is>
      </c>
      <c r="B70" s="121" t="n">
        <v>72</v>
      </c>
      <c r="C70" s="122">
        <f>B70/$B$72</f>
        <v/>
      </c>
      <c r="D70" s="120" t="n">
        <v>3</v>
      </c>
      <c r="E70" s="120" t="inlineStr">
        <is>
          <t>Third — meaningful but weaker $/point</t>
        </is>
      </c>
      <c r="F70" s="133" t="n">
        <v>72</v>
      </c>
      <c r="G70" s="122">
        <f>IF($F$72=0,"",F70/$F$72)</f>
        <v/>
      </c>
      <c r="H70" s="120">
        <f>F70-B70</f>
        <v/>
      </c>
    </row>
    <row r="71">
      <c r="A71" s="120" t="inlineStr">
        <is>
          <t>Pension</t>
        </is>
      </c>
      <c r="B71" s="121" t="n">
        <v>70</v>
      </c>
      <c r="C71" s="122">
        <f>B71/$B$72</f>
        <v/>
      </c>
      <c r="D71" s="120" t="n">
        <v>4</v>
      </c>
      <c r="E71" s="120" t="inlineStr">
        <is>
          <t>Fourth — still positive; finish after others</t>
        </is>
      </c>
      <c r="F71" s="133" t="n">
        <v>70</v>
      </c>
      <c r="G71" s="122">
        <f>IF($F$72=0,"",F71/$F$72)</f>
        <v/>
      </c>
      <c r="H71" s="120">
        <f>F71-B71</f>
        <v/>
      </c>
    </row>
    <row r="72">
      <c r="A72" t="inlineStr">
        <is>
          <t>Total Industry importance</t>
        </is>
      </c>
      <c r="B72" s="121">
        <f>SUM(B68:B71)</f>
        <v/>
      </c>
      <c r="C72" t="inlineStr">
        <is>
          <t>313 expected</t>
        </is>
      </c>
      <c r="E72" t="inlineStr">
        <is>
          <t>Total OUR planning weight</t>
        </is>
      </c>
      <c r="F72" s="123">
        <f>SUM(F68:F71)</f>
        <v/>
      </c>
      <c r="G72" t="inlineStr">
        <is>
          <t>Must be &gt; 0</t>
        </is>
      </c>
    </row>
    <row r="73">
      <c r="A73" t="inlineStr">
        <is>
          <t>Score / allocate using</t>
        </is>
      </c>
      <c r="B73" s="133" t="inlineStr">
        <is>
          <t>Our</t>
        </is>
      </c>
      <c r="C73" t="inlineStr">
        <is>
          <t>Type "Our" or "Industry" — Value Index &amp; budget split follow this choice</t>
        </is>
      </c>
    </row>
    <row r="74">
      <c r="A74" s="124" t="inlineStr">
        <is>
          <t>Active weight total (for formulas)</t>
        </is>
      </c>
      <c r="B74" s="137">
        <f>IF(UPPER(LEFT(B73,1))="I",$B$72,$F$72)</f>
        <v/>
      </c>
      <c r="C74" t="inlineStr">
        <is>
          <t>Salary active weight</t>
        </is>
      </c>
      <c r="D74">
        <f>IF(UPPER(LEFT(B73,1))="I",$B$68,$F$68)</f>
        <v/>
      </c>
      <c r="E74" t="inlineStr">
        <is>
          <t>Health</t>
        </is>
      </c>
      <c r="F74">
        <f>IF(UPPER(LEFT(B73,1))="I",$B$69,$F$69)</f>
        <v/>
      </c>
      <c r="G74" t="inlineStr">
        <is>
          <t>Vacation</t>
        </is>
      </c>
      <c r="H74">
        <f>IF(UPPER(LEFT(B73,1))="I",$B$70,$F$70)</f>
        <v/>
      </c>
      <c r="I74" t="inlineStr">
        <is>
          <t>Pension</t>
        </is>
      </c>
      <c r="J74">
        <f>IF(UPPER(LEFT(B73,1))="I",$B$71,$F$71)</f>
        <v/>
      </c>
    </row>
    <row r="75">
      <c r="A75" s="124" t="inlineStr">
        <is>
          <t>Value model</t>
        </is>
      </c>
    </row>
    <row r="76">
      <c r="A76" t="inlineStr">
        <is>
          <t>Component Value Points = max(0, uplift % vs industry) × Active Importance. Package Value Index = Σ points / Active total × 100. Change OUR weights (F68:F71) to stress-test alternate priorities (e.g. overweight Health).</t>
        </is>
      </c>
    </row>
    <row r="77">
      <c r="A77" t="inlineStr">
        <is>
          <t>Reset tip: set F68:F71 equal to B68:B71 to match Workspace. Log each quarter’s weights &amp; indices in the History table so charts show change over time.</t>
        </is>
      </c>
    </row>
    <row r="78">
      <c r="A78" t="inlineStr">
        <is>
          <t>Productivity hint: 70% + min(12 pts, Value Index × 0.15) — heuristic only.</t>
        </is>
      </c>
    </row>
    <row r="79">
      <c r="A79" s="124" t="inlineStr">
        <is>
          <t>SALES — Importance-Weighted Value Scorecard (links to package above)</t>
        </is>
      </c>
    </row>
    <row r="80">
      <c r="A80" s="119" t="inlineStr">
        <is>
          <t>Component</t>
        </is>
      </c>
      <c r="B80" s="119" t="inlineStr">
        <is>
          <t>Our $</t>
        </is>
      </c>
      <c r="C80" s="119" t="inlineStr">
        <is>
          <t>Industry $</t>
        </is>
      </c>
      <c r="D80" s="119" t="inlineStr">
        <is>
          <t>Extra $</t>
        </is>
      </c>
      <c r="E80" s="119" t="inlineStr">
        <is>
          <t>Uplift %</t>
        </is>
      </c>
      <c r="F80" s="119" t="inlineStr">
        <is>
          <t>Importance</t>
        </is>
      </c>
      <c r="G80" s="119" t="inlineStr">
        <is>
          <t>Value Points</t>
        </is>
      </c>
      <c r="H80" s="119" t="inlineStr">
        <is>
          <t>Value / Extra $1k</t>
        </is>
      </c>
    </row>
    <row r="81">
      <c r="A81" s="120" t="inlineStr">
        <is>
          <t>Salary</t>
        </is>
      </c>
      <c r="B81" s="125">
        <f>IF(C38="","",C38)</f>
        <v/>
      </c>
      <c r="C81" s="126" t="n">
        <v>17000</v>
      </c>
      <c r="D81" s="125">
        <f>IF(OR(B81="",C81=""),"",B81-C81)</f>
        <v/>
      </c>
      <c r="E81" s="122">
        <f>IF(OR(C81="",C81=0,D81=""),"",D81/C81)</f>
        <v/>
      </c>
      <c r="F81" s="127">
        <f>$D$74</f>
        <v/>
      </c>
      <c r="G81" s="128">
        <f>IF(OR(E81="",F81=""),"",MAX(0,E81)*F81)</f>
        <v/>
      </c>
      <c r="H81" s="129">
        <f>IF(OR(D81="",D81&lt;=0),"",F81/(D81/1000))</f>
        <v/>
      </c>
    </row>
    <row r="82">
      <c r="A82" s="120" t="inlineStr">
        <is>
          <t>Health Benefits</t>
        </is>
      </c>
      <c r="B82" s="125">
        <f>IF(C39="","",C39)</f>
        <v/>
      </c>
      <c r="C82" s="126" t="n">
        <v>1700</v>
      </c>
      <c r="D82" s="125">
        <f>IF(OR(B82="",C82=""),"",B82-C82)</f>
        <v/>
      </c>
      <c r="E82" s="122">
        <f>IF(OR(C82="",C82=0,D82=""),"",D82/C82)</f>
        <v/>
      </c>
      <c r="F82" s="127">
        <f>$F$74</f>
        <v/>
      </c>
      <c r="G82" s="128">
        <f>IF(OR(E82="",F82=""),"",MAX(0,E82)*F82)</f>
        <v/>
      </c>
      <c r="H82" s="129">
        <f>IF(OR(D82="",D82&lt;=0),"",F82/(D82/1000))</f>
        <v/>
      </c>
    </row>
    <row r="83">
      <c r="A83" s="120" t="inlineStr">
        <is>
          <t>Vacation</t>
        </is>
      </c>
      <c r="B83" s="125">
        <f>IF(C40="","",C40)</f>
        <v/>
      </c>
      <c r="C83" s="126" t="n">
        <v>440</v>
      </c>
      <c r="D83" s="125">
        <f>IF(OR(B83="",C83=""),"",B83-C83)</f>
        <v/>
      </c>
      <c r="E83" s="122">
        <f>IF(OR(C83="",C83=0,D83=""),"",D83/C83)</f>
        <v/>
      </c>
      <c r="F83" s="127">
        <f>$H$74</f>
        <v/>
      </c>
      <c r="G83" s="128">
        <f>IF(OR(E83="",F83=""),"",MAX(0,E83)*F83)</f>
        <v/>
      </c>
      <c r="H83" s="129">
        <f>IF(OR(D83="",D83&lt;=0),"",F83/(D83/1000))</f>
        <v/>
      </c>
    </row>
    <row r="84">
      <c r="A84" s="120" t="inlineStr">
        <is>
          <t>Pension</t>
        </is>
      </c>
      <c r="B84" s="125">
        <f>IF(C41="","",C41)</f>
        <v/>
      </c>
      <c r="C84" s="126" t="n">
        <v>170</v>
      </c>
      <c r="D84" s="125">
        <f>IF(OR(B84="",C84=""),"",B84-C84)</f>
        <v/>
      </c>
      <c r="E84" s="122">
        <f>IF(OR(C84="",C84=0,D84=""),"",D84/C84)</f>
        <v/>
      </c>
      <c r="F84" s="127">
        <f>$J$74</f>
        <v/>
      </c>
      <c r="G84" s="128">
        <f>IF(OR(E84="",F84=""),"",MAX(0,E84)*F84)</f>
        <v/>
      </c>
      <c r="H84" s="129">
        <f>IF(OR(D84="",D84&lt;=0),"",F84/(D84/1000))</f>
        <v/>
      </c>
    </row>
    <row r="85">
      <c r="A85" s="130" t="inlineStr">
        <is>
          <t>SALES TOTALS</t>
        </is>
      </c>
      <c r="B85" s="126">
        <f>IF(C42="","",C42)</f>
        <v/>
      </c>
      <c r="C85" s="126" t="n">
        <v>19310</v>
      </c>
      <c r="D85" s="126">
        <f>IF(OR(B85="",C85=""),"",B85-C85)</f>
        <v/>
      </c>
      <c r="E85" s="121" t="n"/>
      <c r="F85" s="121" t="n"/>
      <c r="G85" s="128">
        <f>IF(COUNT(G81:G84)=0,"",SUM(G81:G84))</f>
        <v/>
      </c>
      <c r="H85" s="121" t="n"/>
    </row>
    <row r="86">
      <c r="A86" t="inlineStr">
        <is>
          <t>Sales Package Value Index (0–100+ scale)</t>
        </is>
      </c>
      <c r="B86" s="131">
        <f>IF(OR(G85="",$B$74="",$B$74=0),"",G85/$B$74*100)</f>
        <v/>
      </c>
      <c r="C86" t="inlineStr">
        <is>
          <t>100 ≈ average +100% uplift on every lever (unlikely); compare scenarios relatively</t>
        </is>
      </c>
    </row>
    <row r="87">
      <c r="A87" t="inlineStr">
        <is>
          <t>Suggested sales productivity % (heuristic)</t>
        </is>
      </c>
      <c r="B87" s="132">
        <f>IF(B86="","",MIN(0.85,0.7+MIN(0.12,B86*0.0015)))</f>
        <v/>
      </c>
      <c r="C87" t="inlineStr">
        <is>
          <t>Copy to B43 after judgment — or override B43 yellow directly</t>
        </is>
      </c>
    </row>
    <row r="88">
      <c r="A88" t="inlineStr">
        <is>
          <t>Apply suggested productivity to B43?</t>
        </is>
      </c>
      <c r="B88" s="133" t="inlineStr">
        <is>
          <t>N</t>
        </is>
      </c>
      <c r="C88" t="inlineStr">
        <is>
          <t>Set Y then paste B87→B43 manually (kept separate so you stay in control)</t>
        </is>
      </c>
    </row>
    <row r="90">
      <c r="A90" s="124" t="inlineStr">
        <is>
          <t>PRODUCTION — Importance-Weighted Value Scorecard</t>
        </is>
      </c>
    </row>
    <row r="91">
      <c r="A91" s="119" t="inlineStr">
        <is>
          <t>Component</t>
        </is>
      </c>
      <c r="B91" s="119" t="inlineStr">
        <is>
          <t>Our $</t>
        </is>
      </c>
      <c r="C91" s="119" t="inlineStr">
        <is>
          <t>Industry $</t>
        </is>
      </c>
      <c r="D91" s="119" t="inlineStr">
        <is>
          <t>Extra $</t>
        </is>
      </c>
      <c r="E91" s="119" t="inlineStr">
        <is>
          <t>Uplift %</t>
        </is>
      </c>
      <c r="F91" s="119" t="inlineStr">
        <is>
          <t>Importance</t>
        </is>
      </c>
      <c r="G91" s="119" t="inlineStr">
        <is>
          <t>Value Points</t>
        </is>
      </c>
      <c r="H91" s="119" t="inlineStr">
        <is>
          <t>Value / Extra $1k</t>
        </is>
      </c>
    </row>
    <row r="92">
      <c r="A92" s="120" t="inlineStr">
        <is>
          <t>Salary</t>
        </is>
      </c>
      <c r="B92" s="125">
        <f>IF(C48="","",C48)</f>
        <v/>
      </c>
      <c r="C92" s="126" t="n">
        <v>14000</v>
      </c>
      <c r="D92" s="125">
        <f>IF(OR(B92="",C92=""),"",B92-C92)</f>
        <v/>
      </c>
      <c r="E92" s="122">
        <f>IF(OR(C92="",C92=0,D92=""),"",D92/C92)</f>
        <v/>
      </c>
      <c r="F92" s="127">
        <f>$D$74</f>
        <v/>
      </c>
      <c r="G92" s="128">
        <f>IF(OR(E92="",F92=""),"",MAX(0,E92)*F92)</f>
        <v/>
      </c>
      <c r="H92" s="129">
        <f>IF(OR(D92="",D92&lt;=0),"",F92/(D92/1000))</f>
        <v/>
      </c>
    </row>
    <row r="93">
      <c r="A93" s="120" t="inlineStr">
        <is>
          <t>Health Benefits</t>
        </is>
      </c>
      <c r="B93" s="125">
        <f>IF(C49="","",C49)</f>
        <v/>
      </c>
      <c r="C93" s="126" t="n">
        <v>1400</v>
      </c>
      <c r="D93" s="125">
        <f>IF(OR(B93="",C93=""),"",B93-C93)</f>
        <v/>
      </c>
      <c r="E93" s="122">
        <f>IF(OR(C93="",C93=0,D93=""),"",D93/C93)</f>
        <v/>
      </c>
      <c r="F93" s="127">
        <f>$F$74</f>
        <v/>
      </c>
      <c r="G93" s="128">
        <f>IF(OR(E93="",F93=""),"",MAX(0,E93)*F93)</f>
        <v/>
      </c>
      <c r="H93" s="129">
        <f>IF(OR(D93="",D93&lt;=0),"",F93/(D93/1000))</f>
        <v/>
      </c>
    </row>
    <row r="94">
      <c r="A94" s="120" t="inlineStr">
        <is>
          <t>Vacation</t>
        </is>
      </c>
      <c r="B94" s="125">
        <f>IF(C50="","",C50)</f>
        <v/>
      </c>
      <c r="C94" s="126" t="n">
        <v>363</v>
      </c>
      <c r="D94" s="125">
        <f>IF(OR(B94="",C94=""),"",B94-C94)</f>
        <v/>
      </c>
      <c r="E94" s="122">
        <f>IF(OR(C94="",C94=0,D94=""),"",D94/C94)</f>
        <v/>
      </c>
      <c r="F94" s="127">
        <f>$H$74</f>
        <v/>
      </c>
      <c r="G94" s="128">
        <f>IF(OR(E94="",F94=""),"",MAX(0,E94)*F94)</f>
        <v/>
      </c>
      <c r="H94" s="129">
        <f>IF(OR(D94="",D94&lt;=0),"",F94/(D94/1000))</f>
        <v/>
      </c>
    </row>
    <row r="95">
      <c r="A95" s="120" t="inlineStr">
        <is>
          <t>Pension</t>
        </is>
      </c>
      <c r="B95" s="125">
        <f>IF(C51="","",C51)</f>
        <v/>
      </c>
      <c r="C95" s="126" t="n">
        <v>280</v>
      </c>
      <c r="D95" s="125">
        <f>IF(OR(B95="",C95=""),"",B95-C95)</f>
        <v/>
      </c>
      <c r="E95" s="122">
        <f>IF(OR(C95="",C95=0,D95=""),"",D95/C95)</f>
        <v/>
      </c>
      <c r="F95" s="127">
        <f>$J$74</f>
        <v/>
      </c>
      <c r="G95" s="128">
        <f>IF(OR(E95="",F95=""),"",MAX(0,E95)*F95)</f>
        <v/>
      </c>
      <c r="H95" s="129">
        <f>IF(OR(D95="",D95&lt;=0),"",F95/(D95/1000))</f>
        <v/>
      </c>
    </row>
    <row r="96">
      <c r="A96" s="130" t="inlineStr">
        <is>
          <t>PRODUCTION TOTALS</t>
        </is>
      </c>
      <c r="B96" s="126">
        <f>IF(C52="","",C52)</f>
        <v/>
      </c>
      <c r="C96" s="126" t="n">
        <v>16043</v>
      </c>
      <c r="D96" s="126">
        <f>IF(OR(B96="",C96=""),"",B96-C96)</f>
        <v/>
      </c>
      <c r="E96" s="121" t="n"/>
      <c r="F96" s="121" t="n"/>
      <c r="G96" s="128">
        <f>IF(COUNT(G92:G95)=0,"",SUM(G92:G95))</f>
        <v/>
      </c>
      <c r="H96" s="121" t="n"/>
    </row>
    <row r="97">
      <c r="A97" t="inlineStr">
        <is>
          <t>Production Package Value Index</t>
        </is>
      </c>
      <c r="B97" s="131">
        <f>IF(OR(G96="",$B$74="",$B$74=0),"",G96/$B$74*100)</f>
        <v/>
      </c>
    </row>
    <row r="98">
      <c r="A98" t="inlineStr">
        <is>
          <t>Suggested production productivity % (heuristic)</t>
        </is>
      </c>
      <c r="B98" s="132">
        <f>IF(B97="","",MIN(0.85,0.7+MIN(0.12,B97*0.0015)))</f>
        <v/>
      </c>
      <c r="C98" t="inlineStr">
        <is>
          <t>Copy to B53 and Manufacturing!B30 when locked</t>
        </is>
      </c>
    </row>
    <row r="100">
      <c r="A100" s="124" t="inlineStr">
        <is>
          <t>Interactive: allocate extra $/person above industry by importance weights</t>
        </is>
      </c>
    </row>
    <row r="101">
      <c r="A101" t="inlineStr">
        <is>
          <t>Role</t>
        </is>
      </c>
      <c r="B101" s="133" t="inlineStr">
        <is>
          <t>Sales</t>
        </is>
      </c>
      <c r="C101" t="inlineStr">
        <is>
          <t>Sales or Production</t>
        </is>
      </c>
    </row>
    <row r="102">
      <c r="A102" t="inlineStr">
        <is>
          <t>Extra budget $/person above industry total</t>
        </is>
      </c>
      <c r="B102" s="134" t="n">
        <v>2000</v>
      </c>
      <c r="C102" t="inlineStr">
        <is>
          <t>Yellow — try 1000 / 2000 / 4000</t>
        </is>
      </c>
    </row>
    <row r="103">
      <c r="A103" t="inlineStr">
        <is>
          <t>Industry total for role</t>
        </is>
      </c>
      <c r="B103" s="71">
        <f>IF(UPPER(LEFT(B101,1))="P",16043,19310)</f>
        <v/>
      </c>
    </row>
    <row r="104">
      <c r="A104" s="119" t="inlineStr">
        <is>
          <t>Component</t>
        </is>
      </c>
      <c r="B104" s="119" t="inlineStr">
        <is>
          <t>Importance share</t>
        </is>
      </c>
      <c r="C104" s="119" t="inlineStr">
        <is>
          <t>Suggested extra $</t>
        </is>
      </c>
      <c r="D104" s="119" t="inlineStr">
        <is>
          <t>Implied total $</t>
        </is>
      </c>
      <c r="E104" s="119" t="inlineStr">
        <is>
          <t>Notes</t>
        </is>
      </c>
    </row>
    <row r="105">
      <c r="A105" s="120" t="inlineStr">
        <is>
          <t>Salary</t>
        </is>
      </c>
      <c r="B105" s="122">
        <f>$D$74/$B$74</f>
        <v/>
      </c>
      <c r="C105" s="135">
        <f>$B$102*B105</f>
        <v/>
      </c>
      <c r="D105" s="125">
        <f>IF(UPPER(LEFT($B$101,1))="P",14000,17000)+C105</f>
        <v/>
      </c>
      <c r="E105" s="120" t="inlineStr">
        <is>
          <t>Highest weight — put most of the raise here</t>
        </is>
      </c>
    </row>
    <row r="106">
      <c r="A106" s="120" t="inlineStr">
        <is>
          <t>Health Benefits</t>
        </is>
      </c>
      <c r="B106" s="122">
        <f>$F$74/$B$74</f>
        <v/>
      </c>
      <c r="C106" s="135">
        <f>$B$102*B106</f>
        <v/>
      </c>
      <c r="D106" s="125">
        <f>IF(UPPER(LEFT($B$101,1))="P",1400,1700)+C106</f>
        <v/>
      </c>
      <c r="E106" s="120" t="inlineStr">
        <is>
          <t>Round to nearest health tier cost (menu rows 24–28)</t>
        </is>
      </c>
    </row>
    <row r="107">
      <c r="A107" s="120" t="inlineStr">
        <is>
          <t>Vacation</t>
        </is>
      </c>
      <c r="B107" s="122">
        <f>$H$74/$B$74</f>
        <v/>
      </c>
      <c r="C107" s="135">
        <f>$B$102*B107</f>
        <v/>
      </c>
      <c r="D107" s="125">
        <f>IF(UPPER(LEFT($B$101,1))="P",363,440)+C107</f>
        <v/>
      </c>
      <c r="E107" s="120" t="inlineStr">
        <is>
          <t>Round to vacation week cost</t>
        </is>
      </c>
    </row>
    <row r="108">
      <c r="A108" s="120" t="inlineStr">
        <is>
          <t>Pension</t>
        </is>
      </c>
      <c r="B108" s="122">
        <f>$J$74/$B$74</f>
        <v/>
      </c>
      <c r="C108" s="135">
        <f>$B$102*B108</f>
        <v/>
      </c>
      <c r="D108" s="125">
        <f>IF(UPPER(LEFT($B$101,1))="P",280,170)+C108</f>
        <v/>
      </c>
      <c r="E108" s="120" t="inlineStr">
        <is>
          <t>Convert $ to pension % of salary after salary set</t>
        </is>
      </c>
    </row>
    <row r="109">
      <c r="A109" t="inlineStr">
        <is>
          <t>Suggested package total</t>
        </is>
      </c>
      <c r="B109" s="136">
        <f>$B$103+$B$102</f>
        <v/>
      </c>
    </row>
    <row r="110">
      <c r="A110" t="inlineStr">
        <is>
          <t>Check: suggested extras sum</t>
        </is>
      </c>
      <c r="B110" s="71">
        <f>SUM(C105:C108)</f>
        <v/>
      </c>
    </row>
    <row r="112">
      <c r="A112" s="124" t="inlineStr">
        <is>
          <t>How to use</t>
        </is>
      </c>
    </row>
    <row r="113">
      <c r="A113" t="inlineStr">
        <is>
          <t>1. Enter yellow package costs in rows 38–41 (Sales) and 48–51 (Production).</t>
        </is>
      </c>
    </row>
    <row r="114">
      <c r="A114" t="inlineStr">
        <is>
          <t>2. Edit OUR weights (F68:F71) and/or Score mode (B73). Read Value Index (B86 / B97).</t>
        </is>
      </c>
    </row>
    <row r="115">
      <c r="A115" t="inlineStr">
        <is>
          <t>3. Or set Extra budget (B102) to see weight-proportional split, then round to real tiers and paste into package.</t>
        </is>
      </c>
    </row>
    <row r="116">
      <c r="A116" t="inlineStr">
        <is>
          <t>4. Set productivity estimates (B43 / B53); sync production to Manufacturing!B30.</t>
        </is>
      </c>
    </row>
    <row r="117">
      <c r="A117" t="inlineStr">
        <is>
          <t>5. Each quarter: snapshot Industry + Our weights and Value Indices into History (below) for charts.</t>
        </is>
      </c>
    </row>
    <row r="118">
      <c r="A118" t="inlineStr">
        <is>
          <t>6. Re-run when Q3 industry averages / new importance scores arrive.</t>
        </is>
      </c>
    </row>
    <row r="119">
      <c r="A119" s="118" t="n"/>
      <c r="B119" s="118" t="n"/>
      <c r="C119" s="118" t="n"/>
      <c r="D119" s="118" t="n"/>
      <c r="E119" s="118" t="n"/>
      <c r="F119" s="118" t="n"/>
      <c r="G119" s="118" t="n"/>
      <c r="H119" s="118" t="n"/>
      <c r="I119" s="118" t="n"/>
      <c r="J119" s="118" t="n"/>
      <c r="K119" s="118" t="n"/>
      <c r="L119" s="118" t="n"/>
      <c r="M119" s="118" t="n"/>
      <c r="N119" s="118" t="n"/>
      <c r="O119" s="118" t="n"/>
    </row>
    <row r="120" ht="18.5" customHeight="1" s="146">
      <c r="A120" s="117" t="inlineStr">
        <is>
          <t>Weight &amp; Value History (over time)</t>
        </is>
      </c>
      <c r="B120" s="118" t="n"/>
      <c r="C120" s="118" t="n"/>
      <c r="D120" s="118" t="n"/>
      <c r="E120" s="118" t="n"/>
      <c r="F120" s="118" t="n"/>
      <c r="G120" s="118" t="n"/>
      <c r="H120" s="118" t="n"/>
      <c r="I120" s="118" t="n"/>
      <c r="J120" s="118" t="n"/>
      <c r="K120" s="118" t="n"/>
      <c r="L120" s="118" t="n"/>
      <c r="M120" s="118" t="n"/>
      <c r="N120" s="118" t="n"/>
      <c r="O120" s="118" t="n"/>
    </row>
    <row r="121">
      <c r="A121" s="118" t="inlineStr">
        <is>
          <t>Yellow = enter/paste each quarter. Q2 row can link to current planner (formulas). Charts update as you fill Q3–Q6. Industry importance may change after Q2.</t>
        </is>
      </c>
      <c r="B121" s="118" t="n"/>
      <c r="C121" s="118" t="n"/>
      <c r="D121" s="118" t="n"/>
      <c r="E121" s="118" t="n"/>
      <c r="F121" s="118" t="n"/>
      <c r="G121" s="118" t="n"/>
      <c r="H121" s="118" t="n"/>
      <c r="I121" s="118" t="n"/>
      <c r="J121" s="118" t="n"/>
      <c r="K121" s="118" t="n"/>
      <c r="L121" s="118" t="n"/>
      <c r="M121" s="118" t="n"/>
      <c r="N121" s="118" t="n"/>
      <c r="O121" s="118" t="n"/>
    </row>
    <row r="122">
      <c r="A122" s="118" t="n"/>
      <c r="B122" s="118" t="n"/>
      <c r="C122" s="118" t="n"/>
      <c r="D122" s="118" t="n"/>
      <c r="E122" s="118" t="n"/>
      <c r="F122" s="118" t="n"/>
      <c r="G122" s="118" t="n"/>
      <c r="H122" s="118" t="n"/>
      <c r="I122" s="118" t="n"/>
      <c r="J122" s="118" t="n"/>
      <c r="K122" s="118" t="n"/>
      <c r="L122" s="118" t="n"/>
      <c r="M122" s="118" t="n"/>
      <c r="N122" s="118" t="n"/>
      <c r="O122" s="118" t="n"/>
    </row>
    <row r="123">
      <c r="A123" s="138" t="inlineStr">
        <is>
          <t>OUR Planning Weights by Quarter</t>
        </is>
      </c>
      <c r="B123" s="118" t="n"/>
      <c r="C123" s="118" t="n"/>
      <c r="D123" s="118" t="n"/>
      <c r="E123" s="118" t="n"/>
      <c r="F123" s="118" t="n"/>
      <c r="G123" s="118" t="n"/>
      <c r="H123" s="118" t="n"/>
      <c r="I123" s="118" t="n"/>
      <c r="J123" s="118" t="n"/>
      <c r="K123" s="118" t="n"/>
      <c r="L123" s="118" t="n"/>
      <c r="M123" s="118" t="n"/>
      <c r="N123" s="118" t="n"/>
      <c r="O123" s="118" t="n"/>
    </row>
    <row r="124">
      <c r="A124" s="119" t="inlineStr">
        <is>
          <t>Quarter</t>
        </is>
      </c>
      <c r="B124" s="119" t="inlineStr">
        <is>
          <t>Salary</t>
        </is>
      </c>
      <c r="C124" s="119" t="inlineStr">
        <is>
          <t>Health</t>
        </is>
      </c>
      <c r="D124" s="119" t="inlineStr">
        <is>
          <t>Vacation</t>
        </is>
      </c>
      <c r="E124" s="119" t="inlineStr">
        <is>
          <t>Pension</t>
        </is>
      </c>
      <c r="F124" s="119" t="inlineStr">
        <is>
          <t>Total</t>
        </is>
      </c>
      <c r="G124" s="119" t="inlineStr">
        <is>
          <t>Notes</t>
        </is>
      </c>
      <c r="H124" s="118" t="n"/>
      <c r="I124" s="118" t="n"/>
      <c r="J124" s="118" t="n"/>
      <c r="K124" s="118" t="n"/>
      <c r="L124" s="118" t="n"/>
      <c r="M124" s="118" t="n"/>
      <c r="N124" s="118" t="n"/>
      <c r="O124" s="118" t="n"/>
    </row>
    <row r="125">
      <c r="A125" s="118" t="inlineStr">
        <is>
          <t>Q1</t>
        </is>
      </c>
      <c r="B125" s="133" t="n"/>
      <c r="C125" s="133" t="n"/>
      <c r="D125" s="133" t="n"/>
      <c r="E125" s="133" t="n"/>
      <c r="F125" s="120">
        <f>IF(COUNT(B125:E125)=0,"",SUM(B125:E125))</f>
        <v/>
      </c>
      <c r="G125" s="133" t="inlineStr">
        <is>
          <t>Setup — often N/A</t>
        </is>
      </c>
      <c r="H125" s="118" t="n"/>
      <c r="I125" s="118" t="n"/>
      <c r="J125" s="118" t="n"/>
      <c r="K125" s="118" t="n"/>
      <c r="L125" s="118" t="n"/>
      <c r="M125" s="118" t="n"/>
      <c r="N125" s="118" t="n"/>
      <c r="O125" s="118" t="n"/>
    </row>
    <row r="126">
      <c r="A126" s="118" t="inlineStr">
        <is>
          <t>Q2 (current)</t>
        </is>
      </c>
      <c r="B126" s="121">
        <f>F68</f>
        <v/>
      </c>
      <c r="C126" s="121">
        <f>F69</f>
        <v/>
      </c>
      <c r="D126" s="121">
        <f>F70</f>
        <v/>
      </c>
      <c r="E126" s="121">
        <f>F71</f>
        <v/>
      </c>
      <c r="F126" s="121">
        <f>F72</f>
        <v/>
      </c>
      <c r="G126" s="118" t="inlineStr">
        <is>
          <t>Linked to OUR weights F68:F71 — edit those to change</t>
        </is>
      </c>
      <c r="H126" s="118" t="n"/>
      <c r="I126" s="118" t="n"/>
      <c r="J126" s="118" t="n"/>
      <c r="K126" s="118" t="n"/>
      <c r="L126" s="118" t="n"/>
      <c r="M126" s="118" t="n"/>
      <c r="N126" s="118" t="n"/>
      <c r="O126" s="118" t="n"/>
    </row>
    <row r="127">
      <c r="A127" s="120" t="inlineStr">
        <is>
          <t>Q3</t>
        </is>
      </c>
      <c r="B127" s="133" t="n"/>
      <c r="C127" s="133" t="n"/>
      <c r="D127" s="133" t="n"/>
      <c r="E127" s="133" t="n"/>
      <c r="F127" s="120">
        <f>IF(COUNT(B127:E127)=0,"",SUM(B127:E127))</f>
        <v/>
      </c>
      <c r="G127" s="133" t="n"/>
      <c r="H127" s="118" t="n"/>
      <c r="I127" s="118" t="n"/>
      <c r="J127" s="118" t="n"/>
      <c r="K127" s="118" t="n"/>
      <c r="L127" s="118" t="n"/>
      <c r="M127" s="118" t="n"/>
      <c r="N127" s="118" t="n"/>
      <c r="O127" s="118" t="n"/>
    </row>
    <row r="128">
      <c r="A128" s="120" t="inlineStr">
        <is>
          <t>Q4</t>
        </is>
      </c>
      <c r="B128" s="133" t="n"/>
      <c r="C128" s="133" t="n"/>
      <c r="D128" s="133" t="n"/>
      <c r="E128" s="133" t="n"/>
      <c r="F128" s="120">
        <f>IF(COUNT(B128:E128)=0,"",SUM(B128:E128))</f>
        <v/>
      </c>
      <c r="G128" s="133" t="n"/>
      <c r="H128" s="118" t="n"/>
      <c r="I128" s="118" t="n"/>
      <c r="J128" s="118" t="n"/>
      <c r="K128" s="118" t="n"/>
      <c r="L128" s="118" t="n"/>
      <c r="M128" s="118" t="n"/>
      <c r="N128" s="118" t="n"/>
      <c r="O128" s="118" t="n"/>
    </row>
    <row r="129">
      <c r="A129" s="120" t="inlineStr">
        <is>
          <t>Q5</t>
        </is>
      </c>
      <c r="B129" s="133" t="n"/>
      <c r="C129" s="133" t="n"/>
      <c r="D129" s="133" t="n"/>
      <c r="E129" s="133" t="n"/>
      <c r="F129" s="120">
        <f>IF(COUNT(B129:E129)=0,"",SUM(B129:E129))</f>
        <v/>
      </c>
      <c r="G129" s="133" t="n"/>
      <c r="H129" s="118" t="n"/>
      <c r="I129" s="118" t="n"/>
      <c r="J129" s="118" t="n"/>
      <c r="K129" s="118" t="n"/>
      <c r="L129" s="118" t="n"/>
      <c r="M129" s="118" t="n"/>
      <c r="N129" s="118" t="n"/>
      <c r="O129" s="118" t="n"/>
    </row>
    <row r="130">
      <c r="A130" s="120" t="inlineStr">
        <is>
          <t>Q6</t>
        </is>
      </c>
      <c r="B130" s="133" t="n"/>
      <c r="C130" s="133" t="n"/>
      <c r="D130" s="133" t="n"/>
      <c r="E130" s="133" t="n"/>
      <c r="F130" s="120">
        <f>IF(COUNT(B130:E130)=0,"",SUM(B130:E130))</f>
        <v/>
      </c>
      <c r="G130" s="133" t="n"/>
      <c r="H130" s="118" t="n"/>
      <c r="I130" s="118" t="n"/>
      <c r="J130" s="118" t="n"/>
      <c r="K130" s="118" t="n"/>
      <c r="L130" s="118" t="n"/>
      <c r="M130" s="118" t="n"/>
      <c r="N130" s="118" t="n"/>
      <c r="O130" s="118" t="n"/>
    </row>
    <row r="131">
      <c r="A131" s="118" t="n"/>
      <c r="B131" s="118" t="n"/>
      <c r="C131" s="118" t="n"/>
      <c r="D131" s="118" t="n"/>
      <c r="E131" s="118" t="n"/>
      <c r="F131" s="118" t="n"/>
      <c r="G131" s="118" t="n"/>
      <c r="H131" s="118" t="n"/>
      <c r="I131" s="118" t="n"/>
      <c r="J131" s="118" t="n"/>
      <c r="K131" s="118" t="n"/>
      <c r="L131" s="118" t="n"/>
      <c r="M131" s="118" t="n"/>
      <c r="N131" s="118" t="n"/>
      <c r="O131" s="118" t="n"/>
    </row>
    <row r="132">
      <c r="A132" s="138" t="inlineStr">
        <is>
          <t>INDUSTRY Importance by Quarter (paste from Workspace when it changes)</t>
        </is>
      </c>
      <c r="B132" s="118" t="n"/>
      <c r="C132" s="118" t="n"/>
      <c r="D132" s="118" t="n"/>
      <c r="E132" s="118" t="n"/>
      <c r="F132" s="118" t="n"/>
      <c r="G132" s="118" t="n"/>
      <c r="H132" s="118" t="n"/>
      <c r="I132" s="118" t="n"/>
      <c r="J132" s="118" t="n"/>
      <c r="K132" s="118" t="n"/>
      <c r="L132" s="118" t="n"/>
      <c r="M132" s="118" t="n"/>
      <c r="N132" s="118" t="n"/>
      <c r="O132" s="118" t="n"/>
    </row>
    <row r="133">
      <c r="A133" s="119" t="inlineStr">
        <is>
          <t>Quarter</t>
        </is>
      </c>
      <c r="B133" s="119" t="inlineStr">
        <is>
          <t>Salary</t>
        </is>
      </c>
      <c r="C133" s="119" t="inlineStr">
        <is>
          <t>Health</t>
        </is>
      </c>
      <c r="D133" s="119" t="inlineStr">
        <is>
          <t>Vacation</t>
        </is>
      </c>
      <c r="E133" s="119" t="inlineStr">
        <is>
          <t>Pension</t>
        </is>
      </c>
      <c r="F133" s="119" t="inlineStr">
        <is>
          <t>Total</t>
        </is>
      </c>
      <c r="G133" s="119" t="inlineStr">
        <is>
          <t>Notes</t>
        </is>
      </c>
      <c r="H133" s="118" t="n"/>
      <c r="I133" s="118" t="n"/>
      <c r="J133" s="118" t="n"/>
      <c r="K133" s="118" t="n"/>
      <c r="L133" s="118" t="n"/>
      <c r="M133" s="118" t="n"/>
      <c r="N133" s="118" t="n"/>
      <c r="O133" s="118" t="n"/>
    </row>
    <row r="134">
      <c r="A134" s="118" t="inlineStr">
        <is>
          <t>Q1</t>
        </is>
      </c>
      <c r="B134" s="133" t="n">
        <v>87</v>
      </c>
      <c r="C134" s="133" t="n">
        <v>84</v>
      </c>
      <c r="D134" s="133" t="n">
        <v>72</v>
      </c>
      <c r="E134" s="133" t="n">
        <v>70</v>
      </c>
      <c r="F134" s="118">
        <f>IF(COUNT(B134:E134)=0,"",SUM(B134:E134))</f>
        <v/>
      </c>
      <c r="G134" s="133" t="inlineStr">
        <is>
          <t>If unknown, use Q2</t>
        </is>
      </c>
      <c r="H134" s="118" t="n"/>
      <c r="I134" s="118" t="n"/>
      <c r="J134" s="118" t="n"/>
      <c r="K134" s="118" t="n"/>
      <c r="L134" s="118" t="n"/>
      <c r="M134" s="118" t="n"/>
      <c r="N134" s="118" t="n"/>
      <c r="O134" s="118" t="n"/>
    </row>
    <row r="135">
      <c r="A135" s="118" t="inlineStr">
        <is>
          <t>Q2 (current)</t>
        </is>
      </c>
      <c r="B135" s="121">
        <f>B68</f>
        <v/>
      </c>
      <c r="C135" s="121">
        <f>B69</f>
        <v/>
      </c>
      <c r="D135" s="121">
        <f>B70</f>
        <v/>
      </c>
      <c r="E135" s="121">
        <f>B71</f>
        <v/>
      </c>
      <c r="F135" s="121">
        <f>B72</f>
        <v/>
      </c>
      <c r="G135" s="118" t="inlineStr">
        <is>
          <t>Linked to Industry B68:B71</t>
        </is>
      </c>
      <c r="H135" s="118" t="n"/>
      <c r="I135" s="118" t="n"/>
      <c r="J135" s="118" t="n"/>
      <c r="K135" s="118" t="n"/>
      <c r="L135" s="118" t="n"/>
      <c r="M135" s="118" t="n"/>
      <c r="N135" s="118" t="n"/>
      <c r="O135" s="118" t="n"/>
    </row>
    <row r="136">
      <c r="A136" s="120" t="inlineStr">
        <is>
          <t>Q3</t>
        </is>
      </c>
      <c r="B136" s="133" t="n"/>
      <c r="C136" s="133" t="n"/>
      <c r="D136" s="133" t="n"/>
      <c r="E136" s="133" t="n"/>
      <c r="F136" s="120">
        <f>IF(COUNT(B136:E136)=0,"",SUM(B136:E136))</f>
        <v/>
      </c>
      <c r="G136" s="133" t="n"/>
      <c r="H136" s="118" t="n"/>
      <c r="I136" s="118" t="n"/>
      <c r="J136" s="118" t="n"/>
      <c r="K136" s="118" t="n"/>
      <c r="L136" s="118" t="n"/>
      <c r="M136" s="118" t="n"/>
      <c r="N136" s="118" t="n"/>
      <c r="O136" s="118" t="n"/>
    </row>
    <row r="137">
      <c r="A137" s="120" t="inlineStr">
        <is>
          <t>Q4</t>
        </is>
      </c>
      <c r="B137" s="133" t="n"/>
      <c r="C137" s="133" t="n"/>
      <c r="D137" s="133" t="n"/>
      <c r="E137" s="133" t="n"/>
      <c r="F137" s="120">
        <f>IF(COUNT(B137:E137)=0,"",SUM(B137:E137))</f>
        <v/>
      </c>
      <c r="G137" s="133" t="n"/>
      <c r="H137" s="118" t="n"/>
      <c r="I137" s="118" t="n"/>
      <c r="J137" s="118" t="n"/>
      <c r="K137" s="118" t="n"/>
      <c r="L137" s="118" t="n"/>
      <c r="M137" s="118" t="n"/>
      <c r="N137" s="118" t="n"/>
      <c r="O137" s="118" t="n"/>
    </row>
    <row r="138">
      <c r="A138" s="120" t="inlineStr">
        <is>
          <t>Q5</t>
        </is>
      </c>
      <c r="B138" s="133" t="n"/>
      <c r="C138" s="133" t="n"/>
      <c r="D138" s="133" t="n"/>
      <c r="E138" s="133" t="n"/>
      <c r="F138" s="120">
        <f>IF(COUNT(B138:E138)=0,"",SUM(B138:E138))</f>
        <v/>
      </c>
      <c r="G138" s="133" t="n"/>
      <c r="H138" s="118" t="n"/>
      <c r="I138" s="118" t="n"/>
      <c r="J138" s="118" t="n"/>
      <c r="K138" s="118" t="n"/>
      <c r="L138" s="118" t="n"/>
      <c r="M138" s="118" t="n"/>
      <c r="N138" s="118" t="n"/>
      <c r="O138" s="118" t="n"/>
    </row>
    <row r="139">
      <c r="A139" s="120" t="inlineStr">
        <is>
          <t>Q6</t>
        </is>
      </c>
      <c r="B139" s="133" t="n"/>
      <c r="C139" s="133" t="n"/>
      <c r="D139" s="133" t="n"/>
      <c r="E139" s="133" t="n"/>
      <c r="F139" s="120">
        <f>IF(COUNT(B139:E139)=0,"",SUM(B139:E139))</f>
        <v/>
      </c>
      <c r="G139" s="133" t="n"/>
      <c r="H139" s="118" t="n"/>
      <c r="I139" s="118" t="n"/>
      <c r="J139" s="118" t="n"/>
      <c r="K139" s="118" t="n"/>
      <c r="L139" s="118" t="n"/>
      <c r="M139" s="118" t="n"/>
      <c r="N139" s="118" t="n"/>
      <c r="O139" s="118" t="n"/>
    </row>
    <row r="140">
      <c r="A140" s="118" t="n"/>
      <c r="B140" s="118" t="n"/>
      <c r="C140" s="118" t="n"/>
      <c r="D140" s="118" t="n"/>
      <c r="E140" s="118" t="n"/>
      <c r="F140" s="118" t="n"/>
      <c r="G140" s="118" t="n"/>
      <c r="H140" s="118" t="n"/>
      <c r="I140" s="118" t="n"/>
      <c r="J140" s="118" t="n"/>
      <c r="K140" s="118" t="n"/>
      <c r="L140" s="118" t="n"/>
      <c r="M140" s="118" t="n"/>
      <c r="N140" s="118" t="n"/>
      <c r="O140" s="118" t="n"/>
    </row>
    <row r="141">
      <c r="A141" s="138" t="inlineStr">
        <is>
          <t>Package Value Index &amp; Productivity over time</t>
        </is>
      </c>
      <c r="B141" s="118" t="n"/>
      <c r="C141" s="118" t="n"/>
      <c r="D141" s="118" t="n"/>
      <c r="E141" s="118" t="n"/>
      <c r="F141" s="118" t="n"/>
      <c r="G141" s="118" t="n"/>
      <c r="H141" s="118" t="n"/>
      <c r="I141" s="118" t="n"/>
      <c r="J141" s="118" t="n"/>
      <c r="K141" s="118" t="n"/>
      <c r="L141" s="118" t="n"/>
      <c r="M141" s="118" t="n"/>
      <c r="N141" s="118" t="n"/>
      <c r="O141" s="118" t="n"/>
    </row>
    <row r="142">
      <c r="A142" s="119" t="inlineStr">
        <is>
          <t>Quarter</t>
        </is>
      </c>
      <c r="B142" s="119" t="inlineStr">
        <is>
          <t>Sales Value Index</t>
        </is>
      </c>
      <c r="C142" s="119" t="inlineStr">
        <is>
          <t>Prod Value Index</t>
        </is>
      </c>
      <c r="D142" s="119" t="inlineStr">
        <is>
          <t>Sales pkg $</t>
        </is>
      </c>
      <c r="E142" s="119" t="inlineStr">
        <is>
          <t>Prod pkg $</t>
        </is>
      </c>
      <c r="F142" s="119" t="inlineStr">
        <is>
          <t>Sales prod %</t>
        </is>
      </c>
      <c r="G142" s="119" t="inlineStr">
        <is>
          <t>Prod prod %</t>
        </is>
      </c>
      <c r="H142" s="119" t="inlineStr">
        <is>
          <t>Notes</t>
        </is>
      </c>
      <c r="I142" s="118" t="n"/>
      <c r="J142" s="118" t="n"/>
      <c r="K142" s="118" t="n"/>
      <c r="L142" s="118" t="n"/>
      <c r="M142" s="118" t="n"/>
      <c r="N142" s="118" t="n"/>
      <c r="O142" s="118" t="n"/>
    </row>
    <row r="143">
      <c r="A143" s="118" t="inlineStr">
        <is>
          <t>Q1</t>
        </is>
      </c>
      <c r="B143" s="133" t="n"/>
      <c r="C143" s="133" t="n"/>
      <c r="D143" s="133" t="n"/>
      <c r="E143" s="133" t="n"/>
      <c r="F143" s="133" t="n"/>
      <c r="G143" s="133" t="n"/>
      <c r="H143" s="118" t="inlineStr">
        <is>
          <t>Pre-hire / N/A</t>
        </is>
      </c>
      <c r="I143" s="118" t="n"/>
      <c r="J143" s="118" t="n"/>
      <c r="K143" s="118" t="n"/>
      <c r="L143" s="118" t="n"/>
      <c r="M143" s="118" t="n"/>
      <c r="N143" s="118" t="n"/>
      <c r="O143" s="118" t="n"/>
    </row>
    <row r="144">
      <c r="A144" s="118" t="inlineStr">
        <is>
          <t>Q2 (current)</t>
        </is>
      </c>
      <c r="B144" s="128">
        <f>IF(B86="","",B86)</f>
        <v/>
      </c>
      <c r="C144" s="128">
        <f>IF(B97="","",B97)</f>
        <v/>
      </c>
      <c r="D144" s="126">
        <f>IF(C42="","",C42)</f>
        <v/>
      </c>
      <c r="E144" s="126">
        <f>IF(C52="","",C52)</f>
        <v/>
      </c>
      <c r="F144" s="139">
        <f>IF(B43="","",B43)</f>
        <v/>
      </c>
      <c r="G144" s="139">
        <f>IF(B53="","",B53)</f>
        <v/>
      </c>
      <c r="H144" s="118" t="inlineStr">
        <is>
          <t>Linked to live planner</t>
        </is>
      </c>
      <c r="I144" s="118" t="n"/>
      <c r="J144" s="118" t="n"/>
      <c r="K144" s="118" t="n"/>
      <c r="L144" s="118" t="n"/>
      <c r="M144" s="118" t="n"/>
      <c r="N144" s="118" t="n"/>
      <c r="O144" s="118" t="n"/>
    </row>
    <row r="145">
      <c r="A145" s="120" t="inlineStr">
        <is>
          <t>Q3</t>
        </is>
      </c>
      <c r="B145" s="140" t="n"/>
      <c r="C145" s="140" t="n"/>
      <c r="D145" s="134" t="n"/>
      <c r="E145" s="134" t="n"/>
      <c r="F145" s="141" t="n"/>
      <c r="G145" s="141" t="n"/>
      <c r="H145" s="133" t="n"/>
      <c r="I145" s="118" t="n"/>
      <c r="J145" s="118" t="n"/>
      <c r="K145" s="118" t="n"/>
      <c r="L145" s="118" t="n"/>
      <c r="M145" s="118" t="n"/>
      <c r="N145" s="118" t="n"/>
      <c r="O145" s="118" t="n"/>
    </row>
    <row r="146">
      <c r="A146" s="120" t="inlineStr">
        <is>
          <t>Q4</t>
        </is>
      </c>
      <c r="B146" s="140" t="n"/>
      <c r="C146" s="140" t="n"/>
      <c r="D146" s="134" t="n"/>
      <c r="E146" s="134" t="n"/>
      <c r="F146" s="141" t="n"/>
      <c r="G146" s="141" t="n"/>
      <c r="H146" s="133" t="n"/>
      <c r="I146" s="118" t="n"/>
      <c r="J146" s="118" t="n"/>
      <c r="K146" s="118" t="n"/>
      <c r="L146" s="118" t="n"/>
      <c r="M146" s="118" t="n"/>
      <c r="N146" s="118" t="n"/>
      <c r="O146" s="118" t="n"/>
    </row>
    <row r="147">
      <c r="A147" s="120" t="inlineStr">
        <is>
          <t>Q5</t>
        </is>
      </c>
      <c r="B147" s="140" t="n"/>
      <c r="C147" s="140" t="n"/>
      <c r="D147" s="134" t="n"/>
      <c r="E147" s="134" t="n"/>
      <c r="F147" s="141" t="n"/>
      <c r="G147" s="141" t="n"/>
      <c r="H147" s="133" t="n"/>
      <c r="I147" s="118" t="n"/>
      <c r="J147" s="118" t="n"/>
      <c r="K147" s="118" t="n"/>
      <c r="L147" s="118" t="n"/>
      <c r="M147" s="118" t="n"/>
      <c r="N147" s="118" t="n"/>
      <c r="O147" s="118" t="n"/>
    </row>
    <row r="148">
      <c r="A148" s="120" t="inlineStr">
        <is>
          <t>Q6</t>
        </is>
      </c>
      <c r="B148" s="140" t="n"/>
      <c r="C148" s="140" t="n"/>
      <c r="D148" s="134" t="n"/>
      <c r="E148" s="134" t="n"/>
      <c r="F148" s="141" t="n"/>
      <c r="G148" s="141" t="n"/>
      <c r="H148" s="133" t="n"/>
      <c r="I148" s="118" t="n"/>
      <c r="J148" s="118" t="n"/>
      <c r="K148" s="118" t="n"/>
      <c r="L148" s="118" t="n"/>
      <c r="M148" s="118" t="n"/>
      <c r="N148" s="118" t="n"/>
      <c r="O148" s="118" t="n"/>
    </row>
    <row r="149">
      <c r="A149" s="118" t="n"/>
      <c r="B149" s="118" t="n"/>
      <c r="C149" s="118" t="n"/>
      <c r="D149" s="118" t="n"/>
      <c r="E149" s="118" t="n"/>
      <c r="F149" s="118" t="n"/>
      <c r="G149" s="118" t="n"/>
      <c r="H149" s="118" t="n"/>
      <c r="I149" s="118" t="n"/>
      <c r="J149" s="118" t="n"/>
      <c r="K149" s="118" t="n"/>
      <c r="L149" s="118" t="n"/>
      <c r="M149" s="118" t="n"/>
      <c r="N149" s="118" t="n"/>
      <c r="O149" s="118" t="n"/>
    </row>
    <row r="150">
      <c r="A150" s="118" t="inlineStr">
        <is>
          <t>Snapshot tip</t>
        </is>
      </c>
      <c r="B150" s="118" t="inlineStr">
        <is>
          <t>At quarter end: copy Q2 linked values into Q3 yellow row as constants (Paste Special Values) before changing next quarter’s packages — preserves history for charts.</t>
        </is>
      </c>
      <c r="C150" s="118" t="n"/>
      <c r="D150" s="118" t="n"/>
      <c r="E150" s="118" t="n"/>
      <c r="F150" s="118" t="n"/>
      <c r="G150" s="118" t="n"/>
      <c r="H150" s="118" t="n"/>
      <c r="I150" s="118" t="n"/>
      <c r="J150" s="118" t="n"/>
      <c r="K150" s="118" t="n"/>
      <c r="L150" s="118" t="n"/>
      <c r="M150" s="118" t="n"/>
      <c r="N150" s="118" t="n"/>
      <c r="O150" s="118" t="n"/>
    </row>
    <row r="151">
      <c r="A151" s="118" t="n"/>
      <c r="B151" s="118" t="n"/>
      <c r="C151" s="118" t="n"/>
      <c r="D151" s="118" t="n"/>
      <c r="E151" s="118" t="n"/>
      <c r="F151" s="118" t="n"/>
      <c r="G151" s="118" t="n"/>
      <c r="H151" s="118" t="n"/>
      <c r="I151" s="118" t="n"/>
      <c r="J151" s="118" t="n"/>
      <c r="K151" s="118" t="n"/>
      <c r="L151" s="118" t="n"/>
      <c r="M151" s="118" t="n"/>
      <c r="N151" s="118" t="n"/>
      <c r="O151" s="118" t="n"/>
    </row>
    <row r="152">
      <c r="A152" s="138" t="inlineStr">
        <is>
          <t>Current comparison — Industry vs Our weights</t>
        </is>
      </c>
      <c r="B152" s="118" t="n"/>
      <c r="C152" s="118" t="n"/>
      <c r="D152" s="118" t="n"/>
      <c r="E152" s="118" t="n"/>
      <c r="F152" s="118" t="n"/>
      <c r="G152" s="118" t="n"/>
      <c r="H152" s="118" t="n"/>
      <c r="I152" s="118" t="n"/>
      <c r="J152" s="118" t="n"/>
      <c r="K152" s="118" t="n"/>
      <c r="L152" s="118" t="n"/>
      <c r="M152" s="118" t="n"/>
      <c r="N152" s="118" t="n"/>
      <c r="O152" s="118" t="n"/>
    </row>
    <row r="153">
      <c r="A153" s="119" t="inlineStr">
        <is>
          <t>Component</t>
        </is>
      </c>
      <c r="B153" s="119" t="inlineStr">
        <is>
          <t>Industry</t>
        </is>
      </c>
      <c r="C153" s="119" t="inlineStr">
        <is>
          <t>Our</t>
        </is>
      </c>
      <c r="D153" s="118" t="n"/>
      <c r="E153" s="118" t="n"/>
      <c r="F153" s="118" t="n"/>
      <c r="G153" s="118" t="n"/>
      <c r="H153" s="118" t="n"/>
      <c r="I153" s="118" t="n"/>
      <c r="J153" s="118" t="n"/>
      <c r="K153" s="118" t="n"/>
      <c r="L153" s="118" t="n"/>
      <c r="M153" s="118" t="n"/>
      <c r="N153" s="118" t="n"/>
      <c r="O153" s="118" t="n"/>
    </row>
    <row r="154">
      <c r="A154" s="120">
        <f>A68</f>
        <v/>
      </c>
      <c r="B154" s="120">
        <f>B68</f>
        <v/>
      </c>
      <c r="C154" s="120">
        <f>F68</f>
        <v/>
      </c>
      <c r="D154" s="118" t="n"/>
      <c r="E154" s="118" t="n"/>
      <c r="F154" s="118" t="n"/>
      <c r="G154" s="118" t="n"/>
      <c r="H154" s="118" t="n"/>
      <c r="I154" s="118" t="n"/>
      <c r="J154" s="118" t="n"/>
      <c r="K154" s="118" t="n"/>
      <c r="L154" s="118" t="n"/>
      <c r="M154" s="118" t="n"/>
      <c r="N154" s="118" t="n"/>
      <c r="O154" s="118" t="n"/>
    </row>
    <row r="155">
      <c r="A155" s="120">
        <f>A69</f>
        <v/>
      </c>
      <c r="B155" s="120">
        <f>B69</f>
        <v/>
      </c>
      <c r="C155" s="120">
        <f>F69</f>
        <v/>
      </c>
      <c r="D155" s="118" t="n"/>
      <c r="E155" s="118" t="n"/>
      <c r="F155" s="118" t="n"/>
      <c r="G155" s="118" t="n"/>
      <c r="H155" s="118" t="n"/>
      <c r="I155" s="118" t="n"/>
      <c r="J155" s="118" t="n"/>
      <c r="K155" s="118" t="n"/>
      <c r="L155" s="118" t="n"/>
      <c r="M155" s="118" t="n"/>
      <c r="N155" s="118" t="n"/>
      <c r="O155" s="118" t="n"/>
    </row>
    <row r="156">
      <c r="A156" s="120">
        <f>A70</f>
        <v/>
      </c>
      <c r="B156" s="120">
        <f>B70</f>
        <v/>
      </c>
      <c r="C156" s="120">
        <f>F70</f>
        <v/>
      </c>
      <c r="D156" s="118" t="n"/>
      <c r="E156" s="118" t="n"/>
      <c r="F156" s="118" t="n"/>
      <c r="G156" s="118" t="n"/>
      <c r="H156" s="118" t="n"/>
      <c r="I156" s="118" t="n"/>
      <c r="J156" s="118" t="n"/>
      <c r="K156" s="118" t="n"/>
      <c r="L156" s="118" t="n"/>
      <c r="M156" s="118" t="n"/>
      <c r="N156" s="118" t="n"/>
      <c r="O156" s="118" t="n"/>
    </row>
    <row r="157">
      <c r="A157" s="120">
        <f>A71</f>
        <v/>
      </c>
      <c r="B157" s="120">
        <f>B71</f>
        <v/>
      </c>
      <c r="C157" s="120">
        <f>F71</f>
        <v/>
      </c>
      <c r="D157" s="118" t="n"/>
      <c r="E157" s="118" t="n"/>
      <c r="F157" s="118" t="n"/>
      <c r="G157" s="118" t="n"/>
      <c r="H157" s="118" t="n"/>
      <c r="I157" s="118" t="n"/>
      <c r="J157" s="118" t="n"/>
      <c r="K157" s="118" t="n"/>
      <c r="L157" s="118" t="n"/>
      <c r="M157" s="118" t="n"/>
      <c r="N157" s="118" t="n"/>
      <c r="O157" s="118" t="n"/>
    </row>
    <row r="158">
      <c r="A158" s="118" t="n"/>
      <c r="B158" s="118" t="n"/>
      <c r="C158" s="118" t="n"/>
      <c r="D158" s="118" t="n"/>
      <c r="E158" s="118" t="n"/>
      <c r="F158" s="118" t="n"/>
      <c r="G158" s="118" t="n"/>
      <c r="H158" s="118" t="n"/>
      <c r="I158" s="118" t="n"/>
      <c r="J158" s="118" t="n"/>
      <c r="K158" s="118" t="n"/>
      <c r="L158" s="118" t="n"/>
      <c r="M158" s="118" t="n"/>
      <c r="N158" s="118" t="n"/>
      <c r="O158" s="118" t="n"/>
    </row>
    <row r="159">
      <c r="A159" s="118" t="n"/>
      <c r="B159" s="118" t="n"/>
      <c r="C159" s="118" t="n"/>
      <c r="D159" s="118" t="n"/>
      <c r="E159" s="118" t="n"/>
      <c r="F159" s="118" t="n"/>
      <c r="G159" s="118" t="n"/>
      <c r="H159" s="118" t="n"/>
      <c r="I159" s="118" t="n"/>
      <c r="J159" s="118" t="n"/>
      <c r="K159" s="118" t="n"/>
      <c r="L159" s="118" t="n"/>
      <c r="M159" s="118" t="n"/>
      <c r="N159" s="118" t="n"/>
      <c r="O159" s="118" t="n"/>
    </row>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s="165" t="inlineStr">
        <is>
          <t>Balanced Scorecard — Q3 actual (WeBike vs industry)</t>
        </is>
      </c>
    </row>
    <row r="2">
      <c r="A2" t="inlineStr">
        <is>
          <t>Total Performance = product of all indicators. WeBike = LAST place (0.411 = industry minimum).</t>
        </is>
      </c>
    </row>
    <row r="3">
      <c r="A3" s="166" t="inlineStr">
        <is>
          <t>Indicator</t>
        </is>
      </c>
      <c r="B3" s="166" t="inlineStr">
        <is>
          <t>Min</t>
        </is>
      </c>
      <c r="C3" s="166" t="inlineStr">
        <is>
          <t>Max</t>
        </is>
      </c>
      <c r="D3" s="166" t="inlineStr">
        <is>
          <t>Average</t>
        </is>
      </c>
      <c r="E3" s="166" t="inlineStr">
        <is>
          <t>WeBike</t>
        </is>
      </c>
      <c r="F3" s="166" t="inlineStr">
        <is>
          <t>vs Avg</t>
        </is>
      </c>
      <c r="G3" s="166" t="inlineStr">
        <is>
          <t>Read</t>
        </is>
      </c>
      <c r="H3" s="166" t="inlineStr">
        <is>
          <t>WeBike rank</t>
        </is>
      </c>
    </row>
    <row r="4">
      <c r="A4" t="inlineStr">
        <is>
          <t>Total Performance</t>
        </is>
      </c>
      <c r="B4" t="n">
        <v>0.411</v>
      </c>
      <c r="C4" t="n">
        <v>21.531</v>
      </c>
      <c r="D4" t="n">
        <v>5.897</v>
      </c>
      <c r="E4" s="167" t="n">
        <v>0.411</v>
      </c>
      <c r="F4">
        <f>E4-D4</f>
        <v/>
      </c>
      <c r="G4" t="inlineStr">
        <is>
          <t>LAST — dragged by Market Perf + Asset Mgmt</t>
        </is>
      </c>
      <c r="H4" s="167" t="n">
        <v>7</v>
      </c>
    </row>
    <row r="5">
      <c r="A5" t="inlineStr">
        <is>
          <t>Financial Performance</t>
        </is>
      </c>
      <c r="B5" t="n">
        <v>5.319</v>
      </c>
      <c r="C5" t="n">
        <v>37.687</v>
      </c>
      <c r="D5" t="n">
        <v>19.006</v>
      </c>
      <c r="E5" s="167" t="n">
        <v>5.319</v>
      </c>
      <c r="F5">
        <f>E5-D5</f>
        <v/>
      </c>
      <c r="G5" t="inlineStr">
        <is>
          <t>LAST — operating loss</t>
        </is>
      </c>
      <c r="H5" s="167" t="n">
        <v>7</v>
      </c>
    </row>
    <row r="6">
      <c r="A6" t="inlineStr">
        <is>
          <t>Market Performance</t>
        </is>
      </c>
      <c r="B6" t="n">
        <v>0.08500000000000001</v>
      </c>
      <c r="C6" t="n">
        <v>0.345</v>
      </c>
      <c r="D6" t="n">
        <v>0.185</v>
      </c>
      <c r="E6" t="n">
        <v>0.098</v>
      </c>
      <c r="F6">
        <f>E6-D6</f>
        <v/>
      </c>
      <c r="G6" t="inlineStr">
        <is>
          <t>Near last — 33% stock-outs</t>
        </is>
      </c>
      <c r="H6" s="167" t="n">
        <v>6</v>
      </c>
    </row>
    <row r="7">
      <c r="A7" t="inlineStr">
        <is>
          <t>Marketing Effectiveness</t>
        </is>
      </c>
      <c r="B7" t="n">
        <v>0.66</v>
      </c>
      <c r="C7" t="n">
        <v>0.765</v>
      </c>
      <c r="D7" t="n">
        <v>0.743</v>
      </c>
      <c r="E7" t="n">
        <v>0.738</v>
      </c>
      <c r="F7">
        <f>E7-D7</f>
        <v/>
      </c>
      <c r="G7" t="inlineStr">
        <is>
          <t>At par — ads working</t>
        </is>
      </c>
      <c r="H7" s="167" t="n">
        <v>6</v>
      </c>
    </row>
    <row r="8">
      <c r="A8" t="inlineStr">
        <is>
          <t>Investment in Future</t>
        </is>
      </c>
      <c r="B8" t="n">
        <v>3.466</v>
      </c>
      <c r="C8" t="n">
        <v>7.401</v>
      </c>
      <c r="D8" t="n">
        <v>5.386</v>
      </c>
      <c r="E8" s="159" t="n">
        <v>6.795</v>
      </c>
      <c r="F8">
        <f>E8-D8</f>
        <v/>
      </c>
      <c r="G8" t="inlineStr">
        <is>
          <t>STRENGTH — 2nd best</t>
        </is>
      </c>
      <c r="H8" s="159" t="n">
        <v>2</v>
      </c>
    </row>
    <row r="9">
      <c r="A9" t="inlineStr">
        <is>
          <t>Wealth</t>
        </is>
      </c>
      <c r="B9" t="n">
        <v>0.668</v>
      </c>
      <c r="C9" t="n">
        <v>1.017</v>
      </c>
      <c r="D9" t="n">
        <v>0.831</v>
      </c>
      <c r="E9" s="167" t="n">
        <v>0.668</v>
      </c>
      <c r="F9">
        <f>E9-D9</f>
        <v/>
      </c>
      <c r="G9" t="inlineStr">
        <is>
          <t>LAST — cumulative losses</t>
        </is>
      </c>
      <c r="H9" s="167" t="n">
        <v>7</v>
      </c>
    </row>
    <row r="10">
      <c r="A10" t="inlineStr">
        <is>
          <t>Human Resource Mgmt</t>
        </is>
      </c>
      <c r="B10" t="n">
        <v>0.6909999999999999</v>
      </c>
      <c r="C10" t="n">
        <v>0.767</v>
      </c>
      <c r="D10" t="n">
        <v>0.724</v>
      </c>
      <c r="E10" t="n">
        <v>0.713</v>
      </c>
      <c r="F10">
        <f>E10-D10</f>
        <v/>
      </c>
      <c r="G10" t="inlineStr">
        <is>
          <t>Below avg — pay fell behind</t>
        </is>
      </c>
      <c r="H10" t="n">
        <v>5</v>
      </c>
    </row>
    <row r="11">
      <c r="A11" t="inlineStr">
        <is>
          <t>Asset Management</t>
        </is>
      </c>
      <c r="B11" t="n">
        <v>0.353</v>
      </c>
      <c r="C11" t="n">
        <v>0.92</v>
      </c>
      <c r="D11" t="n">
        <v>0.542</v>
      </c>
      <c r="E11" s="167" t="n">
        <v>0.353</v>
      </c>
      <c r="F11">
        <f>E11-D11</f>
        <v/>
      </c>
      <c r="G11" t="inlineStr">
        <is>
          <t>LAST — $1.01M idle cash</t>
        </is>
      </c>
      <c r="H11" s="167" t="n">
        <v>7</v>
      </c>
    </row>
    <row r="12">
      <c r="A12" t="inlineStr">
        <is>
          <t>Manufacturing Productivity</t>
        </is>
      </c>
      <c r="B12" t="n">
        <v>0.722</v>
      </c>
      <c r="C12" t="n">
        <v>0.995</v>
      </c>
      <c r="D12" t="n">
        <v>0.899</v>
      </c>
      <c r="E12" s="159" t="n">
        <v>0.9379999999999999</v>
      </c>
      <c r="F12">
        <f>E12-D12</f>
        <v/>
      </c>
      <c r="G12" t="inlineStr">
        <is>
          <t>STRENGTH — but only by under-scheduling</t>
        </is>
      </c>
      <c r="H12" s="159" t="n">
        <v>2</v>
      </c>
    </row>
    <row r="13">
      <c r="A13" t="inlineStr">
        <is>
          <t>Financial Risk</t>
        </is>
      </c>
      <c r="B13" t="n">
        <v>1</v>
      </c>
      <c r="C13" t="n">
        <v>1</v>
      </c>
      <c r="D13" t="n">
        <v>1</v>
      </c>
      <c r="E13" t="n">
        <v>1</v>
      </c>
      <c r="F13">
        <f>E13-D13</f>
        <v/>
      </c>
      <c r="G13" t="inlineStr">
        <is>
          <t>No debt</t>
        </is>
      </c>
      <c r="H13" s="159" t="n">
        <v>1</v>
      </c>
    </row>
    <row r="15">
      <c r="A15" t="inlineStr">
        <is>
          <t>Cumulative BSC (Q2+Q3)</t>
        </is>
      </c>
    </row>
    <row r="16">
      <c r="A16" s="165" t="inlineStr">
        <is>
          <t>Indicator</t>
        </is>
      </c>
      <c r="B16" t="inlineStr">
        <is>
          <t>Min</t>
        </is>
      </c>
      <c r="C16" t="inlineStr">
        <is>
          <t>Max</t>
        </is>
      </c>
      <c r="D16" t="inlineStr">
        <is>
          <t>Average</t>
        </is>
      </c>
      <c r="E16" t="inlineStr">
        <is>
          <t>WeBike</t>
        </is>
      </c>
    </row>
    <row r="17">
      <c r="A17" t="inlineStr">
        <is>
          <t>Cumulative Total Performance</t>
        </is>
      </c>
      <c r="B17" t="n">
        <v>0.033</v>
      </c>
      <c r="C17" t="n">
        <v>6.54</v>
      </c>
      <c r="D17" t="n">
        <v>2.466</v>
      </c>
      <c r="E17" t="n">
        <v>0.033</v>
      </c>
    </row>
    <row r="18">
      <c r="A18" t="inlineStr">
        <is>
          <t>Cumulative Financial Performance</t>
        </is>
      </c>
      <c r="B18" t="n">
        <v>1.203</v>
      </c>
      <c r="C18" t="n">
        <v>24.032</v>
      </c>
      <c r="D18" t="n">
        <v>12.327</v>
      </c>
      <c r="E18" t="n">
        <v>1.203</v>
      </c>
    </row>
    <row r="19">
      <c r="A19" t="inlineStr">
        <is>
          <t>Cumulative Market Performance</t>
        </is>
      </c>
      <c r="B19" t="n">
        <v>0.091</v>
      </c>
      <c r="C19" t="n">
        <v>0.264</v>
      </c>
      <c r="D19" t="n">
        <v>0.168</v>
      </c>
      <c r="E19" t="n">
        <v>0.091</v>
      </c>
    </row>
    <row r="20">
      <c r="A20" t="inlineStr">
        <is>
          <t>Cumulative Marketing Effectiveness</t>
        </is>
      </c>
      <c r="B20" t="n">
        <v>0.576</v>
      </c>
      <c r="C20" t="n">
        <v>0.754</v>
      </c>
      <c r="D20" t="n">
        <v>0.701</v>
      </c>
      <c r="E20" t="n">
        <v>0.576</v>
      </c>
    </row>
    <row r="21">
      <c r="A21" t="inlineStr">
        <is>
          <t>Cumulative Investment in Future</t>
        </is>
      </c>
      <c r="B21" t="n">
        <v>3.466</v>
      </c>
      <c r="C21" t="n">
        <v>7.401</v>
      </c>
      <c r="D21" t="n">
        <v>5.386</v>
      </c>
      <c r="E21" t="n">
        <v>6.795</v>
      </c>
    </row>
    <row r="22">
      <c r="A22" t="inlineStr">
        <is>
          <t>Cumulative Wealth</t>
        </is>
      </c>
      <c r="B22" t="n">
        <v>0.668</v>
      </c>
      <c r="C22" t="n">
        <v>1.017</v>
      </c>
      <c r="D22" t="n">
        <v>0.831</v>
      </c>
      <c r="E22" t="n">
        <v>0.668</v>
      </c>
    </row>
    <row r="23">
      <c r="A23" t="inlineStr">
        <is>
          <t>Cumulative HR Management</t>
        </is>
      </c>
      <c r="B23" t="n">
        <v>0.666</v>
      </c>
      <c r="C23" t="n">
        <v>0.75</v>
      </c>
      <c r="D23" t="n">
        <v>0.709</v>
      </c>
      <c r="E23" t="n">
        <v>0.733</v>
      </c>
    </row>
    <row r="24">
      <c r="A24" t="inlineStr">
        <is>
          <t>Cumulative Asset Management</t>
        </is>
      </c>
      <c r="B24" t="n">
        <v>0.28</v>
      </c>
      <c r="C24" t="n">
        <v>0.71</v>
      </c>
      <c r="D24" t="n">
        <v>0.444</v>
      </c>
      <c r="E24" t="n">
        <v>0.28</v>
      </c>
    </row>
    <row r="25">
      <c r="A25" t="inlineStr">
        <is>
          <t>Cumulative Manufacturing Productivity</t>
        </is>
      </c>
      <c r="B25" t="n">
        <v>0.5659999999999999</v>
      </c>
      <c r="C25" t="n">
        <v>0.969</v>
      </c>
      <c r="D25" t="n">
        <v>0.852</v>
      </c>
      <c r="E25" t="n">
        <v>0.5659999999999999</v>
      </c>
    </row>
    <row r="26">
      <c r="A26" t="inlineStr">
        <is>
          <t>Cumulative Financial Risk</t>
        </is>
      </c>
      <c r="B26" t="n">
        <v>1</v>
      </c>
      <c r="C26" t="n">
        <v>1</v>
      </c>
      <c r="D26" t="n">
        <v>1</v>
      </c>
      <c r="E26" t="n">
        <v>1</v>
      </c>
    </row>
    <row r="29">
      <c r="A29" s="165" t="inlineStr">
        <is>
          <t>Sensitivity — what moves Total Performance</t>
        </is>
      </c>
    </row>
    <row r="30">
      <c r="A30" t="inlineStr">
        <is>
          <t>Scenario</t>
        </is>
      </c>
      <c r="B30" t="inlineStr">
        <is>
          <t>Total Performance</t>
        </is>
      </c>
      <c r="C30" t="inlineStr">
        <is>
          <t>Note</t>
        </is>
      </c>
    </row>
    <row r="31">
      <c r="A31" t="inlineStr">
        <is>
          <t>Q3 actual</t>
        </is>
      </c>
      <c r="B31" t="n">
        <v>0.411</v>
      </c>
      <c r="C31" t="inlineStr">
        <is>
          <t>baseline</t>
        </is>
      </c>
    </row>
    <row r="32">
      <c r="A32" t="inlineStr">
        <is>
          <t>Serve 100% of demand (MP 0.098 -&gt; 0.150)</t>
        </is>
      </c>
      <c r="B32">
        <f>0.411/0.098*0.15</f>
        <v/>
      </c>
      <c r="C32" t="inlineStr">
        <is>
          <t>no stock-outs, same share</t>
        </is>
      </c>
    </row>
    <row r="33">
      <c r="A33" t="inlineStr">
        <is>
          <t>+ Asset turnover 0.353 -&gt; 0.55</t>
        </is>
      </c>
      <c r="B33">
        <f>B32/0.353*0.55</f>
        <v/>
      </c>
      <c r="C33" t="inlineStr">
        <is>
          <t>deploy idle cash into revenue</t>
        </is>
      </c>
    </row>
    <row r="34">
      <c r="A34" t="inlineStr">
        <is>
          <t>+ HR 0.713 -&gt; 0.80</t>
        </is>
      </c>
      <c r="B34">
        <f>B33/0.713*0.80</f>
        <v/>
      </c>
      <c r="C34" t="inlineStr">
        <is>
          <t>raise pay above new industry avg</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65" t="inlineStr">
        <is>
          <t>Q3 Market Demand &amp; Share (all competitors)</t>
        </is>
      </c>
    </row>
    <row r="2">
      <c r="A2" t="inlineStr">
        <is>
          <t>Mountain is our strong segment (#2 of 7). Speed is crowded and we are weak there.</t>
        </is>
      </c>
    </row>
    <row r="3">
      <c r="A3" s="166" t="inlineStr">
        <is>
          <t>Company</t>
        </is>
      </c>
      <c r="B3" s="166" t="inlineStr">
        <is>
          <t>Recreation</t>
        </is>
      </c>
      <c r="C3" s="166" t="inlineStr">
        <is>
          <t>Mountain</t>
        </is>
      </c>
      <c r="D3" s="166" t="inlineStr">
        <is>
          <t>Speed</t>
        </is>
      </c>
      <c r="E3" s="166" t="inlineStr">
        <is>
          <t>Total Demand</t>
        </is>
      </c>
      <c r="F3" s="166" t="inlineStr">
        <is>
          <t>Rec %</t>
        </is>
      </c>
      <c r="G3" s="166" t="inlineStr">
        <is>
          <t>Mtn %</t>
        </is>
      </c>
      <c r="H3" s="166" t="inlineStr">
        <is>
          <t>Speed %</t>
        </is>
      </c>
      <c r="I3" s="166" t="inlineStr">
        <is>
          <t>Total %</t>
        </is>
      </c>
    </row>
    <row r="4">
      <c r="A4" t="inlineStr">
        <is>
          <t>Bike Bros</t>
        </is>
      </c>
      <c r="B4" t="n">
        <v>138</v>
      </c>
      <c r="C4" t="n">
        <v>172</v>
      </c>
      <c r="D4" t="n">
        <v>180</v>
      </c>
      <c r="E4" t="n">
        <v>490</v>
      </c>
      <c r="F4" t="n">
        <v>0.067</v>
      </c>
      <c r="G4" t="n">
        <v>0.1061</v>
      </c>
      <c r="H4" t="n">
        <v>0.0625</v>
      </c>
      <c r="I4" t="n">
        <v>0.0747</v>
      </c>
    </row>
    <row r="5">
      <c r="A5" t="inlineStr">
        <is>
          <t>LiteCycle</t>
        </is>
      </c>
      <c r="B5" t="n">
        <v>96</v>
      </c>
      <c r="C5" t="n">
        <v>340</v>
      </c>
      <c r="D5" t="n">
        <v>548</v>
      </c>
      <c r="E5" t="n">
        <v>984</v>
      </c>
      <c r="F5" t="n">
        <v>0.0466</v>
      </c>
      <c r="G5" t="n">
        <v>0.2097</v>
      </c>
      <c r="H5" t="n">
        <v>0.1904</v>
      </c>
      <c r="I5" t="n">
        <v>0.15</v>
      </c>
    </row>
    <row r="6">
      <c r="A6" s="168" t="inlineStr">
        <is>
          <t>WeBike</t>
        </is>
      </c>
      <c r="B6" s="168" t="n">
        <v>54</v>
      </c>
      <c r="C6" s="168" t="n">
        <v>358</v>
      </c>
      <c r="D6" s="168" t="n">
        <v>215</v>
      </c>
      <c r="E6" s="168" t="n">
        <v>627</v>
      </c>
      <c r="F6" s="168" t="n">
        <v>0.0262</v>
      </c>
      <c r="G6" s="168" t="n">
        <v>0.2209</v>
      </c>
      <c r="H6" s="168" t="n">
        <v>0.0747</v>
      </c>
      <c r="I6" s="168" t="n">
        <v>0.0956</v>
      </c>
    </row>
    <row r="7">
      <c r="A7" t="inlineStr">
        <is>
          <t>BB LLC</t>
        </is>
      </c>
      <c r="B7" t="n">
        <v>99</v>
      </c>
      <c r="C7" t="n">
        <v>751</v>
      </c>
      <c r="D7" t="n">
        <v>657</v>
      </c>
      <c r="E7" t="n">
        <v>1507</v>
      </c>
      <c r="F7" t="n">
        <v>0.0481</v>
      </c>
      <c r="G7" t="n">
        <v>0.4633</v>
      </c>
      <c r="H7" t="n">
        <v>0.2283</v>
      </c>
      <c r="I7" t="n">
        <v>0.2298</v>
      </c>
    </row>
    <row r="8">
      <c r="A8" t="inlineStr">
        <is>
          <t>Spoke'd Up</t>
        </is>
      </c>
      <c r="B8" t="n">
        <v>492</v>
      </c>
      <c r="C8" t="n">
        <v>0</v>
      </c>
      <c r="D8" t="n">
        <v>362</v>
      </c>
      <c r="E8" t="n">
        <v>854</v>
      </c>
      <c r="F8" t="n">
        <v>0.2388</v>
      </c>
      <c r="G8" t="n">
        <v>0</v>
      </c>
      <c r="H8" t="n">
        <v>0.1258</v>
      </c>
      <c r="I8" t="n">
        <v>0.1302</v>
      </c>
    </row>
    <row r="9">
      <c r="A9" t="inlineStr">
        <is>
          <t>SpaceBikes</t>
        </is>
      </c>
      <c r="B9" t="n">
        <v>710</v>
      </c>
      <c r="C9" t="n">
        <v>0</v>
      </c>
      <c r="D9" t="n">
        <v>588</v>
      </c>
      <c r="E9" t="n">
        <v>1298</v>
      </c>
      <c r="F9" t="n">
        <v>0.3447</v>
      </c>
      <c r="G9" t="n">
        <v>0</v>
      </c>
      <c r="H9" t="n">
        <v>0.2043</v>
      </c>
      <c r="I9" t="n">
        <v>0.1979</v>
      </c>
    </row>
    <row r="10">
      <c r="A10" t="inlineStr">
        <is>
          <t>MILC Bikes</t>
        </is>
      </c>
      <c r="B10" t="n">
        <v>471</v>
      </c>
      <c r="C10" t="n">
        <v>0</v>
      </c>
      <c r="D10" t="n">
        <v>328</v>
      </c>
      <c r="E10" t="n">
        <v>799</v>
      </c>
      <c r="F10" t="n">
        <v>0.2286</v>
      </c>
      <c r="G10" t="n">
        <v>0</v>
      </c>
      <c r="H10" t="n">
        <v>0.114</v>
      </c>
      <c r="I10" t="n">
        <v>0.1218</v>
      </c>
    </row>
    <row r="11">
      <c r="A11" t="inlineStr">
        <is>
          <t>TOTAL</t>
        </is>
      </c>
      <c r="B11" t="n">
        <v>2060</v>
      </c>
      <c r="C11" t="n">
        <v>1621</v>
      </c>
      <c r="D11" t="n">
        <v>2878</v>
      </c>
      <c r="E11" t="n">
        <v>6559</v>
      </c>
    </row>
    <row r="14">
      <c r="A14" s="165" t="inlineStr">
        <is>
          <t>Segment read</t>
        </is>
      </c>
      <c r="B14" t="inlineStr">
        <is>
          <t>Detail</t>
        </is>
      </c>
    </row>
    <row r="15">
      <c r="A15" t="inlineStr">
        <is>
          <t>Mountain</t>
        </is>
      </c>
      <c r="B15" t="inlineStr">
        <is>
          <t>Only 4 of 7 firms compete. We are #2 at 22.1% behind BB LLC 46.3%. Smallest segment (1,621) but least crowded.</t>
        </is>
      </c>
    </row>
    <row r="16">
      <c r="A16" t="inlineStr">
        <is>
          <t>Speed</t>
        </is>
      </c>
      <c r="B16" t="inlineStr">
        <is>
          <t>Largest segment (2,878) and all 7 firms compete. We are 6th at 7.5%. Swift Bike is not winning.</t>
        </is>
      </c>
    </row>
    <row r="17">
      <c r="A17" t="inlineStr">
        <is>
          <t>Recreation</t>
        </is>
      </c>
      <c r="B17" t="inlineStr">
        <is>
          <t>Not targeted. 3 firms own ~81% of it.</t>
        </is>
      </c>
    </row>
    <row r="18">
      <c r="A18" t="inlineStr">
        <is>
          <t>BB LLC</t>
        </is>
      </c>
      <c r="B18" t="inlineStr">
        <is>
          <t>Industry leader: 23% total share, dominates Mountain AND #1 Speed. Main rival in our primary.</t>
        </is>
      </c>
    </row>
    <row r="21">
      <c r="A21" s="165" t="inlineStr">
        <is>
          <t>Demand after ill will &amp; stock-outs (WeBike)</t>
        </is>
      </c>
    </row>
    <row r="22">
      <c r="A22" t="inlineStr">
        <is>
          <t>Brand</t>
        </is>
      </c>
      <c r="B22" t="inlineStr">
        <is>
          <t>Generated Demand</t>
        </is>
      </c>
      <c r="C22" t="inlineStr">
        <is>
          <t>Net Demand</t>
        </is>
      </c>
      <c r="D22" t="inlineStr">
        <is>
          <t>Lost to Stock-out</t>
        </is>
      </c>
      <c r="E22" t="inlineStr">
        <is>
          <t>Units Sold</t>
        </is>
      </c>
    </row>
    <row r="23">
      <c r="A23" t="inlineStr">
        <is>
          <t>Hike Bike</t>
        </is>
      </c>
      <c r="B23" t="n">
        <v>412</v>
      </c>
      <c r="C23" t="n">
        <v>412</v>
      </c>
      <c r="D23" t="n">
        <v>134</v>
      </c>
      <c r="E23" t="n">
        <v>278</v>
      </c>
    </row>
    <row r="24">
      <c r="A24" t="inlineStr">
        <is>
          <t>Swift Bike</t>
        </is>
      </c>
      <c r="B24" t="n">
        <v>215</v>
      </c>
      <c r="C24" t="n">
        <v>215</v>
      </c>
      <c r="D24" t="n">
        <v>70</v>
      </c>
      <c r="E24" t="n">
        <v>145</v>
      </c>
    </row>
    <row r="25">
      <c r="A25" t="inlineStr">
        <is>
          <t>Total</t>
        </is>
      </c>
      <c r="B25" t="n">
        <v>627</v>
      </c>
      <c r="C25" t="n">
        <v>627</v>
      </c>
      <c r="D25" t="n">
        <v>204</v>
      </c>
      <c r="E25" t="n">
        <v>423</v>
      </c>
    </row>
    <row r="26">
      <c r="A26" t="inlineStr">
        <is>
          <t>Percent of demand served</t>
        </is>
      </c>
      <c r="B26">
        <f>E25/C25</f>
        <v/>
      </c>
      <c r="E26" t="inlineStr">
        <is>
          <t>67%</t>
        </is>
      </c>
    </row>
    <row r="27">
      <c r="A27" t="inlineStr">
        <is>
          <t>Q4 ill-will penalty (half of lost %)</t>
        </is>
      </c>
      <c r="B27">
        <f>D25/C25/2</f>
        <v/>
      </c>
      <c r="C27" t="inlineStr">
        <is>
          <t>Q4 generated demand cut by this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s="165" t="inlineStr">
        <is>
          <t>Income Statement / Cash Flow / Balance Sheet — Q1-Q3 actual</t>
        </is>
      </c>
    </row>
    <row r="3">
      <c r="A3" s="166" t="inlineStr">
        <is>
          <t>Income Statement</t>
        </is>
      </c>
      <c r="B3" s="166" t="inlineStr">
        <is>
          <t>Q1</t>
        </is>
      </c>
      <c r="C3" s="166" t="inlineStr">
        <is>
          <t>Q2</t>
        </is>
      </c>
      <c r="D3" s="166" t="inlineStr">
        <is>
          <t>Q3</t>
        </is>
      </c>
    </row>
    <row r="4">
      <c r="A4" t="inlineStr">
        <is>
          <t>Revenues</t>
        </is>
      </c>
      <c r="B4" t="n">
        <v>0</v>
      </c>
      <c r="C4" t="n">
        <v>266175</v>
      </c>
      <c r="D4" t="n">
        <v>589720</v>
      </c>
    </row>
    <row r="5">
      <c r="A5" t="inlineStr">
        <is>
          <t>- Cost of Goods Sold</t>
        </is>
      </c>
      <c r="B5" t="n">
        <v>0</v>
      </c>
      <c r="C5" t="n">
        <v>100928</v>
      </c>
      <c r="D5" t="n">
        <v>272340</v>
      </c>
    </row>
    <row r="6">
      <c r="A6">
        <f> Gross Profit</f>
        <v/>
      </c>
      <c r="B6" t="n">
        <v>0</v>
      </c>
      <c r="C6" t="n">
        <v>165247</v>
      </c>
      <c r="D6" t="n">
        <v>317380</v>
      </c>
    </row>
    <row r="7">
      <c r="A7" t="inlineStr">
        <is>
          <t>Research and Development</t>
        </is>
      </c>
      <c r="B7" t="n">
        <v>30000</v>
      </c>
      <c r="C7" t="n">
        <v>0</v>
      </c>
      <c r="D7" t="n">
        <v>30000</v>
      </c>
    </row>
    <row r="8">
      <c r="A8" t="inlineStr">
        <is>
          <t>+ Advertising</t>
        </is>
      </c>
      <c r="B8" t="n">
        <v>0</v>
      </c>
      <c r="C8" t="n">
        <v>81780</v>
      </c>
      <c r="D8" t="n">
        <v>119165</v>
      </c>
    </row>
    <row r="9">
      <c r="A9" t="inlineStr">
        <is>
          <t>+ Internet Marketing</t>
        </is>
      </c>
      <c r="B9" t="n">
        <v>0</v>
      </c>
      <c r="C9" t="n">
        <v>1000</v>
      </c>
      <c r="D9" t="n">
        <v>2000</v>
      </c>
    </row>
    <row r="10">
      <c r="A10" t="inlineStr">
        <is>
          <t>+ Sales Force Expense</t>
        </is>
      </c>
      <c r="B10" t="n">
        <v>0</v>
      </c>
      <c r="C10" t="n">
        <v>70010</v>
      </c>
      <c r="D10" t="n">
        <v>93815</v>
      </c>
    </row>
    <row r="11">
      <c r="A11" t="inlineStr">
        <is>
          <t>+ Store and Web Center Expense</t>
        </is>
      </c>
      <c r="B11" t="n">
        <v>286000</v>
      </c>
      <c r="C11" t="n">
        <v>194000</v>
      </c>
      <c r="D11" t="n">
        <v>121000</v>
      </c>
    </row>
    <row r="12">
      <c r="A12" t="inlineStr">
        <is>
          <t>+ Web Sales Productivity</t>
        </is>
      </c>
      <c r="B12" t="n">
        <v>0</v>
      </c>
      <c r="C12" t="n">
        <v>18000</v>
      </c>
      <c r="D12" t="n">
        <v>6000</v>
      </c>
    </row>
    <row r="13">
      <c r="A13" t="inlineStr">
        <is>
          <t>+ Marketing Research</t>
        </is>
      </c>
      <c r="B13" t="n">
        <v>0</v>
      </c>
      <c r="C13" t="n">
        <v>20000</v>
      </c>
      <c r="D13" t="n">
        <v>20000</v>
      </c>
    </row>
    <row r="14">
      <c r="A14" t="inlineStr">
        <is>
          <t>+ Shipping</t>
        </is>
      </c>
      <c r="B14" t="n">
        <v>0</v>
      </c>
      <c r="C14" t="n">
        <v>3537</v>
      </c>
      <c r="D14" t="n">
        <v>6830</v>
      </c>
    </row>
    <row r="15">
      <c r="A15" t="inlineStr">
        <is>
          <t>+ Excess Capacity Cost</t>
        </is>
      </c>
      <c r="B15" t="n">
        <v>0</v>
      </c>
      <c r="C15" t="n">
        <v>148652</v>
      </c>
      <c r="D15" t="n">
        <v>0</v>
      </c>
    </row>
    <row r="16">
      <c r="A16" t="inlineStr">
        <is>
          <t>+ Depreciation</t>
        </is>
      </c>
      <c r="B16" t="n">
        <v>0</v>
      </c>
      <c r="C16" t="n">
        <v>30000</v>
      </c>
      <c r="D16" t="n">
        <v>30000</v>
      </c>
    </row>
    <row r="17">
      <c r="A17">
        <f> Total Expenses</f>
        <v/>
      </c>
      <c r="B17" t="n">
        <v>316000</v>
      </c>
      <c r="C17" t="n">
        <v>566978</v>
      </c>
      <c r="D17" t="n">
        <v>428810</v>
      </c>
    </row>
    <row r="18">
      <c r="A18" t="inlineStr">
        <is>
          <t>Operating Profit</t>
        </is>
      </c>
      <c r="B18" t="n">
        <v>-316000</v>
      </c>
      <c r="C18" t="n">
        <v>-401731</v>
      </c>
      <c r="D18" t="n">
        <v>-111431</v>
      </c>
    </row>
    <row r="19">
      <c r="A19">
        <f> Net Income</f>
        <v/>
      </c>
      <c r="B19" t="n">
        <v>-316000</v>
      </c>
      <c r="C19" t="n">
        <v>-401731</v>
      </c>
      <c r="D19" t="n">
        <v>-111431</v>
      </c>
    </row>
    <row r="20">
      <c r="A20" t="inlineStr">
        <is>
          <t>Earnings per Share</t>
        </is>
      </c>
      <c r="B20" t="n">
        <v>-21</v>
      </c>
      <c r="C20" t="n">
        <v>-20</v>
      </c>
      <c r="D20" t="n">
        <v>-4</v>
      </c>
    </row>
    <row r="24">
      <c r="A24" s="165" t="inlineStr">
        <is>
          <t>Cash Flow</t>
        </is>
      </c>
      <c r="B24" t="inlineStr">
        <is>
          <t>Q1</t>
        </is>
      </c>
      <c r="C24" t="inlineStr">
        <is>
          <t>Q2</t>
        </is>
      </c>
      <c r="D24" t="inlineStr">
        <is>
          <t>Q3</t>
        </is>
      </c>
    </row>
    <row r="25">
      <c r="A25" t="inlineStr">
        <is>
          <t>Beginning Cash</t>
        </is>
      </c>
      <c r="B25" t="n">
        <v>0</v>
      </c>
      <c r="C25" t="n">
        <v>464000</v>
      </c>
      <c r="D25" t="n">
        <v>592269</v>
      </c>
    </row>
    <row r="26">
      <c r="A26" t="inlineStr">
        <is>
          <t>Net Operating Cash Flow</t>
        </is>
      </c>
      <c r="B26" t="n">
        <v>-316000</v>
      </c>
      <c r="C26" t="n">
        <v>-371731</v>
      </c>
      <c r="D26" t="n">
        <v>-81431</v>
      </c>
    </row>
    <row r="27">
      <c r="A27" t="inlineStr">
        <is>
          <t>Investing (fixed capacity)</t>
        </is>
      </c>
      <c r="B27" t="n">
        <v>720000</v>
      </c>
      <c r="C27" t="n">
        <v>0</v>
      </c>
      <c r="D27" t="n">
        <v>0</v>
      </c>
    </row>
    <row r="28">
      <c r="A28" t="inlineStr">
        <is>
          <t>Financing (stock issued)</t>
        </is>
      </c>
      <c r="B28" t="n">
        <v>1500000</v>
      </c>
      <c r="C28" t="n">
        <v>500000</v>
      </c>
      <c r="D28" t="n">
        <v>500000</v>
      </c>
    </row>
    <row r="29">
      <c r="A29" t="inlineStr">
        <is>
          <t>Ending Cash</t>
        </is>
      </c>
      <c r="B29" t="n">
        <v>464000</v>
      </c>
      <c r="C29" t="n">
        <v>592269</v>
      </c>
      <c r="D29" t="n">
        <v>1010838</v>
      </c>
    </row>
    <row r="32">
      <c r="A32" s="165" t="inlineStr">
        <is>
          <t>Balance Sheet</t>
        </is>
      </c>
      <c r="B32" t="inlineStr">
        <is>
          <t>Q1</t>
        </is>
      </c>
      <c r="C32" t="inlineStr">
        <is>
          <t>Q2</t>
        </is>
      </c>
      <c r="D32" t="inlineStr">
        <is>
          <t>Q3</t>
        </is>
      </c>
    </row>
    <row r="33">
      <c r="A33" t="inlineStr">
        <is>
          <t>Cash</t>
        </is>
      </c>
      <c r="B33" t="n">
        <v>464000</v>
      </c>
      <c r="C33" t="n">
        <v>592269</v>
      </c>
      <c r="D33" t="n">
        <v>1010838</v>
      </c>
    </row>
    <row r="34">
      <c r="A34" t="inlineStr">
        <is>
          <t>3-Month CD</t>
        </is>
      </c>
      <c r="B34" t="n">
        <v>0</v>
      </c>
      <c r="C34" t="n">
        <v>0</v>
      </c>
      <c r="D34" t="n">
        <v>0</v>
      </c>
    </row>
    <row r="35">
      <c r="A35" t="inlineStr">
        <is>
          <t>Net Fixed Assets</t>
        </is>
      </c>
      <c r="B35" t="n">
        <v>720000</v>
      </c>
      <c r="C35" t="n">
        <v>690000</v>
      </c>
      <c r="D35" t="n">
        <v>660000</v>
      </c>
    </row>
    <row r="36">
      <c r="A36">
        <f> Total Assets</f>
        <v/>
      </c>
      <c r="B36" t="n">
        <v>1184000</v>
      </c>
      <c r="C36" t="n">
        <v>1282269</v>
      </c>
      <c r="D36" t="n">
        <v>1670838</v>
      </c>
    </row>
    <row r="37">
      <c r="A37" t="inlineStr">
        <is>
          <t>Common Stock</t>
        </is>
      </c>
      <c r="B37" t="n">
        <v>1500000</v>
      </c>
      <c r="C37" t="n">
        <v>2000000</v>
      </c>
      <c r="D37" t="n">
        <v>2500000</v>
      </c>
    </row>
    <row r="38">
      <c r="A38" t="inlineStr">
        <is>
          <t>Retained Earnings</t>
        </is>
      </c>
      <c r="B38" t="n">
        <v>-316000</v>
      </c>
      <c r="C38" t="n">
        <v>-717731</v>
      </c>
      <c r="D38" t="n">
        <v>-829162</v>
      </c>
    </row>
    <row r="39">
      <c r="A39" t="inlineStr">
        <is>
          <t>Shares issued</t>
        </is>
      </c>
      <c r="B39" t="n">
        <v>15000</v>
      </c>
      <c r="C39" t="n">
        <v>20000</v>
      </c>
      <c r="D39" t="n">
        <v>25000</v>
      </c>
    </row>
    <row r="42">
      <c r="A42" s="165" t="inlineStr">
        <is>
          <t>Industry ratios (Q3)</t>
        </is>
      </c>
      <c r="B42" t="inlineStr">
        <is>
          <t>Lowest</t>
        </is>
      </c>
      <c r="C42" t="inlineStr">
        <is>
          <t>Highest</t>
        </is>
      </c>
      <c r="D42" t="inlineStr">
        <is>
          <t>Average</t>
        </is>
      </c>
      <c r="E42" t="inlineStr">
        <is>
          <t>WeBike</t>
        </is>
      </c>
    </row>
    <row r="43">
      <c r="A43" t="inlineStr">
        <is>
          <t>Fixed Assets Turnover</t>
        </is>
      </c>
      <c r="B43" t="n">
        <v>0.63</v>
      </c>
      <c r="C43" t="n">
        <v>2.14</v>
      </c>
      <c r="D43" t="n">
        <v>1.22</v>
      </c>
      <c r="E43" t="n">
        <v>0.89</v>
      </c>
    </row>
    <row r="44">
      <c r="A44" t="inlineStr">
        <is>
          <t>Total Assets Turnover</t>
        </is>
      </c>
      <c r="B44" t="n">
        <v>0.35</v>
      </c>
      <c r="C44" t="n">
        <v>0.92</v>
      </c>
      <c r="D44" t="n">
        <v>0.54</v>
      </c>
      <c r="E44" t="n">
        <v>0.35</v>
      </c>
    </row>
    <row r="45">
      <c r="A45" t="inlineStr">
        <is>
          <t>Gross Profit Margin</t>
        </is>
      </c>
      <c r="B45" t="n">
        <v>0.5382</v>
      </c>
      <c r="C45" t="n">
        <v>0.6546999999999999</v>
      </c>
      <c r="D45" t="n">
        <v>0.5824</v>
      </c>
      <c r="E45" t="n">
        <v>0.5382</v>
      </c>
    </row>
    <row r="46">
      <c r="A46" t="inlineStr">
        <is>
          <t>Net Profit Margin</t>
        </is>
      </c>
      <c r="B46" t="n">
        <v>-0.41</v>
      </c>
      <c r="C46" t="n">
        <v>0.2823</v>
      </c>
      <c r="D46" t="n">
        <v>0.008999999999999999</v>
      </c>
      <c r="E46" t="n">
        <v>-0.189</v>
      </c>
    </row>
    <row r="47">
      <c r="A47" t="inlineStr">
        <is>
          <t>Return on Assets</t>
        </is>
      </c>
      <c r="B47" t="n">
        <v>-0.1493</v>
      </c>
      <c r="C47" t="n">
        <v>0.2132</v>
      </c>
      <c r="D47" t="n">
        <v>0.0368</v>
      </c>
      <c r="E47" t="n">
        <v>-0.0667</v>
      </c>
    </row>
    <row r="48">
      <c r="A48" t="inlineStr">
        <is>
          <t>Revenues</t>
        </is>
      </c>
      <c r="B48" t="n">
        <v>589720</v>
      </c>
      <c r="C48" t="n">
        <v>2198310</v>
      </c>
      <c r="D48" t="n">
        <v>1170036</v>
      </c>
      <c r="E48" t="n">
        <v>589720</v>
      </c>
    </row>
    <row r="49">
      <c r="A49" t="inlineStr">
        <is>
          <t>Gross Profit</t>
        </is>
      </c>
      <c r="B49" t="n">
        <v>317380</v>
      </c>
      <c r="C49" t="n">
        <v>1204529</v>
      </c>
      <c r="D49" t="n">
        <v>683601</v>
      </c>
      <c r="E49" t="n">
        <v>317380</v>
      </c>
    </row>
    <row r="50">
      <c r="A50" t="inlineStr">
        <is>
          <t>Net Income</t>
        </is>
      </c>
      <c r="B50" t="n">
        <v>-297348</v>
      </c>
      <c r="C50" t="n">
        <v>510317</v>
      </c>
      <c r="D50" t="n">
        <v>103771</v>
      </c>
      <c r="E50" t="n">
        <v>-111431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65" t="inlineStr">
        <is>
          <t>Q3 realized unit economics + cost of the stock-out</t>
        </is>
      </c>
    </row>
    <row r="2">
      <c r="A2" t="inlineStr">
        <is>
          <t>Actual prices/costs from the Sales report. Contribution per unit is strong; we simply did not build enough.</t>
        </is>
      </c>
    </row>
    <row r="3">
      <c r="A3" s="166" t="inlineStr">
        <is>
          <t>Brand</t>
        </is>
      </c>
      <c r="B3" s="166" t="inlineStr">
        <is>
          <t>Units Sold</t>
        </is>
      </c>
      <c r="C3" s="166" t="inlineStr">
        <is>
          <t>Revenue</t>
        </is>
      </c>
      <c r="D3" s="166" t="inlineStr">
        <is>
          <t>COGS</t>
        </is>
      </c>
      <c r="E3" s="166" t="inlineStr">
        <is>
          <t>Price/unit</t>
        </is>
      </c>
      <c r="F3" s="166" t="inlineStr">
        <is>
          <t>Cost/unit</t>
        </is>
      </c>
      <c r="G3" s="166" t="inlineStr">
        <is>
          <t>Contribution/unit</t>
        </is>
      </c>
      <c r="H3" s="166" t="inlineStr">
        <is>
          <t>Lost units</t>
        </is>
      </c>
      <c r="I3" s="166" t="inlineStr">
        <is>
          <t>Lost contribution</t>
        </is>
      </c>
    </row>
    <row r="4">
      <c r="A4" t="inlineStr">
        <is>
          <t>Hike Bike</t>
        </is>
      </c>
      <c r="B4" t="n">
        <v>278</v>
      </c>
      <c r="C4" t="n">
        <v>379470</v>
      </c>
      <c r="D4" t="n">
        <v>171741</v>
      </c>
      <c r="E4">
        <f>C4/B4</f>
        <v/>
      </c>
      <c r="F4">
        <f>D4/B4</f>
        <v/>
      </c>
      <c r="G4">
        <f>E4-F4</f>
        <v/>
      </c>
      <c r="H4" t="n">
        <v>134</v>
      </c>
      <c r="I4">
        <f>G4*H4</f>
        <v/>
      </c>
    </row>
    <row r="5">
      <c r="A5" t="inlineStr">
        <is>
          <t>Swift Bike</t>
        </is>
      </c>
      <c r="B5" t="n">
        <v>145</v>
      </c>
      <c r="C5" t="n">
        <v>210250</v>
      </c>
      <c r="D5" t="n">
        <v>100599</v>
      </c>
      <c r="E5">
        <f>C5/B5</f>
        <v/>
      </c>
      <c r="F5">
        <f>D5/B5</f>
        <v/>
      </c>
      <c r="G5">
        <f>E5-F5</f>
        <v/>
      </c>
      <c r="H5" t="n">
        <v>70</v>
      </c>
      <c r="I5">
        <f>G5*H5</f>
        <v/>
      </c>
    </row>
    <row r="6">
      <c r="A6" t="inlineStr">
        <is>
          <t>Total</t>
        </is>
      </c>
      <c r="B6">
        <f>SUM(B4:B5)</f>
        <v/>
      </c>
      <c r="C6">
        <f>SUM(C4:C5)</f>
        <v/>
      </c>
      <c r="D6">
        <f>SUM(D4:D5)</f>
        <v/>
      </c>
      <c r="H6">
        <f>SUM(H4:H5)</f>
        <v/>
      </c>
      <c r="I6">
        <f>SUM(I4:I5)</f>
        <v/>
      </c>
    </row>
    <row r="9">
      <c r="A9" s="165" t="inlineStr">
        <is>
          <t>Counterfactual — if every unit of demand had been built</t>
        </is>
      </c>
    </row>
    <row r="10">
      <c r="A10" t="inlineStr">
        <is>
          <t>Q3 operating profit (actual)</t>
        </is>
      </c>
      <c r="B10" t="n">
        <v>-111431</v>
      </c>
    </row>
    <row r="11">
      <c r="A11" t="inlineStr">
        <is>
          <t>+ Gross margin lost to stock-outs</t>
        </is>
      </c>
      <c r="B11">
        <f>I6</f>
        <v/>
      </c>
    </row>
    <row r="12">
      <c r="A12">
        <f> Operating profit if fully served</f>
        <v/>
      </c>
      <c r="B12" s="159">
        <f>B10+B11</f>
        <v/>
      </c>
    </row>
    <row r="13">
      <c r="A13" t="inlineStr">
        <is>
          <t>Note</t>
        </is>
      </c>
      <c r="B13" t="inlineStr">
        <is>
          <t>Ignores extra shipping/labor; higher volume would also LOWER unit cost (cost curve).</t>
        </is>
      </c>
    </row>
    <row r="16">
      <c r="A16" s="165" t="inlineStr">
        <is>
          <t>Capacity back-solve — what actually happened</t>
        </is>
      </c>
    </row>
    <row r="17">
      <c r="A17" t="inlineStr">
        <is>
          <t>Units produced</t>
        </is>
      </c>
      <c r="B17" t="n">
        <v>423</v>
      </c>
    </row>
    <row r="18">
      <c r="A18" t="inlineStr">
        <is>
          <t>Overtime as % of operating capacity used</t>
        </is>
      </c>
      <c r="B18" t="n">
        <v>0.13</v>
      </c>
    </row>
    <row r="19">
      <c r="A19" t="inlineStr">
        <is>
          <t>Implied normal-hours units</t>
        </is>
      </c>
      <c r="B19">
        <f>B17/(1+B18)</f>
        <v/>
      </c>
    </row>
    <row r="20">
      <c r="A20" t="inlineStr">
        <is>
          <t>Implied units/day (65 days)</t>
        </is>
      </c>
      <c r="B20">
        <f>B19/65</f>
        <v/>
      </c>
    </row>
    <row r="21">
      <c r="A21" t="inlineStr">
        <is>
          <t>Production worker productivity (actual)</t>
        </is>
      </c>
      <c r="B21" t="n">
        <v>0.72</v>
      </c>
    </row>
    <row r="22">
      <c r="A22" t="inlineStr">
        <is>
          <t>Implied SCHEDULED operating capacity</t>
        </is>
      </c>
      <c r="B22" s="167">
        <f>B20/B21</f>
        <v/>
      </c>
    </row>
    <row r="23">
      <c r="A23" t="inlineStr">
        <is>
          <t>Fixed capacity available</t>
        </is>
      </c>
      <c r="B23" t="n">
        <v>24</v>
      </c>
    </row>
    <row r="24">
      <c r="A24" t="inlineStr">
        <is>
          <t>Unused fixed capacity per day</t>
        </is>
      </c>
      <c r="B24" s="167">
        <f>B23-B22</f>
        <v/>
      </c>
    </row>
    <row r="25">
      <c r="A25" t="inlineStr">
        <is>
          <t>Read</t>
        </is>
      </c>
      <c r="B25" t="inlineStr">
        <is>
          <t>We owned 24/day and only scheduled ~8/day. The stock-out was a scheduling error, not a printer shortage.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75"/>
  <sheetViews>
    <sheetView workbookViewId="0">
      <selection activeCell="A1" sqref="A1"/>
    </sheetView>
  </sheetViews>
  <sheetFormatPr baseColWidth="8" defaultRowHeight="15"/>
  <cols>
    <col width="46" customWidth="1" style="146" min="1" max="1"/>
    <col width="16" customWidth="1" style="146" min="2" max="2"/>
    <col width="26" customWidth="1" style="146" min="3" max="3"/>
    <col width="24" customWidth="1" style="146" min="4" max="4"/>
  </cols>
  <sheetData>
    <row r="1">
      <c r="A1" s="165" t="inlineStr">
        <is>
          <t>Q4 planning — operating capacity sizing (yellow = decision)</t>
        </is>
      </c>
    </row>
    <row r="2">
      <c r="A2" s="170" t="inlineStr">
        <is>
          <t>Rule: required OC/day = forecast units / (productivity x 65 days). Never schedule below the forecast again. Q3 proof: OC 8/day vs 24 owned -&gt; 204 stock-outs AND labour cost/unit up $130 -&gt; $205.</t>
        </is>
      </c>
    </row>
    <row r="3">
      <c r="A3" s="166" t="inlineStr">
        <is>
          <t>Input</t>
        </is>
      </c>
      <c r="B3" s="166" t="inlineStr">
        <is>
          <t>Value</t>
        </is>
      </c>
      <c r="C3" s="166" t="inlineStr">
        <is>
          <t>Note</t>
        </is>
      </c>
    </row>
    <row r="4">
      <c r="A4" t="inlineStr">
        <is>
          <t>Q3 generated demand</t>
        </is>
      </c>
      <c r="B4" t="n">
        <v>627</v>
      </c>
      <c r="C4" t="inlineStr">
        <is>
          <t>actual</t>
        </is>
      </c>
    </row>
    <row r="5">
      <c r="A5" t="inlineStr">
        <is>
          <t>Ill-will penalty % (half of 32.5% lost)</t>
        </is>
      </c>
      <c r="B5" t="n">
        <v>0.163</v>
      </c>
      <c r="C5" t="inlineStr">
        <is>
          <t>applies to Q4 generated demand</t>
        </is>
      </c>
    </row>
    <row r="6">
      <c r="A6" t="inlineStr">
        <is>
          <t>Assumed demand growth before ill will</t>
        </is>
      </c>
      <c r="B6" s="168" t="n">
        <v>1.25</v>
      </c>
      <c r="C6" t="inlineStr">
        <is>
          <t>Q3 demand growth was +235% (highest in industry) on 2 stores; 1.25x is conservative</t>
        </is>
      </c>
    </row>
    <row r="7">
      <c r="A7" t="inlineStr">
        <is>
          <t>Q4 forecast demand (after ill will)</t>
        </is>
      </c>
      <c r="B7">
        <f>B4*B6*(1-B5)</f>
        <v/>
      </c>
      <c r="C7" t="inlineStr">
        <is>
          <t>feed to Demand_Forecast</t>
        </is>
      </c>
    </row>
    <row r="8">
      <c r="A8" t="inlineStr">
        <is>
          <t>Assumed production worker productivity</t>
        </is>
      </c>
      <c r="B8" s="168" t="n">
        <v>0.74</v>
      </c>
      <c r="C8" t="inlineStr">
        <is>
          <t>Graph-checked: industry runs 68-73%. Assume 74% WITH a pay raise. Never plan on 85%.</t>
        </is>
      </c>
    </row>
    <row r="9">
      <c r="A9" t="inlineStr">
        <is>
          <t>Capacity factor (1 / productivity)</t>
        </is>
      </c>
      <c r="B9" s="159">
        <f>1/B8</f>
        <v/>
      </c>
      <c r="C9" s="170" t="inlineStr">
        <is>
          <t>CORRECTED: was 1+(1-p)=1.26, which understated the requirement. 1/0.74 = 1.35.</t>
        </is>
      </c>
    </row>
    <row r="10">
      <c r="A10" t="inlineStr">
        <is>
          <t>Required OC per day</t>
        </is>
      </c>
      <c r="B10">
        <f>B7/(B8*65)</f>
        <v/>
      </c>
      <c r="C10" t="inlineStr">
        <is>
          <t>units / (productivity x days) - schedule AT LEAST this</t>
        </is>
      </c>
    </row>
    <row r="11">
      <c r="A11" t="inlineStr">
        <is>
          <t>Required OC per quarter</t>
        </is>
      </c>
      <c r="B11">
        <f>B10*65</f>
        <v/>
      </c>
    </row>
    <row r="12">
      <c r="A12" t="inlineStr">
        <is>
          <t>Fixed capacity per day</t>
        </is>
      </c>
      <c r="B12" t="n">
        <v>24</v>
      </c>
      <c r="C12" t="inlineStr">
        <is>
          <t>3 printers</t>
        </is>
      </c>
    </row>
    <row r="13">
      <c r="A13" t="inlineStr">
        <is>
          <t>Headroom (fixed - required)</t>
        </is>
      </c>
      <c r="B13">
        <f>B12-B10</f>
        <v/>
      </c>
      <c r="C13" t="inlineStr">
        <is>
          <t>if negative, order printers THIS quarter</t>
        </is>
      </c>
    </row>
    <row r="14">
      <c r="A14" t="inlineStr">
        <is>
          <t>Suggested scheduled OC (safety on top)</t>
        </is>
      </c>
      <c r="B14">
        <f>ROUNDUP(B10*1.1,0)</f>
        <v/>
      </c>
      <c r="C14" t="inlineStr">
        <is>
          <t>~10% cushion vs excess-capacity cost</t>
        </is>
      </c>
    </row>
    <row r="16">
      <c r="B16" s="168" t="n"/>
    </row>
    <row r="18">
      <c r="A18" s="165" t="inlineStr">
        <is>
          <t>Other Q4 levers</t>
        </is>
      </c>
      <c r="B18" t="inlineStr">
        <is>
          <t>Q3 value</t>
        </is>
      </c>
      <c r="C18" t="inlineStr">
        <is>
          <t>Direction</t>
        </is>
      </c>
      <c r="D18" t="inlineStr">
        <is>
          <t>Why</t>
        </is>
      </c>
    </row>
    <row r="19">
      <c r="A19" t="inlineStr">
        <is>
          <t>Sales force productivity</t>
        </is>
      </c>
      <c r="B19" t="n">
        <v>0.7</v>
      </c>
      <c r="C19" t="inlineStr">
        <is>
          <t>RAISE PAY</t>
        </is>
      </c>
      <c r="D19" t="inlineStr">
        <is>
          <t>Fell from 85% projected — competitors out-paid us; Q4 shows industry averages</t>
        </is>
      </c>
    </row>
    <row r="20">
      <c r="A20" t="inlineStr">
        <is>
          <t>Production worker productivity</t>
        </is>
      </c>
      <c r="B20" t="n">
        <v>0.72</v>
      </c>
      <c r="C20" t="inlineStr">
        <is>
          <t>RAISE PAY</t>
        </is>
      </c>
      <c r="D20" t="inlineStr">
        <is>
          <t>Same; also feeds capacity pad</t>
        </is>
      </c>
    </row>
    <row r="21">
      <c r="A21" t="inlineStr">
        <is>
          <t>Common stock issued</t>
        </is>
      </c>
      <c r="B21" t="n">
        <v>500000</v>
      </c>
      <c r="C21" t="inlineStr">
        <is>
          <t>STOP if cash idle</t>
        </is>
      </c>
      <c r="D21" t="inlineStr">
        <is>
          <t>More shares lowers Financial Performance (per-share) and Asset Turnover</t>
        </is>
      </c>
    </row>
    <row r="22">
      <c r="A22" t="inlineStr">
        <is>
          <t>Cash on hand</t>
        </is>
      </c>
      <c r="B22" t="n">
        <v>1010838</v>
      </c>
      <c r="C22" t="inlineStr">
        <is>
          <t>DEPLOY</t>
        </is>
      </c>
      <c r="D22" t="inlineStr">
        <is>
          <t>Idle cash is the #1 cause of Asset Mgmt 0.353 (last place)</t>
        </is>
      </c>
    </row>
    <row r="23">
      <c r="A23" t="inlineStr">
        <is>
          <t>City #3</t>
        </is>
      </c>
      <c r="C23" t="inlineStr">
        <is>
          <t>OPEN ONE</t>
        </is>
      </c>
      <c r="D23" t="inlineStr">
        <is>
          <t>Revenue growth is the cure for Asset Turnover and unit cost</t>
        </is>
      </c>
    </row>
    <row r="24">
      <c r="A24" t="inlineStr">
        <is>
          <t>Speed share</t>
        </is>
      </c>
      <c r="B24" t="n">
        <v>0.0747</v>
      </c>
      <c r="C24" t="inlineStr">
        <is>
          <t>FIX OR REFOCUS</t>
        </is>
      </c>
      <c r="D24" t="inlineStr">
        <is>
          <t>Speed ad judgment 70 vs Mountain 80; segment is crowded by all 7 firms</t>
        </is>
      </c>
    </row>
    <row r="25">
      <c r="A25" t="inlineStr">
        <is>
          <t>Gross margin</t>
        </is>
      </c>
      <c r="B25" t="n">
        <v>0.5382</v>
      </c>
      <c r="C25" t="inlineStr">
        <is>
          <t>RISES WITH VOLUME</t>
        </is>
      </c>
      <c r="D25" t="inlineStr">
        <is>
          <t>Lowest in industry because volume is lowest</t>
        </is>
      </c>
    </row>
    <row r="28">
      <c r="A28" s="166" t="inlineStr">
        <is>
          <t>INDUSTRY BENCHMARKS FOR Q4 (from Strategic Graphs)</t>
        </is>
      </c>
      <c r="B28" s="166" t="inlineStr">
        <is>
          <t>WeBike Q3</t>
        </is>
      </c>
      <c r="C28" s="166" t="inlineStr">
        <is>
          <t>Industry</t>
        </is>
      </c>
      <c r="D28" s="166" t="inlineStr">
        <is>
          <t>Q4 target</t>
        </is>
      </c>
    </row>
    <row r="29">
      <c r="A29" t="inlineStr">
        <is>
          <t>Scheduled operating capacity [units/day]</t>
        </is>
      </c>
      <c r="B29" t="n">
        <v>8</v>
      </c>
      <c r="C29" t="inlineStr">
        <is>
          <t>14 - 30</t>
        </is>
      </c>
      <c r="D29" s="168" t="n">
        <v>15</v>
      </c>
    </row>
    <row r="30">
      <c r="A30" t="inlineStr">
        <is>
          <t>Fixed capacity [units/day]</t>
        </is>
      </c>
      <c r="B30" t="n">
        <v>24</v>
      </c>
      <c r="C30" t="inlineStr">
        <is>
          <t>16 - 32</t>
        </is>
      </c>
      <c r="D30" s="168" t="n">
        <v>24</v>
      </c>
    </row>
    <row r="31">
      <c r="A31" t="inlineStr">
        <is>
          <t>Overtime capacity [units/day]</t>
        </is>
      </c>
      <c r="B31" t="n">
        <v>1</v>
      </c>
      <c r="C31" t="inlineStr">
        <is>
          <t>0 - 7</t>
        </is>
      </c>
      <c r="D31" s="168" t="inlineStr">
        <is>
          <t>0 - 2</t>
        </is>
      </c>
    </row>
    <row r="32">
      <c r="A32" t="inlineStr">
        <is>
          <t>Average COGS per unit [$]</t>
        </is>
      </c>
      <c r="B32" t="n">
        <v>620</v>
      </c>
      <c r="C32" t="inlineStr">
        <is>
          <t>BB LLC lowest</t>
        </is>
      </c>
      <c r="D32" s="168" t="inlineStr">
        <is>
          <t>&lt; 550</t>
        </is>
      </c>
    </row>
    <row r="33">
      <c r="A33" t="inlineStr">
        <is>
          <t>Average labor cost per unit [$]</t>
        </is>
      </c>
      <c r="B33" t="n">
        <v>205</v>
      </c>
      <c r="D33" s="168" t="inlineStr">
        <is>
          <t>&lt; 150</t>
        </is>
      </c>
    </row>
    <row r="34">
      <c r="A34" t="inlineStr">
        <is>
          <t>Sales compensation [$]</t>
        </is>
      </c>
      <c r="B34" t="n">
        <v>24425</v>
      </c>
      <c r="C34" t="inlineStr">
        <is>
          <t>7-firm mean 25,211 (range 22,060-27,630)</t>
        </is>
      </c>
      <c r="D34" s="168" t="n">
        <v>26564</v>
      </c>
    </row>
    <row r="35">
      <c r="A35" t="inlineStr">
        <is>
          <t>Production compensation [$]</t>
        </is>
      </c>
      <c r="B35" t="n">
        <v>20757</v>
      </c>
      <c r="C35" t="inlineStr">
        <is>
          <t>7-firm mean 21,441 (range 19,609-23,293)</t>
        </is>
      </c>
      <c r="D35" s="168" t="n">
        <v>22240</v>
      </c>
    </row>
    <row r="36">
      <c r="A36" t="inlineStr">
        <is>
          <t>Demand per sales person</t>
        </is>
      </c>
      <c r="B36" t="n">
        <v>45</v>
      </c>
      <c r="C36" t="inlineStr">
        <is>
          <t>60 typical / 72 best</t>
        </is>
      </c>
      <c r="D36" s="168" t="n">
        <v>60</v>
      </c>
    </row>
    <row r="37">
      <c r="A37" t="inlineStr">
        <is>
          <t>Store + web center spend [$]</t>
        </is>
      </c>
      <c r="B37" t="n">
        <v>121000</v>
      </c>
      <c r="C37" t="inlineStr">
        <is>
          <t>up to 360,000</t>
        </is>
      </c>
      <c r="D37" s="168" t="inlineStr">
        <is>
          <t>raise — open city #3</t>
        </is>
      </c>
    </row>
    <row r="38">
      <c r="A38" t="inlineStr">
        <is>
          <t>Organic SEM clicks</t>
        </is>
      </c>
      <c r="B38" t="n">
        <v>150</v>
      </c>
      <c r="C38" t="inlineStr">
        <is>
          <t>440 best</t>
        </is>
      </c>
      <c r="D38" s="168" t="n">
        <v>300</v>
      </c>
    </row>
    <row r="39">
      <c r="A39" t="inlineStr">
        <is>
          <t>Number of stores</t>
        </is>
      </c>
      <c r="B39" t="n">
        <v>2</v>
      </c>
      <c r="C39" t="inlineStr">
        <is>
          <t>2 (all but Bike Bros)</t>
        </is>
      </c>
      <c r="D39" s="168" t="n">
        <v>3</v>
      </c>
    </row>
    <row r="42">
      <c r="A42" s="165" t="inlineStr">
        <is>
          <t>UNIT-COST UPSIDE — why right-sizing OC pays twice</t>
        </is>
      </c>
      <c r="B42" s="165" t="n"/>
    </row>
    <row r="43">
      <c r="A43" t="inlineStr">
        <is>
          <t>Q3 COGS per unit</t>
        </is>
      </c>
      <c r="B43" t="n">
        <v>620</v>
      </c>
    </row>
    <row r="44">
      <c r="A44" t="inlineStr">
        <is>
          <t>Target COGS per unit at ~15/day scale</t>
        </is>
      </c>
      <c r="B44" t="n">
        <v>550</v>
      </c>
    </row>
    <row r="45">
      <c r="A45" t="inlineStr">
        <is>
          <t>Saving per unit</t>
        </is>
      </c>
      <c r="B45">
        <f>B43-B44</f>
        <v/>
      </c>
    </row>
    <row r="46">
      <c r="A46" s="166" t="inlineStr">
        <is>
          <t>DEMAND SCENARIOS -&gt; REQUIRED OPERATING CAPACITY</t>
        </is>
      </c>
      <c r="B46" s="166" t="inlineStr">
        <is>
          <t>Demand</t>
        </is>
      </c>
      <c r="C46" s="166" t="inlineStr">
        <is>
          <t>Required OC/day</t>
        </is>
      </c>
      <c r="D46" s="166" t="inlineStr">
        <is>
          <t>Fits in 24/day?</t>
        </is>
      </c>
    </row>
    <row r="47">
      <c r="A47" t="inlineStr">
        <is>
          <t>A. Do nothing (Q3 demand less 16.3% ill will)</t>
        </is>
      </c>
      <c r="B47" t="n">
        <v>525</v>
      </c>
      <c r="C47" s="189">
        <f>B48/(0.74*65)</f>
        <v/>
      </c>
      <c r="D47">
        <f>IF(C48&lt;=24,"yes","NO")</f>
        <v/>
      </c>
    </row>
    <row r="48">
      <c r="A48" t="inlineStr">
        <is>
          <t>B. Base forecast (planner B7)</t>
        </is>
      </c>
      <c r="B48">
        <f>B7</f>
        <v/>
      </c>
      <c r="C48" s="189">
        <f>B49/(0.74*65)</f>
        <v/>
      </c>
      <c r="D48">
        <f>IF(C49&lt;=24,"yes","NO")</f>
        <v/>
      </c>
    </row>
    <row r="49">
      <c r="A49" t="inlineStr">
        <is>
          <t>C. + fill Rio to the 7-person cap</t>
        </is>
      </c>
      <c r="B49" s="159">
        <f>B49+200</f>
        <v/>
      </c>
      <c r="C49" s="189">
        <f>B50/(0.74*65)</f>
        <v/>
      </c>
      <c r="D49">
        <f>IF(C50&lt;=24,"yes","NO")</f>
        <v/>
      </c>
    </row>
    <row r="50">
      <c r="A50" t="inlineStr">
        <is>
          <t>D. + full web rebuild (7 staff, 4 tactics)</t>
        </is>
      </c>
      <c r="B50">
        <f>B50+315</f>
        <v/>
      </c>
      <c r="C50" s="189">
        <f>B51/(0.74*65)</f>
        <v/>
      </c>
      <c r="D50">
        <f>IF(C51&lt;=24,"yes","NO")</f>
        <v/>
      </c>
    </row>
    <row r="51">
      <c r="A51" t="inlineStr">
        <is>
          <t>E. + New York store</t>
        </is>
      </c>
      <c r="B51">
        <f>B51+400</f>
        <v/>
      </c>
      <c r="C51" s="189">
        <f>B52/(0.74*65)</f>
        <v/>
      </c>
      <c r="D51" s="167">
        <f>IF(C52&lt;=24,"yes","NO")</f>
        <v/>
      </c>
    </row>
    <row r="52">
      <c r="A52" t="inlineStr">
        <is>
          <t>Max units at 24/day and 74% productivity</t>
        </is>
      </c>
      <c r="B52" s="159">
        <f>24*0.74*65</f>
        <v/>
      </c>
      <c r="D52" s="167" t="n"/>
    </row>
    <row r="53">
      <c r="A53" t="inlineStr">
        <is>
          <t>Read</t>
        </is>
      </c>
      <c r="D53" s="185" t="inlineStr">
        <is>
          <t>Scenario C (Rio fill) fits comfortably at 17.8/day. Scenario D (Rio + full web rebuild) needs 24.3/day and EXCEEDS our 24/day fixed capacity by a hair. Scenario E (plus New York) needs 32.7/day. Capacity - not demand, not product - is now the binding constraint on growth.</t>
        </is>
      </c>
    </row>
    <row r="56">
      <c r="A56" s="166" t="inlineStr">
        <is>
          <t>WEB &amp; STAFFING TARGETS (from Q3_Web_Ops / Q3_Staffing)</t>
        </is>
      </c>
      <c r="B56" s="166" t="inlineStr">
        <is>
          <t>WeBike Q3</t>
        </is>
      </c>
      <c r="C56" s="166" t="inlineStr">
        <is>
          <t>Industry</t>
        </is>
      </c>
      <c r="D56" s="166" t="inlineStr">
        <is>
          <t>Q4 target</t>
        </is>
      </c>
    </row>
    <row r="57">
      <c r="A57" t="inlineStr">
        <is>
          <t>Web staff (cap is 7)</t>
        </is>
      </c>
      <c r="B57" t="n">
        <v>3</v>
      </c>
      <c r="C57" t="inlineStr">
        <is>
          <t>7 (four firms)</t>
        </is>
      </c>
      <c r="D57" s="168" t="n">
        <v>7</v>
      </c>
    </row>
    <row r="58">
      <c r="A58" t="inlineStr">
        <is>
          <t>Web productivity tactics funded (of 4)</t>
        </is>
      </c>
      <c r="B58" t="n">
        <v>1</v>
      </c>
      <c r="C58" t="n">
        <v>4</v>
      </c>
      <c r="D58" s="168" t="n">
        <v>4</v>
      </c>
    </row>
    <row r="59">
      <c r="A59" t="inlineStr">
        <is>
          <t>Web productivity budget</t>
        </is>
      </c>
      <c r="B59" t="n">
        <v>6000</v>
      </c>
      <c r="C59" t="inlineStr">
        <is>
          <t>24,000 - 33,000</t>
        </is>
      </c>
      <c r="D59" s="168" t="n">
        <v>28000</v>
      </c>
    </row>
    <row r="60">
      <c r="A60" t="inlineStr">
        <is>
          <t>Web demand</t>
        </is>
      </c>
      <c r="B60" t="n">
        <v>120</v>
      </c>
      <c r="C60" t="inlineStr">
        <is>
          <t>435 - 569</t>
        </is>
      </c>
      <c r="D60" s="168" t="n">
        <v>435</v>
      </c>
    </row>
    <row r="61">
      <c r="A61" t="inlineStr">
        <is>
          <t>Rio store staff (cap is 7)</t>
        </is>
      </c>
      <c r="B61" t="n">
        <v>4</v>
      </c>
      <c r="C61" t="inlineStr">
        <is>
          <t>-</t>
        </is>
      </c>
      <c r="D61" s="168" t="n">
        <v>7</v>
      </c>
    </row>
    <row r="62">
      <c r="A62" t="inlineStr">
        <is>
          <t>Amsterdam store staff (cap is 7)</t>
        </is>
      </c>
      <c r="B62" t="n">
        <v>7</v>
      </c>
      <c r="C62" t="inlineStr">
        <is>
          <t>7</t>
        </is>
      </c>
      <c r="D62" s="168" t="inlineStr">
        <is>
          <t>7 (AT CAP - no room)</t>
        </is>
      </c>
    </row>
    <row r="63">
      <c r="A63" t="inlineStr">
        <is>
          <t>Untrained staff</t>
        </is>
      </c>
      <c r="B63" t="n">
        <v>2</v>
      </c>
      <c r="C63" t="n">
        <v>0</v>
      </c>
      <c r="D63" s="167" t="n">
        <v>0</v>
      </c>
    </row>
    <row r="66">
      <c r="A66" s="166" t="inlineStr">
        <is>
          <t>CAPACITY IS NOW THE BINDING CONSTRAINT — and idle cash is the cure</t>
        </is>
      </c>
      <c r="B66" s="166" t="inlineStr">
        <is>
          <t>Value</t>
        </is>
      </c>
      <c r="C66" s="166" t="inlineStr">
        <is>
          <t>Note</t>
        </is>
      </c>
    </row>
    <row r="67">
      <c r="A67" t="inlineStr">
        <is>
          <t>Cash sitting idle</t>
        </is>
      </c>
      <c r="B67" s="167" t="n">
        <v>1010838</v>
      </c>
      <c r="C67" t="inlineStr">
        <is>
          <t>the direct cause of Asset Management 0.353 (LAST place)</t>
        </is>
      </c>
    </row>
    <row r="68">
      <c r="A68" t="inlineStr">
        <is>
          <t>Fixed capacity today</t>
        </is>
      </c>
      <c r="B68" t="n">
        <v>24</v>
      </c>
      <c r="C68" t="inlineStr">
        <is>
          <t>3 printers, $720,000 original cost -&gt; ~$240,000 each</t>
        </is>
      </c>
    </row>
    <row r="69">
      <c r="A69" t="inlineStr">
        <is>
          <t>Max units at 24/day and 74% productivity</t>
        </is>
      </c>
      <c r="B69">
        <f>24*0.74*65</f>
        <v/>
      </c>
    </row>
    <row r="70">
      <c r="A70" t="inlineStr">
        <is>
          <t>Demand if we fill Rio AND rebuild web</t>
        </is>
      </c>
      <c r="B70" t="n">
        <v>1171</v>
      </c>
      <c r="C70" t="inlineStr">
        <is>
          <t>exceeds the ceiling by ~17 units</t>
        </is>
      </c>
    </row>
    <row r="71">
      <c r="A71" t="inlineStr">
        <is>
          <t>A 4th printer would give</t>
        </is>
      </c>
      <c r="B71" s="159" t="n">
        <v>32</v>
      </c>
      <c r="C71" t="inlineStr">
        <is>
          <t>units/day -&gt; max ~1,539 units</t>
        </is>
      </c>
    </row>
    <row r="72">
      <c r="A72" t="inlineStr">
        <is>
          <t>Approx capital cost</t>
        </is>
      </c>
      <c r="B72" t="n">
        <v>240000</v>
      </c>
      <c r="C72" t="inlineStr">
        <is>
          <t>24% of idle cash</t>
        </is>
      </c>
    </row>
    <row r="73">
      <c r="A73" t="inlineStr">
        <is>
          <t>Approx added depreciation</t>
        </is>
      </c>
      <c r="B73" t="n">
        <v>10000</v>
      </c>
      <c r="C73" t="inlineStr">
        <is>
          <t>per quarter</t>
        </is>
      </c>
    </row>
    <row r="74">
      <c r="A74" t="inlineStr">
        <is>
          <t>Read</t>
        </is>
      </c>
      <c r="C74" s="174" t="inlineStr">
        <is>
          <t>Buying capacity solves TWO problems at once: it lifts the growth ceiling AND converts idle cash into revenue-producing assets, which is exactly what Asset Management 0.353 is punishing. Note that owning capacity is NOT what caused Q2's $148,652 excess-capacity charge - that came from SCHEDULING operating capacity we did not use. Depreciation is the only carrying cost of ownership.</t>
        </is>
      </c>
    </row>
    <row r="75">
      <c r="A75" t="inlineStr">
        <is>
          <t>Decision framing</t>
        </is>
      </c>
      <c r="C75" s="174" t="inlineStr">
        <is>
          <t>If we want Rio + web + New York we need roughly 33/day, i.e. 2 more printers. If we want Rio + web only, 1 more printer gives comfortable slack. Doing nothing caps us at ~1,154 units.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07"/>
  <sheetViews>
    <sheetView workbookViewId="0">
      <selection activeCell="A1" sqref="A1"/>
    </sheetView>
  </sheetViews>
  <sheetFormatPr baseColWidth="8" defaultRowHeight="15"/>
  <cols>
    <col width="46" customWidth="1" style="146" min="1" max="1"/>
    <col width="16" customWidth="1" style="146" min="2" max="2"/>
    <col width="16" customWidth="1" style="146" min="3" max="3"/>
    <col width="22" customWidth="1" style="146" min="4" max="4"/>
    <col width="22" customWidth="1" style="146" min="5" max="5"/>
    <col width="60" customWidth="1" style="146" min="6" max="6"/>
  </cols>
  <sheetData>
    <row r="1">
      <c r="A1" s="169" t="inlineStr">
        <is>
          <t>Q3 Strategic Graphs — industry comparison (WeBike vs 6 rivals)</t>
        </is>
      </c>
    </row>
    <row r="2">
      <c r="A2" s="170" t="inlineStr">
        <is>
          <t>Source: Strategic Graphs &gt; Workspace, Quarter 4 view (shows Q0-Q3 actuals). Chart-read values are approximate; numeric report values live in Q3_BSC / Q3_Market / Q3_Financials.</t>
        </is>
      </c>
    </row>
    <row r="3" ht="36" customHeight="1" s="146">
      <c r="A3" s="218" t="inlineStr">
        <is>
          <t>SUPERSEDED IN PART by Q3_Competitor_Profiles (exact report). Corrections: BB LLC fixed=24 OC=24 OT=6.90 · MILC OC=17 not 24 · LiteCycle OC=14 · Spoke'd Up OC=15 · sales prod ceiling 78 (BB LLC) · sales pay avg $25,211 / worker avg $21,441 — we are BELOW both.</t>
        </is>
      </c>
    </row>
    <row r="4">
      <c r="A4" s="166" t="inlineStr">
        <is>
          <t>MANUFACTURING — capacity (units/day)</t>
        </is>
      </c>
      <c r="B4" s="166" t="inlineStr">
        <is>
          <t>Q2</t>
        </is>
      </c>
      <c r="C4" s="166" t="inlineStr">
        <is>
          <t>Q3</t>
        </is>
      </c>
      <c r="D4" s="166" t="inlineStr">
        <is>
          <t>Note</t>
        </is>
      </c>
    </row>
    <row r="5">
      <c r="A5" t="inlineStr">
        <is>
          <t>WeBike fixed capacity</t>
        </is>
      </c>
      <c r="B5" t="n">
        <v>24</v>
      </c>
      <c r="C5" t="n">
        <v>24</v>
      </c>
      <c r="D5" t="inlineStr">
        <is>
          <t>3 printers; tied 2nd highest in industry</t>
        </is>
      </c>
    </row>
    <row r="6">
      <c r="A6" t="inlineStr">
        <is>
          <t>WeBike SCHEDULED operating capacity</t>
        </is>
      </c>
      <c r="B6" t="n">
        <v>20</v>
      </c>
      <c r="C6" s="167" t="n">
        <v>8</v>
      </c>
      <c r="D6" t="inlineStr">
        <is>
          <t>CONFIRMS the back-solve: we cut OC by 60%</t>
        </is>
      </c>
    </row>
    <row r="7">
      <c r="A7" t="inlineStr">
        <is>
          <t>WeBike overtime capacity</t>
        </is>
      </c>
      <c r="B7" t="n">
        <v>0</v>
      </c>
      <c r="C7" t="n">
        <v>1</v>
      </c>
      <c r="D7" t="inlineStr">
        <is>
          <t>ran OT on top of a tiny base</t>
        </is>
      </c>
    </row>
    <row r="8">
      <c r="A8" t="inlineStr">
        <is>
          <t>SpaceBikes operating capacity</t>
        </is>
      </c>
      <c r="B8" t="n">
        <v>20</v>
      </c>
      <c r="C8" t="n">
        <v>30</v>
      </c>
      <c r="D8" t="inlineStr">
        <is>
          <t>leader — expanded fixed capacity to 32</t>
        </is>
      </c>
    </row>
    <row r="9">
      <c r="A9" t="inlineStr">
        <is>
          <t>MILC Bikes operating capacity</t>
        </is>
      </c>
      <c r="B9" t="n">
        <v>16</v>
      </c>
      <c r="C9" t="n">
        <v>24</v>
      </c>
    </row>
    <row r="10">
      <c r="A10" t="inlineStr">
        <is>
          <t>Bike Bros operating capacity</t>
        </is>
      </c>
      <c r="B10" t="n">
        <v>10</v>
      </c>
      <c r="C10" t="n">
        <v>15</v>
      </c>
    </row>
    <row r="11">
      <c r="A11" t="inlineStr">
        <is>
          <t>LiteCycle operating capacity</t>
        </is>
      </c>
      <c r="B11" t="n">
        <v>8</v>
      </c>
      <c r="C11" t="n">
        <v>15</v>
      </c>
    </row>
    <row r="12">
      <c r="A12" t="inlineStr">
        <is>
          <t>BB LLC operating capacity</t>
        </is>
      </c>
      <c r="B12" t="n">
        <v>6</v>
      </c>
      <c r="C12" t="n">
        <v>15</v>
      </c>
      <c r="D12" t="inlineStr">
        <is>
          <t>+ ~7 overtime — highest OT in industry</t>
        </is>
      </c>
    </row>
    <row r="13">
      <c r="A13" t="inlineStr">
        <is>
          <t>Spoke'd Up operating capacity</t>
        </is>
      </c>
      <c r="B13" t="n">
        <v>5</v>
      </c>
      <c r="C13" t="n">
        <v>14</v>
      </c>
    </row>
    <row r="14">
      <c r="A14" t="inlineStr">
        <is>
          <t>WeBike RANK on operating capacity</t>
        </is>
      </c>
      <c r="C14" s="167" t="inlineStr">
        <is>
          <t>LAST (7 of 7)</t>
        </is>
      </c>
      <c r="D14" t="inlineStr">
        <is>
          <t>Only firm that REDUCED operating capacity in Q3</t>
        </is>
      </c>
    </row>
    <row r="16">
      <c r="A16" s="166" t="inlineStr">
        <is>
          <t>MANUFACTURING — WeBike unit costs</t>
        </is>
      </c>
      <c r="B16" s="166" t="inlineStr">
        <is>
          <t>Q2</t>
        </is>
      </c>
      <c r="C16" s="166" t="inlineStr">
        <is>
          <t>Q3</t>
        </is>
      </c>
      <c r="D16" s="166" t="inlineStr">
        <is>
          <t>Read</t>
        </is>
      </c>
    </row>
    <row r="17">
      <c r="A17" t="inlineStr">
        <is>
          <t>Capacity utilization [%]</t>
        </is>
      </c>
      <c r="B17" t="n">
        <v>16</v>
      </c>
      <c r="C17" t="n">
        <v>73</v>
      </c>
      <c r="D17" t="inlineStr">
        <is>
          <t>Q2 = idle plant; Q3 = tight plant, but tiny plant</t>
        </is>
      </c>
    </row>
    <row r="18">
      <c r="A18" t="inlineStr">
        <is>
          <t>Average labor cost per unit [$]</t>
        </is>
      </c>
      <c r="B18" t="n">
        <v>130</v>
      </c>
      <c r="C18" s="167" t="n">
        <v>205</v>
      </c>
      <c r="D18" t="inlineStr">
        <is>
          <t>ROSE 58% — small OC + overtime is expensive per unit</t>
        </is>
      </c>
    </row>
    <row r="19">
      <c r="A19" t="inlineStr">
        <is>
          <t>Average cost of goods sold per unit [$]</t>
        </is>
      </c>
      <c r="B19" t="n">
        <v>520</v>
      </c>
      <c r="C19" s="167" t="n">
        <v>620</v>
      </c>
      <c r="D19" t="inlineStr">
        <is>
          <t>ROSE ~19% despite selling 4x the units</t>
        </is>
      </c>
    </row>
    <row r="20">
      <c r="A20" t="inlineStr">
        <is>
          <t>Production cost [$]</t>
        </is>
      </c>
      <c r="B20" t="n">
        <v>100928</v>
      </c>
      <c r="C20" t="n">
        <v>272340</v>
      </c>
    </row>
    <row r="21">
      <c r="A21" t="inlineStr">
        <is>
          <t>Stock-outs [units]</t>
        </is>
      </c>
      <c r="B21" t="n">
        <v>0</v>
      </c>
      <c r="C21" t="n">
        <v>204</v>
      </c>
      <c r="D21" t="inlineStr">
        <is>
          <t>the whipsaw</t>
        </is>
      </c>
    </row>
    <row r="22">
      <c r="A22" t="inlineStr">
        <is>
          <t>Excess capacity cost [$]</t>
        </is>
      </c>
      <c r="B22" t="n">
        <v>148652</v>
      </c>
      <c r="C22" t="n">
        <v>0</v>
      </c>
      <c r="D22" t="inlineStr">
        <is>
          <t>the whipsaw, other direction</t>
        </is>
      </c>
    </row>
    <row r="23">
      <c r="A23" t="inlineStr">
        <is>
          <t>Lesson</t>
        </is>
      </c>
      <c r="D23" t="inlineStr">
        <is>
          <t>Under-scheduling cost us BOTH revenue AND margin. Volume normally lowers unit cost; we broke that by running a sub-scale OC with overtime.</t>
        </is>
      </c>
    </row>
    <row r="25">
      <c r="A25" s="166" t="inlineStr">
        <is>
          <t>MARKET — segment size (units)</t>
        </is>
      </c>
      <c r="B25" s="166" t="inlineStr">
        <is>
          <t>Q2</t>
        </is>
      </c>
      <c r="C25" s="166" t="inlineStr">
        <is>
          <t>Q3</t>
        </is>
      </c>
      <c r="D25" s="166" t="inlineStr">
        <is>
          <t>Growth</t>
        </is>
      </c>
      <c r="E25" s="166" t="inlineStr">
        <is>
          <t>Note</t>
        </is>
      </c>
    </row>
    <row r="26">
      <c r="A26" t="inlineStr">
        <is>
          <t>Speed</t>
        </is>
      </c>
      <c r="B26" t="n">
        <v>1500</v>
      </c>
      <c r="C26" t="n">
        <v>2878</v>
      </c>
      <c r="D26">
        <f>C25/B25-1</f>
        <v/>
      </c>
      <c r="E26" t="inlineStr">
        <is>
          <t>LARGEST and fastest growing; all 7 firms compete</t>
        </is>
      </c>
    </row>
    <row r="27">
      <c r="A27" t="inlineStr">
        <is>
          <t>Recreation</t>
        </is>
      </c>
      <c r="B27" t="n">
        <v>1100</v>
      </c>
      <c r="C27" t="n">
        <v>2060</v>
      </c>
      <c r="D27">
        <f>C26/B26-1</f>
        <v/>
      </c>
      <c r="E27" t="inlineStr">
        <is>
          <t>we do not compete</t>
        </is>
      </c>
    </row>
    <row r="28">
      <c r="A28" t="inlineStr">
        <is>
          <t>Mountain</t>
        </is>
      </c>
      <c r="B28" t="n">
        <v>1050</v>
      </c>
      <c r="C28" t="n">
        <v>1621</v>
      </c>
      <c r="D28">
        <f>C27/B27-1</f>
        <v/>
      </c>
      <c r="E28" t="inlineStr">
        <is>
          <t>SMALLEST and slowest; our primary; only 4 firms</t>
        </is>
      </c>
    </row>
    <row r="29">
      <c r="A29" t="inlineStr">
        <is>
          <t>Total market</t>
        </is>
      </c>
      <c r="B29" t="n">
        <v>3700</v>
      </c>
      <c r="C29" t="n">
        <v>6559</v>
      </c>
      <c r="D29">
        <f>C28/B28-1</f>
        <v/>
      </c>
      <c r="E29" t="inlineStr">
        <is>
          <t>Strategic tension: our least-crowded segment is also the smallest and slowest-growing.</t>
        </is>
      </c>
    </row>
    <row r="31">
      <c r="A31" s="166" t="inlineStr">
        <is>
          <t>MARKET — searches (web interest, Q3)</t>
        </is>
      </c>
      <c r="B31" s="166" t="inlineStr">
        <is>
          <t>Approx</t>
        </is>
      </c>
      <c r="C31" s="166" t="inlineStr">
        <is>
          <t>Note</t>
        </is>
      </c>
    </row>
    <row r="32">
      <c r="A32" t="inlineStr">
        <is>
          <t>Recreation</t>
        </is>
      </c>
      <c r="B32" t="n">
        <v>1350</v>
      </c>
      <c r="C32" t="inlineStr">
        <is>
          <t>highest search volume — segment we ignore</t>
        </is>
      </c>
    </row>
    <row r="33">
      <c r="A33" t="inlineStr">
        <is>
          <t>Mountain</t>
        </is>
      </c>
      <c r="B33" t="n">
        <v>1030</v>
      </c>
    </row>
    <row r="34">
      <c r="A34" t="inlineStr">
        <is>
          <t>Speed</t>
        </is>
      </c>
      <c r="B34" t="n">
        <v>900</v>
      </c>
      <c r="C34" t="inlineStr">
        <is>
          <t>large demand but lowest search volume</t>
        </is>
      </c>
    </row>
    <row r="36">
      <c r="A36" s="166" t="inlineStr">
        <is>
          <t>MARKET — Q3 share by segment [%]</t>
        </is>
      </c>
      <c r="B36" s="166" t="inlineStr">
        <is>
          <t>Recreation</t>
        </is>
      </c>
      <c r="C36" s="166" t="inlineStr">
        <is>
          <t>Mountain</t>
        </is>
      </c>
      <c r="D36" s="166" t="inlineStr">
        <is>
          <t>Speed</t>
        </is>
      </c>
      <c r="E36" s="166" t="inlineStr">
        <is>
          <t>Overall</t>
        </is>
      </c>
      <c r="F36" s="166" t="inlineStr">
        <is>
          <t>Note</t>
        </is>
      </c>
    </row>
    <row r="37">
      <c r="A37" t="inlineStr">
        <is>
          <t>BB LLC</t>
        </is>
      </c>
      <c r="B37" t="n">
        <v>4.8</v>
      </c>
      <c r="C37" t="n">
        <v>46.3</v>
      </c>
      <c r="D37" t="n">
        <v>22.8</v>
      </c>
      <c r="E37" t="n">
        <v>23</v>
      </c>
      <c r="F37" t="inlineStr">
        <is>
          <t>LEADER — all 3 segments, dominates Mountain</t>
        </is>
      </c>
    </row>
    <row r="38">
      <c r="A38" t="inlineStr">
        <is>
          <t>SpaceBikes</t>
        </is>
      </c>
      <c r="B38" t="n">
        <v>34.5</v>
      </c>
      <c r="C38" t="n">
        <v>0</v>
      </c>
      <c r="D38" t="n">
        <v>20.4</v>
      </c>
      <c r="E38" t="n">
        <v>19.8</v>
      </c>
      <c r="F38" t="inlineStr">
        <is>
          <t>#2 — Rec + Speed only, no Mountain</t>
        </is>
      </c>
    </row>
    <row r="39">
      <c r="A39" t="inlineStr">
        <is>
          <t>Spoke'd Up</t>
        </is>
      </c>
      <c r="B39" t="n">
        <v>23.9</v>
      </c>
      <c r="C39" t="n">
        <v>0</v>
      </c>
      <c r="D39" t="n">
        <v>12.6</v>
      </c>
      <c r="E39" t="n">
        <v>13</v>
      </c>
    </row>
    <row r="40">
      <c r="A40" t="inlineStr">
        <is>
          <t>LiteCycle</t>
        </is>
      </c>
      <c r="B40" t="n">
        <v>4.7</v>
      </c>
      <c r="C40" t="n">
        <v>21</v>
      </c>
      <c r="D40" t="n">
        <v>19</v>
      </c>
      <c r="E40" t="n">
        <v>15</v>
      </c>
      <c r="F40" t="inlineStr">
        <is>
          <t>our closest Mountain rival</t>
        </is>
      </c>
    </row>
    <row r="41">
      <c r="A41" t="inlineStr">
        <is>
          <t>MILC Bikes</t>
        </is>
      </c>
      <c r="B41" t="n">
        <v>22.9</v>
      </c>
      <c r="C41" t="n">
        <v>0</v>
      </c>
      <c r="D41" t="n">
        <v>11.4</v>
      </c>
      <c r="E41" t="n">
        <v>12.2</v>
      </c>
    </row>
    <row r="42">
      <c r="A42" t="inlineStr">
        <is>
          <t>WeBike</t>
        </is>
      </c>
      <c r="B42" t="n">
        <v>2.6</v>
      </c>
      <c r="C42" t="n">
        <v>22.1</v>
      </c>
      <c r="D42" t="n">
        <v>7.5</v>
      </c>
      <c r="E42" t="n">
        <v>9.6</v>
      </c>
      <c r="F42" t="inlineStr">
        <is>
          <t>#2 Mountain, 6th Speed</t>
        </is>
      </c>
    </row>
    <row r="43">
      <c r="A43" t="inlineStr">
        <is>
          <t>Bike Bros</t>
        </is>
      </c>
      <c r="B43" t="n">
        <v>6.7</v>
      </c>
      <c r="C43" t="n">
        <v>10.6</v>
      </c>
      <c r="D43" t="n">
        <v>6.3</v>
      </c>
      <c r="E43" t="n">
        <v>7.5</v>
      </c>
      <c r="F43" t="inlineStr">
        <is>
          <t>FALLING in every segment (Mtn 19-&gt;11)</t>
        </is>
      </c>
    </row>
    <row r="45">
      <c r="A45" s="166" t="inlineStr">
        <is>
          <t>MARKET — demand productivity per head (Q3, approx)</t>
        </is>
      </c>
      <c r="B45" s="166" t="inlineStr">
        <is>
          <t>WeBike</t>
        </is>
      </c>
      <c r="C45" s="166" t="inlineStr">
        <is>
          <t>Industry best</t>
        </is>
      </c>
      <c r="D45" s="166" t="inlineStr">
        <is>
          <t>Industry typical</t>
        </is>
      </c>
      <c r="E45" s="166" t="inlineStr">
        <is>
          <t>Note</t>
        </is>
      </c>
    </row>
    <row r="46">
      <c r="A46" t="inlineStr">
        <is>
          <t>Demand per sales person</t>
        </is>
      </c>
      <c r="B46" s="167" t="n">
        <v>45</v>
      </c>
      <c r="C46" t="n">
        <v>72</v>
      </c>
      <c r="D46" t="n">
        <v>60</v>
      </c>
      <c r="E46" t="inlineStr">
        <is>
          <t>LAST — every rival gets more demand per head</t>
        </is>
      </c>
    </row>
    <row r="47">
      <c r="A47" t="inlineStr">
        <is>
          <t>Demand per store sales person</t>
        </is>
      </c>
      <c r="B47" t="n">
        <v>46</v>
      </c>
      <c r="C47" t="n">
        <v>88</v>
      </c>
      <c r="D47" t="n">
        <v>70</v>
      </c>
      <c r="E47" t="inlineStr">
        <is>
          <t>BB LLC ~88; our stores under-produce</t>
        </is>
      </c>
    </row>
    <row r="48">
      <c r="A48" t="inlineStr">
        <is>
          <t>Demand per web sales center person</t>
        </is>
      </c>
      <c r="B48" t="n">
        <v>42</v>
      </c>
      <c r="C48" t="n">
        <v>95</v>
      </c>
      <c r="D48" t="n">
        <v>75</v>
      </c>
      <c r="E48" t="inlineStr">
        <is>
          <t>we CUT web staff in Q3 — wrong lever</t>
        </is>
      </c>
    </row>
    <row r="49">
      <c r="A49" t="inlineStr">
        <is>
          <t>Total sales people</t>
        </is>
      </c>
      <c r="B49" t="n">
        <v>14</v>
      </c>
      <c r="C49" t="n">
        <v>21</v>
      </c>
      <c r="D49" t="n">
        <v>14</v>
      </c>
      <c r="E49" t="inlineStr">
        <is>
          <t>headcount is at parity; output per head is not</t>
        </is>
      </c>
    </row>
    <row r="51">
      <c r="A51" s="166" t="inlineStr">
        <is>
          <t>MARKET — demand vs units sold (the leakage)</t>
        </is>
      </c>
      <c r="B51" s="166" t="inlineStr">
        <is>
          <t>Value</t>
        </is>
      </c>
      <c r="C51" s="166" t="inlineStr">
        <is>
          <t>Note</t>
        </is>
      </c>
    </row>
    <row r="52">
      <c r="A52" t="inlineStr">
        <is>
          <t>WeBike share of total DEMAND [%]</t>
        </is>
      </c>
      <c r="B52" t="n">
        <v>9.6</v>
      </c>
      <c r="C52" t="inlineStr">
        <is>
          <t>what we created</t>
        </is>
      </c>
    </row>
    <row r="53">
      <c r="A53" t="inlineStr">
        <is>
          <t>WeBike share of UNITS SOLD [%]</t>
        </is>
      </c>
      <c r="B53" t="n">
        <v>7.3</v>
      </c>
      <c r="C53" t="inlineStr">
        <is>
          <t>what we captured</t>
        </is>
      </c>
    </row>
    <row r="54">
      <c r="A54" t="inlineStr">
        <is>
          <t>Leakage [pct points]</t>
        </is>
      </c>
      <c r="B54">
        <f>B48-B49</f>
        <v/>
      </c>
      <c r="C54" t="inlineStr">
        <is>
          <t>pure stock-out loss, visible in the graphs</t>
        </is>
      </c>
    </row>
    <row r="55">
      <c r="A55" t="inlineStr">
        <is>
          <t>Q3 demand growth rate [%]</t>
        </is>
      </c>
      <c r="B55" t="n">
        <v>235</v>
      </c>
      <c r="C55" t="inlineStr">
        <is>
          <t>highest in industry — demand generation is NOT our problem</t>
        </is>
      </c>
    </row>
    <row r="57">
      <c r="A57" s="166" t="inlineStr">
        <is>
          <t>MARKETING INPUTS (Q3, approx)</t>
        </is>
      </c>
      <c r="B57" s="166" t="inlineStr">
        <is>
          <t>WeBike</t>
        </is>
      </c>
      <c r="C57" s="166" t="inlineStr">
        <is>
          <t>Industry high</t>
        </is>
      </c>
      <c r="D57" s="166" t="inlineStr">
        <is>
          <t>Rank</t>
        </is>
      </c>
      <c r="E57" s="166" t="inlineStr">
        <is>
          <t>Note</t>
        </is>
      </c>
    </row>
    <row r="58">
      <c r="A58" t="inlineStr">
        <is>
          <t>Advertising expenses [$]</t>
        </is>
      </c>
      <c r="B58" s="159" t="n">
        <v>119165</v>
      </c>
      <c r="C58" t="n">
        <v>145000</v>
      </c>
      <c r="D58" t="inlineStr">
        <is>
          <t>3rd</t>
        </is>
      </c>
      <c r="E58" t="inlineStr">
        <is>
          <t>spend is competitive</t>
        </is>
      </c>
    </row>
    <row r="59">
      <c r="A59" t="inlineStr">
        <is>
          <t>Total regional ads [count]</t>
        </is>
      </c>
      <c r="B59" s="159" t="n">
        <v>19</v>
      </c>
      <c r="C59" t="n">
        <v>24</v>
      </c>
      <c r="D59" t="inlineStr">
        <is>
          <t>2nd</t>
        </is>
      </c>
      <c r="E59" t="inlineStr">
        <is>
          <t>ad VOLUME is a strength</t>
        </is>
      </c>
    </row>
    <row r="60">
      <c r="A60" t="inlineStr">
        <is>
          <t>Organic SEM clicks</t>
        </is>
      </c>
      <c r="B60" t="n">
        <v>150</v>
      </c>
      <c r="C60" t="n">
        <v>440</v>
      </c>
      <c r="D60" t="inlineStr">
        <is>
          <t>6th</t>
        </is>
      </c>
      <c r="E60" t="inlineStr">
        <is>
          <t>weak; BB LLC 440, SpaceBikes 400</t>
        </is>
      </c>
    </row>
    <row r="61">
      <c r="A61" t="inlineStr">
        <is>
          <t>Organic SEM expenses [$]</t>
        </is>
      </c>
      <c r="B61" t="n">
        <v>2000</v>
      </c>
      <c r="C61" t="n">
        <v>5000</v>
      </c>
      <c r="D61" t="inlineStr">
        <is>
          <t>3rd</t>
        </is>
      </c>
      <c r="E61" t="inlineStr">
        <is>
          <t>Bike Bros spends 5k for 200 clicks — poor ROI benchmark</t>
        </is>
      </c>
    </row>
    <row r="62">
      <c r="A62" t="inlineStr">
        <is>
          <t>Average price [$]</t>
        </is>
      </c>
      <c r="B62" t="n">
        <v>1400</v>
      </c>
      <c r="C62" t="n">
        <v>1480</v>
      </c>
      <c r="D62" t="inlineStr">
        <is>
          <t>3rd</t>
        </is>
      </c>
      <c r="E62" t="inlineStr">
        <is>
          <t>BB LLC prices HIGHER and still leads share</t>
        </is>
      </c>
    </row>
    <row r="63">
      <c r="A63" t="inlineStr">
        <is>
          <t>Number of stores</t>
        </is>
      </c>
      <c r="B63" t="n">
        <v>2</v>
      </c>
      <c r="C63" t="n">
        <v>2</v>
      </c>
      <c r="D63" t="inlineStr">
        <is>
          <t>tied</t>
        </is>
      </c>
      <c r="E63" t="inlineStr">
        <is>
          <t>everyone but Bike Bros has 2 -&gt; city #3 is a differentiator</t>
        </is>
      </c>
    </row>
    <row r="64">
      <c r="A64" t="inlineStr">
        <is>
          <t>Number of web sales centers</t>
        </is>
      </c>
      <c r="B64" t="n">
        <v>1</v>
      </c>
      <c r="C64" t="n">
        <v>1</v>
      </c>
      <c r="D64" t="inlineStr">
        <is>
          <t>tied</t>
        </is>
      </c>
    </row>
    <row r="65">
      <c r="A65" t="inlineStr">
        <is>
          <t>Store + web center expenses [$]</t>
        </is>
      </c>
      <c r="B65" s="167" t="n">
        <v>121000</v>
      </c>
      <c r="C65" t="n">
        <v>360000</v>
      </c>
      <c r="D65" t="inlineStr">
        <is>
          <t>lowest</t>
        </is>
      </c>
      <c r="E65" t="inlineStr">
        <is>
          <t>we UNDER-invest in channel</t>
        </is>
      </c>
    </row>
    <row r="67">
      <c r="A67" s="166" t="inlineStr">
        <is>
          <t>HUMAN RESOURCES (Q3, approx) — CORRECTS earlier read</t>
        </is>
      </c>
      <c r="B67" s="166" t="inlineStr">
        <is>
          <t>WeBike</t>
        </is>
      </c>
      <c r="C67" s="166" t="inlineStr">
        <is>
          <t>Industry range</t>
        </is>
      </c>
      <c r="D67" s="166" t="inlineStr">
        <is>
          <t>Note</t>
        </is>
      </c>
    </row>
    <row r="68">
      <c r="A68" t="inlineStr">
        <is>
          <t>Production worker compensation [$]</t>
        </is>
      </c>
      <c r="B68" t="n">
        <v>20757</v>
      </c>
      <c r="C68" t="inlineStr">
        <is>
          <t>19,609 - 23,293 (7-firm)</t>
        </is>
      </c>
      <c r="D68" t="inlineStr">
        <is>
          <t>tied 5th/6th of 7; mix already right, salary low</t>
        </is>
      </c>
    </row>
    <row r="69">
      <c r="A69" t="inlineStr">
        <is>
          <t>Sales force compensation [$]</t>
        </is>
      </c>
      <c r="B69" t="n">
        <v>24425</v>
      </c>
      <c r="C69" t="inlineStr">
        <is>
          <t>22,060 - 27,630 (7-firm)</t>
        </is>
      </c>
      <c r="D69" t="inlineStr">
        <is>
          <t>6th of 7; salary starved, Full coverage bloated</t>
        </is>
      </c>
    </row>
    <row r="70">
      <c r="A70" t="inlineStr">
        <is>
          <t>Production worker productivity [%]</t>
        </is>
      </c>
      <c r="B70" t="n">
        <v>72</v>
      </c>
      <c r="C70" t="inlineStr">
        <is>
          <t>68 - 73</t>
        </is>
      </c>
      <c r="D70" t="inlineStr">
        <is>
          <t>MID-PACK, not behind</t>
        </is>
      </c>
    </row>
    <row r="71">
      <c r="A71" t="inlineStr">
        <is>
          <t>Sales force productivity [%]</t>
        </is>
      </c>
      <c r="B71" t="n">
        <v>70</v>
      </c>
      <c r="C71" t="inlineStr">
        <is>
          <t>70 - 75</t>
        </is>
      </c>
      <c r="D71" t="inlineStr">
        <is>
          <t>MID-PACK; BB LLC ~75 best</t>
        </is>
      </c>
    </row>
    <row r="72">
      <c r="A72" t="inlineStr">
        <is>
          <t>Comp satisfaction</t>
        </is>
      </c>
      <c r="B72" t="n">
        <v>68</v>
      </c>
      <c r="C72" t="inlineStr">
        <is>
          <t>65 - 72</t>
        </is>
      </c>
    </row>
    <row r="73">
      <c r="A73" s="168" t="inlineStr">
        <is>
          <t>CORRECTION</t>
        </is>
      </c>
      <c r="D73" t="inlineStr">
        <is>
          <t>The whole industry runs ~70%. Our 85% projection was never realistic. The error was PLANNING CAPACITY on 85%, not being badly underpaid. Pay raises buy a few points, not 15.</t>
        </is>
      </c>
    </row>
    <row r="75">
      <c r="A75" s="166" t="inlineStr">
        <is>
          <t>BALANCED SCORECARD — Q3 by firm (approx from graph)</t>
        </is>
      </c>
      <c r="B75" s="166" t="inlineStr">
        <is>
          <t>Total Perf</t>
        </is>
      </c>
      <c r="C75" s="166" t="inlineStr">
        <is>
          <t>Financial</t>
        </is>
      </c>
      <c r="D75" s="166" t="inlineStr">
        <is>
          <t>Market</t>
        </is>
      </c>
      <c r="E75" s="166" t="inlineStr">
        <is>
          <t>Asset Mgmt</t>
        </is>
      </c>
      <c r="F75" s="166" t="inlineStr">
        <is>
          <t>Wealth</t>
        </is>
      </c>
    </row>
    <row r="76">
      <c r="A76" t="inlineStr">
        <is>
          <t>BB LLC</t>
        </is>
      </c>
      <c r="B76" t="n">
        <v>22</v>
      </c>
      <c r="C76" t="n">
        <v>37.7</v>
      </c>
      <c r="D76" t="n">
        <v>0.345</v>
      </c>
      <c r="E76" t="n">
        <v>0.92</v>
      </c>
      <c r="F76" t="n">
        <v>0.87</v>
      </c>
    </row>
    <row r="77">
      <c r="A77" t="inlineStr">
        <is>
          <t>SpaceBikes</t>
        </is>
      </c>
      <c r="B77" t="n">
        <v>11</v>
      </c>
      <c r="C77" t="n">
        <v>34</v>
      </c>
      <c r="D77" t="n">
        <v>0.27</v>
      </c>
      <c r="E77" t="n">
        <v>0.67</v>
      </c>
      <c r="F77" t="n">
        <v>0.95</v>
      </c>
    </row>
    <row r="78">
      <c r="A78" t="inlineStr">
        <is>
          <t>MILC Bikes</t>
        </is>
      </c>
      <c r="B78" t="n">
        <v>2.8</v>
      </c>
      <c r="C78" t="n">
        <v>15</v>
      </c>
      <c r="D78" t="n">
        <v>0.175</v>
      </c>
      <c r="E78" t="n">
        <v>0.48</v>
      </c>
      <c r="F78" t="n">
        <v>0.79</v>
      </c>
    </row>
    <row r="79">
      <c r="A79" t="inlineStr">
        <is>
          <t>Bike Bros</t>
        </is>
      </c>
      <c r="B79" t="n">
        <v>2.5</v>
      </c>
      <c r="C79" t="n">
        <v>14</v>
      </c>
      <c r="D79" t="n">
        <v>0.08500000000000001</v>
      </c>
      <c r="E79" t="n">
        <v>0.46</v>
      </c>
      <c r="F79" t="n">
        <v>0.82</v>
      </c>
    </row>
    <row r="80">
      <c r="A80" t="inlineStr">
        <is>
          <t>LiteCycle</t>
        </is>
      </c>
      <c r="B80" t="n">
        <v>2</v>
      </c>
      <c r="C80" t="n">
        <v>14.5</v>
      </c>
      <c r="D80" t="n">
        <v>0.155</v>
      </c>
      <c r="E80" t="n">
        <v>0.53</v>
      </c>
      <c r="F80" t="n">
        <v>0.8</v>
      </c>
    </row>
    <row r="81">
      <c r="A81" t="inlineStr">
        <is>
          <t>Spoke'd Up</t>
        </is>
      </c>
      <c r="B81" t="n">
        <v>1</v>
      </c>
      <c r="C81" t="n">
        <v>6</v>
      </c>
      <c r="D81" t="n">
        <v>0.15</v>
      </c>
      <c r="E81" t="n">
        <v>0.42</v>
      </c>
      <c r="F81" t="n">
        <v>0.79</v>
      </c>
    </row>
    <row r="82">
      <c r="A82" s="167" t="inlineStr">
        <is>
          <t>WeBike</t>
        </is>
      </c>
      <c r="B82" s="167" t="n">
        <v>0.411</v>
      </c>
      <c r="C82" s="167" t="n">
        <v>5.319</v>
      </c>
      <c r="D82" s="167" t="n">
        <v>0.098</v>
      </c>
      <c r="E82" s="167" t="n">
        <v>0.353</v>
      </c>
      <c r="F82" s="167" t="n">
        <v>0.668</v>
      </c>
    </row>
    <row r="84">
      <c r="A84" s="166" t="inlineStr">
        <is>
          <t>CUMULATIVE BSC (approx)</t>
        </is>
      </c>
      <c r="B84" s="166" t="inlineStr">
        <is>
          <t>Value</t>
        </is>
      </c>
      <c r="C84" s="166" t="inlineStr">
        <is>
          <t>Note</t>
        </is>
      </c>
    </row>
    <row r="85">
      <c r="A85" t="inlineStr">
        <is>
          <t>SpaceBikes</t>
        </is>
      </c>
      <c r="B85" t="n">
        <v>6.3</v>
      </c>
      <c r="C85" t="inlineStr">
        <is>
          <t>cumulative leader</t>
        </is>
      </c>
    </row>
    <row r="86">
      <c r="A86" t="inlineStr">
        <is>
          <t>BB LLC</t>
        </is>
      </c>
      <c r="B86" t="n">
        <v>6.2</v>
      </c>
      <c r="C86" t="inlineStr">
        <is>
          <t>closing fast — Q3 single-quarter leader</t>
        </is>
      </c>
    </row>
    <row r="87">
      <c r="A87" t="inlineStr">
        <is>
          <t>Bike Bros</t>
        </is>
      </c>
      <c r="B87" t="n">
        <v>1.3</v>
      </c>
    </row>
    <row r="88">
      <c r="A88" t="inlineStr">
        <is>
          <t>MILC Bikes</t>
        </is>
      </c>
      <c r="B88" t="n">
        <v>1.3</v>
      </c>
    </row>
    <row r="89">
      <c r="A89" t="inlineStr">
        <is>
          <t>Spoke'd Up</t>
        </is>
      </c>
      <c r="B89" t="n">
        <v>0.7</v>
      </c>
    </row>
    <row r="90">
      <c r="A90" t="inlineStr">
        <is>
          <t>LiteCycle</t>
        </is>
      </c>
      <c r="B90" t="n">
        <v>0.6</v>
      </c>
    </row>
    <row r="91">
      <c r="A91" t="inlineStr">
        <is>
          <t>WeBike</t>
        </is>
      </c>
      <c r="B91" t="n">
        <v>0.033</v>
      </c>
      <c r="C91" t="inlineStr">
        <is>
          <t>Q2 Manufacturing Productivity of 0.20 still poisons the cumulative product</t>
        </is>
      </c>
    </row>
    <row r="93">
      <c r="A93" s="166" t="inlineStr">
        <is>
          <t>RIVAL PROFILES — what to copy and what to avoid</t>
        </is>
      </c>
      <c r="B93" s="166" t="inlineStr">
        <is>
          <t>Read</t>
        </is>
      </c>
    </row>
    <row r="94">
      <c r="A94" t="inlineStr">
        <is>
          <t>BB LLC (leader)</t>
        </is>
      </c>
      <c r="B94" s="170" t="inlineStr">
        <is>
          <t>All 3 segments. Highest price (~$1,480) AND highest share. Most regional ads (24). Asset Mgmt 0.920 — best capital efficiency. Runs heavy overtime (~7) on modest fixed capacity: buys flexibility instead of printers. 21 sales people, ~88 demand per store rep.</t>
        </is>
      </c>
    </row>
    <row r="95">
      <c r="A95" t="inlineStr">
        <is>
          <t>SpaceBikes (cumulative leader)</t>
        </is>
      </c>
      <c r="B95" s="170" t="inlineStr">
        <is>
          <t>Skips Mountain entirely; owns Recreation (34.5%) + Speed (20.4%). Expanded fixed capacity to 32/day — the only firm that out-built us. Highest ad spend (~$145k). Wealth 0.95.</t>
        </is>
      </c>
    </row>
    <row r="96">
      <c r="A96" t="inlineStr">
        <is>
          <t>LiteCycle</t>
        </is>
      </c>
      <c r="B96" s="170" t="inlineStr">
        <is>
          <t>Our Mountain rival at 21.0%, plus 19.0% of Speed. Organic SEM clicks COLLAPSED 400-&gt;180.</t>
        </is>
      </c>
    </row>
    <row r="97">
      <c r="A97" t="inlineStr">
        <is>
          <t>Bike Bros (cautionary tale)</t>
        </is>
      </c>
      <c r="B97" s="170" t="inlineStr">
        <is>
          <t>1 store, 0 web sales centers, 7 sales people. Share falling in all three segments (Mountain 19-&gt;11). Under-channeling is fatal — this is the risk of our 'cut web spend' instinct.</t>
        </is>
      </c>
    </row>
    <row r="98">
      <c r="A98" t="inlineStr">
        <is>
          <t>MILC / Spoke'd Up</t>
        </is>
      </c>
      <c r="B98" s="170" t="inlineStr">
        <is>
          <t>Mid-pack. Spoke'd Up has the highest market growth but lowest Marketing Effectiveness (0.66).</t>
        </is>
      </c>
    </row>
    <row r="100">
      <c r="A100" s="166" t="inlineStr">
        <is>
          <t>Q4 IMPLICATIONS FROM THE GRAPHS</t>
        </is>
      </c>
      <c r="B100" s="166" t="inlineStr">
        <is>
          <t>Action</t>
        </is>
      </c>
    </row>
    <row r="101">
      <c r="A101" t="inlineStr">
        <is>
          <t>1. Operating capacity</t>
        </is>
      </c>
      <c r="B101" s="170" t="inlineStr">
        <is>
          <t>We were LAST at 8/day while owning 24. Schedule to forecast (~15/day). This is confirmed by the Operating Capacity chart, not just inferred.</t>
        </is>
      </c>
    </row>
    <row r="102">
      <c r="A102" t="inlineStr">
        <is>
          <t>2. Unit cost</t>
        </is>
      </c>
      <c r="B102" s="170" t="inlineStr">
        <is>
          <t>Labor cost/unit rose $130-&gt;$205 and COGS/unit $520-&gt;$620 because OC was sub-scale. Right-sizing OC cuts unit cost AND ends stock-outs — one decision, two wins.</t>
        </is>
      </c>
    </row>
    <row r="103">
      <c r="A103" t="inlineStr">
        <is>
          <t>3. Do NOT cut channel</t>
        </is>
      </c>
      <c r="B103" s="170" t="inlineStr">
        <is>
          <t>Store+web spend is the LOWEST in industry and demand per head is LAST. Bike Bros shows where that path ends. Open city #3 and re-staff web.</t>
        </is>
      </c>
    </row>
    <row r="104">
      <c r="A104" t="inlineStr">
        <is>
          <t>4. Pay expectations</t>
        </is>
      </c>
      <c r="B104" s="170" t="inlineStr">
        <is>
          <t>Industry productivity is ~70% across the board. Raise pay to upper-quartile (sales ~$26-27k, production ~$22-23k) but PLAN on ~73-75%, not 85%.</t>
        </is>
      </c>
    </row>
    <row r="105">
      <c r="A105" t="inlineStr">
        <is>
          <t>5. Segment strategy</t>
        </is>
      </c>
      <c r="B105" s="170" t="inlineStr">
        <is>
          <t>Mountain is the smallest, slowest segment (1,621) and BB LLC holds 46%. Speed is 2,878 and growing. Recreation has the most searches (1,350) and we hold 2.6%.</t>
        </is>
      </c>
    </row>
    <row r="106">
      <c r="A106" t="inlineStr">
        <is>
          <t>6. Price</t>
        </is>
      </c>
      <c r="B106" s="170" t="inlineStr">
        <is>
          <t>BB LLC charges MORE than us and leads. Our ~$1,400 average is not the constraint — supply is.</t>
        </is>
      </c>
    </row>
    <row r="107">
      <c r="A107" t="inlineStr">
        <is>
          <t>7. Advertising</t>
        </is>
      </c>
      <c r="B107" s="170" t="inlineStr">
        <is>
          <t>Ad count 2nd, spend 3rd, Marketing Effectiveness at par. Marketing is NOT the problem. Weakest marketing input is organic SEM clicks (150 vs 440).</t>
        </is>
      </c>
    </row>
  </sheetData>
  <mergeCells count="1">
    <mergeCell ref="A3:F3"/>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cols>
    <col width="44" customWidth="1" style="146" min="1" max="1"/>
    <col width="18" customWidth="1" style="146" min="2" max="2"/>
    <col width="16" customWidth="1" style="146" min="3" max="3"/>
    <col width="20" customWidth="1" style="146" min="4" max="4"/>
    <col width="70" customWidth="1" style="146" min="5" max="5"/>
    <col width="14" customWidth="1" style="146" min="6" max="6"/>
    <col width="12" customWidth="1" style="146" min="7" max="7"/>
    <col width="20" customWidth="1" style="146" min="8" max="8"/>
  </cols>
  <sheetData>
    <row r="1">
      <c r="A1" s="169" t="inlineStr">
        <is>
          <t>Brand Judgment — World Market, Q3 actual (all 20 industry brands)</t>
        </is>
      </c>
    </row>
    <row r="2">
      <c r="A2" s="170" t="inlineStr">
        <is>
          <t>Score = segment appeal of the brand DESIGN (1 = no appeal). Exact figures from the sim report. A score of 1 means the brand is irrelevant to that segment.</t>
        </is>
      </c>
    </row>
    <row r="4">
      <c r="A4" s="166" t="inlineStr">
        <is>
          <t>Brand</t>
        </is>
      </c>
      <c r="B4" s="166" t="inlineStr">
        <is>
          <t>Company</t>
        </is>
      </c>
      <c r="C4" s="166" t="inlineStr">
        <is>
          <t>Recreation</t>
        </is>
      </c>
      <c r="D4" s="166" t="inlineStr">
        <is>
          <t>Mountain</t>
        </is>
      </c>
      <c r="E4" s="166" t="inlineStr">
        <is>
          <t>Speed</t>
        </is>
      </c>
      <c r="F4" s="166" t="inlineStr">
        <is>
          <t>Targets</t>
        </is>
      </c>
      <c r="G4" s="166" t="inlineStr">
        <is>
          <t>Best score</t>
        </is>
      </c>
      <c r="H4" s="166" t="inlineStr">
        <is>
          <t>Gap to segment best</t>
        </is>
      </c>
    </row>
    <row r="5">
      <c r="A5" t="inlineStr">
        <is>
          <t>MACH I.I</t>
        </is>
      </c>
      <c r="B5" t="inlineStr">
        <is>
          <t>Bike Bros</t>
        </is>
      </c>
      <c r="C5" t="n">
        <v>12</v>
      </c>
      <c r="D5" t="n">
        <v>1</v>
      </c>
      <c r="E5" t="n">
        <v>77</v>
      </c>
      <c r="F5" t="inlineStr">
        <is>
          <t>Speed</t>
        </is>
      </c>
      <c r="G5" t="n">
        <v>77</v>
      </c>
      <c r="H5" t="n">
        <v>0</v>
      </c>
    </row>
    <row r="6">
      <c r="A6" t="inlineStr">
        <is>
          <t>TERRAMAX</t>
        </is>
      </c>
      <c r="B6" t="inlineStr">
        <is>
          <t>Bike Bros</t>
        </is>
      </c>
      <c r="C6" t="n">
        <v>56</v>
      </c>
      <c r="D6" t="n">
        <v>73</v>
      </c>
      <c r="E6" t="n">
        <v>1</v>
      </c>
      <c r="F6" t="inlineStr">
        <is>
          <t>Mountain</t>
        </is>
      </c>
      <c r="G6" t="n">
        <v>73</v>
      </c>
      <c r="H6" t="n">
        <v>0</v>
      </c>
    </row>
    <row r="7">
      <c r="A7" t="inlineStr">
        <is>
          <t>Mach 0.6</t>
        </is>
      </c>
      <c r="B7" t="inlineStr">
        <is>
          <t>Bike Bros</t>
        </is>
      </c>
      <c r="C7" t="n">
        <v>9</v>
      </c>
      <c r="D7" t="n">
        <v>1</v>
      </c>
      <c r="E7" t="n">
        <v>61</v>
      </c>
      <c r="F7" t="inlineStr">
        <is>
          <t>Speed</t>
        </is>
      </c>
      <c r="G7" t="n">
        <v>61</v>
      </c>
      <c r="H7" t="n">
        <v>16</v>
      </c>
    </row>
    <row r="8">
      <c r="A8" t="inlineStr">
        <is>
          <t>TERRAMean</t>
        </is>
      </c>
      <c r="B8" t="inlineStr">
        <is>
          <t>Bike Bros</t>
        </is>
      </c>
      <c r="C8" t="n">
        <v>59</v>
      </c>
      <c r="D8" t="n">
        <v>72</v>
      </c>
      <c r="E8" t="n">
        <v>1</v>
      </c>
      <c r="F8" t="inlineStr">
        <is>
          <t>Mountain</t>
        </is>
      </c>
      <c r="G8" t="n">
        <v>72</v>
      </c>
      <c r="H8" t="n">
        <v>1</v>
      </c>
    </row>
    <row r="9">
      <c r="A9" t="inlineStr">
        <is>
          <t>MountainCruise1</t>
        </is>
      </c>
      <c r="B9" t="inlineStr">
        <is>
          <t>Bike Bros</t>
        </is>
      </c>
      <c r="C9" t="n">
        <v>76</v>
      </c>
      <c r="D9" t="n">
        <v>1</v>
      </c>
      <c r="E9" t="n">
        <v>1</v>
      </c>
      <c r="F9" t="inlineStr">
        <is>
          <t>Recreation</t>
        </is>
      </c>
      <c r="G9" t="n">
        <v>76</v>
      </c>
      <c r="H9" t="n">
        <v>0</v>
      </c>
    </row>
    <row r="10">
      <c r="A10" t="inlineStr">
        <is>
          <t>LiteSpeed Pro+</t>
        </is>
      </c>
      <c r="B10" t="inlineStr">
        <is>
          <t>LiteCycle</t>
        </is>
      </c>
      <c r="C10" t="n">
        <v>12</v>
      </c>
      <c r="D10" t="n">
        <v>1</v>
      </c>
      <c r="E10" t="n">
        <v>77</v>
      </c>
      <c r="F10" t="inlineStr">
        <is>
          <t>Speed</t>
        </is>
      </c>
      <c r="G10" t="n">
        <v>77</v>
      </c>
      <c r="H10" t="n">
        <v>0</v>
      </c>
    </row>
    <row r="11">
      <c r="A11" t="inlineStr">
        <is>
          <t>LiteSpeed+</t>
        </is>
      </c>
      <c r="B11" t="inlineStr">
        <is>
          <t>LiteCycle</t>
        </is>
      </c>
      <c r="C11" t="n">
        <v>7</v>
      </c>
      <c r="D11" t="n">
        <v>1</v>
      </c>
      <c r="E11" t="n">
        <v>74</v>
      </c>
      <c r="F11" t="inlineStr">
        <is>
          <t>Speed</t>
        </is>
      </c>
      <c r="G11" t="n">
        <v>74</v>
      </c>
      <c r="H11" t="n">
        <v>3</v>
      </c>
    </row>
    <row r="12">
      <c r="A12" t="inlineStr">
        <is>
          <t>LiteTrail Pro</t>
        </is>
      </c>
      <c r="B12" t="inlineStr">
        <is>
          <t>LiteCycle</t>
        </is>
      </c>
      <c r="C12" t="n">
        <v>58</v>
      </c>
      <c r="D12" t="n">
        <v>70</v>
      </c>
      <c r="E12" t="n">
        <v>1</v>
      </c>
      <c r="F12" t="inlineStr">
        <is>
          <t>Mountain</t>
        </is>
      </c>
      <c r="G12" t="n">
        <v>70</v>
      </c>
      <c r="H12" t="n">
        <v>3</v>
      </c>
    </row>
    <row r="13">
      <c r="A13" s="171" t="inlineStr">
        <is>
          <t>Hike Bike</t>
        </is>
      </c>
      <c r="B13" s="171" t="inlineStr">
        <is>
          <t>WeBike</t>
        </is>
      </c>
      <c r="C13" s="171" t="n">
        <v>56</v>
      </c>
      <c r="D13" s="171" t="n">
        <v>73</v>
      </c>
      <c r="E13" s="171" t="n">
        <v>1</v>
      </c>
      <c r="F13" s="171" t="inlineStr">
        <is>
          <t>Mountain</t>
        </is>
      </c>
      <c r="G13" s="171" t="n">
        <v>73</v>
      </c>
      <c r="H13" s="171" t="n">
        <v>0</v>
      </c>
    </row>
    <row r="14">
      <c r="A14" s="171" t="inlineStr">
        <is>
          <t>Swift Bike</t>
        </is>
      </c>
      <c r="B14" s="171" t="inlineStr">
        <is>
          <t>WeBike</t>
        </is>
      </c>
      <c r="C14" s="171" t="n">
        <v>10</v>
      </c>
      <c r="D14" s="171" t="n">
        <v>1</v>
      </c>
      <c r="E14" s="171" t="n">
        <v>72</v>
      </c>
      <c r="F14" s="171" t="inlineStr">
        <is>
          <t>Speed</t>
        </is>
      </c>
      <c r="G14" s="171" t="n">
        <v>72</v>
      </c>
      <c r="H14" s="171" t="n">
        <v>5</v>
      </c>
    </row>
    <row r="15">
      <c r="A15" t="inlineStr">
        <is>
          <t>Blu Ruged Ballz</t>
        </is>
      </c>
      <c r="B15" t="inlineStr">
        <is>
          <t>BB LLC</t>
        </is>
      </c>
      <c r="C15" t="n">
        <v>56</v>
      </c>
      <c r="D15" t="n">
        <v>73</v>
      </c>
      <c r="E15" t="n">
        <v>1</v>
      </c>
      <c r="F15" t="inlineStr">
        <is>
          <t>Mountain</t>
        </is>
      </c>
      <c r="G15" t="n">
        <v>73</v>
      </c>
      <c r="H15" t="n">
        <v>0</v>
      </c>
    </row>
    <row r="16">
      <c r="A16" t="inlineStr">
        <is>
          <t>Blu Aero Ballz</t>
        </is>
      </c>
      <c r="B16" t="inlineStr">
        <is>
          <t>BB LLC</t>
        </is>
      </c>
      <c r="C16" t="n">
        <v>7</v>
      </c>
      <c r="D16" t="n">
        <v>1</v>
      </c>
      <c r="E16" t="n">
        <v>74</v>
      </c>
      <c r="F16" t="inlineStr">
        <is>
          <t>Speed</t>
        </is>
      </c>
      <c r="G16" t="n">
        <v>74</v>
      </c>
      <c r="H16" t="n">
        <v>3</v>
      </c>
    </row>
    <row r="17">
      <c r="A17" t="inlineStr">
        <is>
          <t>Blu Tail Ballz</t>
        </is>
      </c>
      <c r="B17" t="inlineStr">
        <is>
          <t>BB LLC</t>
        </is>
      </c>
      <c r="C17" t="n">
        <v>58</v>
      </c>
      <c r="D17" t="n">
        <v>70</v>
      </c>
      <c r="E17" t="n">
        <v>1</v>
      </c>
      <c r="F17" t="inlineStr">
        <is>
          <t>Mountain</t>
        </is>
      </c>
      <c r="G17" t="n">
        <v>70</v>
      </c>
      <c r="H17" t="n">
        <v>3</v>
      </c>
    </row>
    <row r="18">
      <c r="A18" t="inlineStr">
        <is>
          <t>Blu Tube Ballz</t>
        </is>
      </c>
      <c r="B18" t="inlineStr">
        <is>
          <t>BB LLC</t>
        </is>
      </c>
      <c r="C18" t="n">
        <v>9</v>
      </c>
      <c r="D18" t="n">
        <v>1</v>
      </c>
      <c r="E18" t="n">
        <v>76</v>
      </c>
      <c r="F18" t="inlineStr">
        <is>
          <t>Speed</t>
        </is>
      </c>
      <c r="G18" t="n">
        <v>76</v>
      </c>
      <c r="H18" t="n">
        <v>1</v>
      </c>
    </row>
    <row r="19">
      <c r="A19" t="inlineStr">
        <is>
          <t>Spoke'd Easy</t>
        </is>
      </c>
      <c r="B19" t="inlineStr">
        <is>
          <t>Spoke'd Up</t>
        </is>
      </c>
      <c r="C19" t="n">
        <v>73</v>
      </c>
      <c r="D19" t="n">
        <v>1</v>
      </c>
      <c r="E19" t="n">
        <v>1</v>
      </c>
      <c r="F19" t="inlineStr">
        <is>
          <t>Recreation</t>
        </is>
      </c>
      <c r="G19" t="n">
        <v>73</v>
      </c>
      <c r="H19" t="n">
        <v>3</v>
      </c>
    </row>
    <row r="20">
      <c r="A20" t="inlineStr">
        <is>
          <t>Spoke'd Speed</t>
        </is>
      </c>
      <c r="B20" t="inlineStr">
        <is>
          <t>Spoke'd Up</t>
        </is>
      </c>
      <c r="C20" t="n">
        <v>10</v>
      </c>
      <c r="D20" t="n">
        <v>1</v>
      </c>
      <c r="E20" t="n">
        <v>75</v>
      </c>
      <c r="F20" t="inlineStr">
        <is>
          <t>Speed</t>
        </is>
      </c>
      <c r="G20" t="n">
        <v>75</v>
      </c>
      <c r="H20" t="n">
        <v>2</v>
      </c>
    </row>
    <row r="21">
      <c r="A21" t="inlineStr">
        <is>
          <t>The Armstrong</t>
        </is>
      </c>
      <c r="B21" t="inlineStr">
        <is>
          <t>SpaceBikes</t>
        </is>
      </c>
      <c r="C21" t="n">
        <v>9</v>
      </c>
      <c r="D21" t="n">
        <v>1</v>
      </c>
      <c r="E21" t="n">
        <v>76</v>
      </c>
      <c r="F21" t="inlineStr">
        <is>
          <t>Speed</t>
        </is>
      </c>
      <c r="G21" t="n">
        <v>76</v>
      </c>
      <c r="H21" t="n">
        <v>1</v>
      </c>
    </row>
    <row r="22">
      <c r="A22" t="inlineStr">
        <is>
          <t>Mars Rover</t>
        </is>
      </c>
      <c r="B22" t="inlineStr">
        <is>
          <t>SpaceBikes</t>
        </is>
      </c>
      <c r="C22" t="n">
        <v>73</v>
      </c>
      <c r="D22" t="n">
        <v>1</v>
      </c>
      <c r="E22" t="n">
        <v>1</v>
      </c>
      <c r="F22" t="inlineStr">
        <is>
          <t>Recreation</t>
        </is>
      </c>
      <c r="G22" t="n">
        <v>73</v>
      </c>
      <c r="H22" t="n">
        <v>3</v>
      </c>
    </row>
    <row r="23">
      <c r="A23" t="inlineStr">
        <is>
          <t>Whole MILC MKII</t>
        </is>
      </c>
      <c r="B23" t="inlineStr">
        <is>
          <t>MILC Bikes</t>
        </is>
      </c>
      <c r="C23" t="n">
        <v>74</v>
      </c>
      <c r="D23" t="n">
        <v>1</v>
      </c>
      <c r="E23" t="n">
        <v>1</v>
      </c>
      <c r="F23" t="inlineStr">
        <is>
          <t>Recreation</t>
        </is>
      </c>
      <c r="G23" t="n">
        <v>74</v>
      </c>
      <c r="H23" t="n">
        <v>2</v>
      </c>
    </row>
    <row r="24">
      <c r="A24" t="inlineStr">
        <is>
          <t>Skim MILC MKII</t>
        </is>
      </c>
      <c r="B24" t="inlineStr">
        <is>
          <t>MILC Bikes</t>
        </is>
      </c>
      <c r="C24" t="n">
        <v>9</v>
      </c>
      <c r="D24" t="n">
        <v>1</v>
      </c>
      <c r="E24" t="n">
        <v>76</v>
      </c>
      <c r="F24" t="inlineStr">
        <is>
          <t>Speed</t>
        </is>
      </c>
      <c r="G24" t="n">
        <v>76</v>
      </c>
      <c r="H24" t="n">
        <v>1</v>
      </c>
    </row>
    <row r="26">
      <c r="A26" s="166" t="inlineStr">
        <is>
          <t>SEGMENT CEILINGS — what the best design achieves</t>
        </is>
      </c>
      <c r="B26" s="166" t="inlineStr">
        <is>
          <t>Best score</t>
        </is>
      </c>
      <c r="C26" s="166" t="inlineStr">
        <is>
          <t>Who holds it</t>
        </is>
      </c>
      <c r="D26" s="166" t="inlineStr">
        <is>
          <t>WeBike</t>
        </is>
      </c>
      <c r="E26" s="166" t="inlineStr">
        <is>
          <t>Gap</t>
        </is>
      </c>
    </row>
    <row r="27">
      <c r="A27" t="inlineStr">
        <is>
          <t>Mountain</t>
        </is>
      </c>
      <c r="B27" t="n">
        <v>73</v>
      </c>
      <c r="C27" t="inlineStr">
        <is>
          <t>Hike Bike (WeBike), TERRAMAX (Bike Bros), Blu Ruged Ballz (BB LLC)</t>
        </is>
      </c>
      <c r="D27" s="159" t="n">
        <v>73</v>
      </c>
      <c r="E27" s="159" t="n">
        <v>0</v>
      </c>
    </row>
    <row r="28">
      <c r="A28" t="inlineStr">
        <is>
          <t>Speed</t>
        </is>
      </c>
      <c r="B28" t="n">
        <v>77</v>
      </c>
      <c r="C28" t="inlineStr">
        <is>
          <t>MACH I.I (Bike Bros), LiteSpeed Pro+ (LiteCycle)</t>
        </is>
      </c>
      <c r="D28" s="167" t="n">
        <v>72</v>
      </c>
      <c r="E28" s="167" t="n">
        <v>5</v>
      </c>
    </row>
    <row r="29">
      <c r="A29" t="inlineStr">
        <is>
          <t>Recreation</t>
        </is>
      </c>
      <c r="B29" t="n">
        <v>76</v>
      </c>
      <c r="C29" t="inlineStr">
        <is>
          <t>MountainCruise1 (Bike Bros)</t>
        </is>
      </c>
      <c r="D29" t="inlineStr">
        <is>
          <t>n/a (56 spillover)</t>
        </is>
      </c>
      <c r="E29" t="inlineStr">
        <is>
          <t>n/a</t>
        </is>
      </c>
    </row>
    <row r="32">
      <c r="A32" s="172" t="inlineStr">
        <is>
          <t>HEADLINE — Hike Bike is tied for the BEST Mountain brand in the industry</t>
        </is>
      </c>
      <c r="B32" s="172" t="n"/>
    </row>
    <row r="33">
      <c r="A33" t="inlineStr">
        <is>
          <t>Hike Bike Mountain judgment</t>
        </is>
      </c>
      <c r="B33" t="n">
        <v>73</v>
      </c>
    </row>
    <row r="34">
      <c r="A34" t="inlineStr">
        <is>
          <t>BB LLC Blu Ruged Ballz Mountain judgment</t>
        </is>
      </c>
      <c r="B34" t="n">
        <v>73</v>
      </c>
    </row>
    <row r="35">
      <c r="A35" t="inlineStr">
        <is>
          <t>Our Mountain share [%]</t>
        </is>
      </c>
      <c r="B35" t="n">
        <v>22.1</v>
      </c>
    </row>
    <row r="36">
      <c r="A36" t="inlineStr">
        <is>
          <t>BB LLC Mountain share [%]</t>
        </is>
      </c>
      <c r="B36" t="n">
        <v>46.3</v>
      </c>
    </row>
    <row r="37">
      <c r="A37" t="inlineStr">
        <is>
          <t>Share ratio on an IDENTICAL brand score</t>
        </is>
      </c>
      <c r="B37">
        <f>B36/B35</f>
        <v/>
      </c>
    </row>
    <row r="38">
      <c r="A38" t="inlineStr">
        <is>
          <t>Conclusion</t>
        </is>
      </c>
      <c r="B38" s="170" t="inlineStr">
        <is>
          <t>BB LLC takes 2.1x our Mountain share with a brand design scored EXACTLY the same as ours. The gap is therefore NOT product. It is supply (we stocked out 33%), sales coverage (21 sales people vs our 14, ~88 demand/store rep vs our 46) and ad volume (24 vs 19). Do not redesign Hike Bike. Feed it.</t>
        </is>
      </c>
    </row>
    <row r="41">
      <c r="A41" s="166" t="inlineStr">
        <is>
          <t>SPEED GAP — Swift Bike is the weakest real Speed brand</t>
        </is>
      </c>
      <c r="B41" s="166" t="inlineStr">
        <is>
          <t>Rec</t>
        </is>
      </c>
      <c r="C41" s="166" t="inlineStr">
        <is>
          <t>Mtn</t>
        </is>
      </c>
      <c r="D41" s="166" t="inlineStr">
        <is>
          <t>Speed</t>
        </is>
      </c>
      <c r="E41" s="166" t="inlineStr">
        <is>
          <t>Note</t>
        </is>
      </c>
    </row>
    <row r="42">
      <c r="A42" t="inlineStr">
        <is>
          <t>MACH I.I (Bike Bros)</t>
        </is>
      </c>
      <c r="B42" t="n">
        <v>12</v>
      </c>
      <c r="C42" t="n">
        <v>1</v>
      </c>
      <c r="D42" t="n">
        <v>77</v>
      </c>
      <c r="E42" t="inlineStr">
        <is>
          <t>co-best Speed design</t>
        </is>
      </c>
    </row>
    <row r="43">
      <c r="A43" t="inlineStr">
        <is>
          <t>LiteSpeed Pro+ (LiteCycle)</t>
        </is>
      </c>
      <c r="B43" t="n">
        <v>12</v>
      </c>
      <c r="C43" t="n">
        <v>1</v>
      </c>
      <c r="D43" t="n">
        <v>77</v>
      </c>
      <c r="E43" t="inlineStr">
        <is>
          <t>co-best Speed design</t>
        </is>
      </c>
    </row>
    <row r="44">
      <c r="A44" t="inlineStr">
        <is>
          <t>Blu Tube Ballz (BB LLC)</t>
        </is>
      </c>
      <c r="B44" t="n">
        <v>9</v>
      </c>
      <c r="C44" t="n">
        <v>1</v>
      </c>
      <c r="D44" t="n">
        <v>76</v>
      </c>
    </row>
    <row r="45">
      <c r="A45" t="inlineStr">
        <is>
          <t>The Armstrong (SpaceBikes)</t>
        </is>
      </c>
      <c r="B45" t="n">
        <v>9</v>
      </c>
      <c r="C45" t="n">
        <v>1</v>
      </c>
      <c r="D45" t="n">
        <v>76</v>
      </c>
    </row>
    <row r="46">
      <c r="A46" t="inlineStr">
        <is>
          <t>Skim MILC MKII (MILC)</t>
        </is>
      </c>
      <c r="B46" t="n">
        <v>9</v>
      </c>
      <c r="C46" t="n">
        <v>1</v>
      </c>
      <c r="D46" t="n">
        <v>76</v>
      </c>
    </row>
    <row r="47">
      <c r="A47" t="inlineStr">
        <is>
          <t>Spoke'd Speed (Spoke'd Up)</t>
        </is>
      </c>
      <c r="B47" t="n">
        <v>10</v>
      </c>
      <c r="C47" t="n">
        <v>1</v>
      </c>
      <c r="D47" t="n">
        <v>75</v>
      </c>
    </row>
    <row r="48">
      <c r="A48" t="inlineStr">
        <is>
          <t>LiteSpeed+ (LiteCycle)</t>
        </is>
      </c>
      <c r="B48" t="n">
        <v>7</v>
      </c>
      <c r="C48" t="n">
        <v>1</v>
      </c>
      <c r="D48" t="n">
        <v>74</v>
      </c>
    </row>
    <row r="49">
      <c r="A49" t="inlineStr">
        <is>
          <t>Blu Aero Ballz (BB LLC)</t>
        </is>
      </c>
      <c r="B49" t="n">
        <v>7</v>
      </c>
      <c r="C49" t="n">
        <v>1</v>
      </c>
      <c r="D49" t="n">
        <v>74</v>
      </c>
    </row>
    <row r="50">
      <c r="A50" s="167" t="inlineStr">
        <is>
          <t>Swift Bike (WeBike)</t>
        </is>
      </c>
      <c r="B50" t="n">
        <v>10</v>
      </c>
      <c r="C50" t="n">
        <v>1</v>
      </c>
      <c r="D50" s="167" t="n">
        <v>72</v>
      </c>
      <c r="E50" t="inlineStr">
        <is>
          <t>2nd WORST — 5 points off the ceiling</t>
        </is>
      </c>
    </row>
    <row r="51">
      <c r="A51" t="inlineStr">
        <is>
          <t>Mach 0.6 (Bike Bros)</t>
        </is>
      </c>
      <c r="B51" t="n">
        <v>9</v>
      </c>
      <c r="C51" t="n">
        <v>1</v>
      </c>
      <c r="D51" t="n">
        <v>61</v>
      </c>
      <c r="E51" t="inlineStr">
        <is>
          <t>only brand worse than ours</t>
        </is>
      </c>
    </row>
    <row r="52">
      <c r="A52" t="inlineStr">
        <is>
          <t>Read</t>
        </is>
      </c>
      <c r="E52" s="170" t="inlineStr">
        <is>
          <t>8 of 9 rival Speed brands beat Swift Bike. The winning profile (12/1/77) is nearly identical to ours (10/1/72) - so a modest redesign should close most of the 5-point gap. Combined with our Speed AD judgment of 70, weak product + weak ad explains 7.5% share in a 2,878-unit segment.</t>
        </is>
      </c>
    </row>
    <row r="55">
      <c r="A55" s="166" t="inlineStr">
        <is>
          <t>DESIGN CONVERGENCE — the market has found the optimal profiles</t>
        </is>
      </c>
      <c r="B55" s="166" t="inlineStr">
        <is>
          <t>Brands sharing it</t>
        </is>
      </c>
    </row>
    <row r="56">
      <c r="A56" t="inlineStr">
        <is>
          <t>56 / 73 / 1  (Mountain optimum)</t>
        </is>
      </c>
      <c r="B56" t="inlineStr">
        <is>
          <t>TERRAMAX (Bike Bros), Hike Bike (WeBike), Blu Ruged Ballz (BB LLC)</t>
        </is>
      </c>
    </row>
    <row r="57">
      <c r="A57" t="inlineStr">
        <is>
          <t>58 / 70 / 1  (Mountain, 2nd tier)</t>
        </is>
      </c>
      <c r="B57" t="inlineStr">
        <is>
          <t>LiteTrail Pro (LiteCycle), Blu Tail Ballz (BB LLC)</t>
        </is>
      </c>
    </row>
    <row r="58">
      <c r="A58" t="inlineStr">
        <is>
          <t>12 / 1 / 77  (Speed optimum)</t>
        </is>
      </c>
      <c r="B58" t="inlineStr">
        <is>
          <t>MACH I.I (Bike Bros), LiteSpeed Pro+ (LiteCycle)</t>
        </is>
      </c>
    </row>
    <row r="59">
      <c r="A59" t="inlineStr">
        <is>
          <t>9 / 1 / 76   (Speed, 2nd tier)</t>
        </is>
      </c>
      <c r="B59" t="inlineStr">
        <is>
          <t>Blu Tube Ballz (BB LLC), The Armstrong (SpaceBikes), Skim MILC MKII (MILC)</t>
        </is>
      </c>
    </row>
    <row r="60">
      <c r="A60" t="inlineStr">
        <is>
          <t>7 / 1 / 74   (Speed, 3rd tier)</t>
        </is>
      </c>
      <c r="B60" t="inlineStr">
        <is>
          <t>LiteSpeed+ (LiteCycle), Blu Aero Ballz (BB LLC)</t>
        </is>
      </c>
    </row>
    <row r="61">
      <c r="A61" t="inlineStr">
        <is>
          <t>73 / 1 / 1   (Recreation)</t>
        </is>
      </c>
      <c r="B61" t="inlineStr">
        <is>
          <t>Spoke'd Easy (Spoke'd Up), Mars Rover (SpaceBikes)</t>
        </is>
      </c>
    </row>
    <row r="62">
      <c r="A62" t="inlineStr">
        <is>
          <t>Read</t>
        </is>
      </c>
      <c r="B62" s="170" t="inlineStr">
        <is>
          <t>Multiple firms have landed on byte-identical designs. Brand design is becoming COMMODITISED - no one can win on product alone. Nobody exceeds 73 in Mountain or 77 in Speed, so those look like hard ceilings. Differentiation must come from supply, channel, ads and price.</t>
        </is>
      </c>
    </row>
    <row r="65">
      <c r="A65" s="166" t="inlineStr">
        <is>
          <t>PORTFOLIO BREADTH</t>
        </is>
      </c>
      <c r="B65" s="166" t="inlineStr">
        <is>
          <t>Brands</t>
        </is>
      </c>
      <c r="C65" s="166" t="inlineStr">
        <is>
          <t>Segments covered</t>
        </is>
      </c>
      <c r="D65" s="166" t="inlineStr">
        <is>
          <t>Overall share [%]</t>
        </is>
      </c>
      <c r="E65" s="166" t="inlineStr">
        <is>
          <t>Note</t>
        </is>
      </c>
    </row>
    <row r="66">
      <c r="A66" t="inlineStr">
        <is>
          <t>Bike Bros</t>
        </is>
      </c>
      <c r="B66" t="n">
        <v>5</v>
      </c>
      <c r="C66" t="inlineStr">
        <is>
          <t>Rec + Mtn + Speed</t>
        </is>
      </c>
      <c r="D66" t="n">
        <v>7.5</v>
      </c>
      <c r="E66" t="inlineStr">
        <is>
          <t>MOST brands, LOWEST share - 1 store, 0 web centers</t>
        </is>
      </c>
    </row>
    <row r="67">
      <c r="A67" t="inlineStr">
        <is>
          <t>BB LLC</t>
        </is>
      </c>
      <c r="B67" t="n">
        <v>4</v>
      </c>
      <c r="C67" t="inlineStr">
        <is>
          <t>Rec* + Mtn + Speed</t>
        </is>
      </c>
      <c r="D67" t="n">
        <v>23</v>
      </c>
      <c r="E67" t="inlineStr">
        <is>
          <t>leader; 2 Mtn + 2 Speed brands, Rec via spillover only</t>
        </is>
      </c>
    </row>
    <row r="68">
      <c r="A68" t="inlineStr">
        <is>
          <t>LiteCycle</t>
        </is>
      </c>
      <c r="B68" t="n">
        <v>3</v>
      </c>
      <c r="C68" t="inlineStr">
        <is>
          <t>Mtn + Speed</t>
        </is>
      </c>
      <c r="D68" t="n">
        <v>15</v>
      </c>
    </row>
    <row r="69">
      <c r="A69" s="173" t="inlineStr">
        <is>
          <t>WeBike</t>
        </is>
      </c>
      <c r="B69" t="n">
        <v>2</v>
      </c>
      <c r="C69" t="inlineStr">
        <is>
          <t>Mtn + Speed</t>
        </is>
      </c>
      <c r="D69" t="n">
        <v>9.6</v>
      </c>
      <c r="E69" t="inlineStr">
        <is>
          <t>at parity on count</t>
        </is>
      </c>
    </row>
    <row r="70">
      <c r="A70" t="inlineStr">
        <is>
          <t>Spoke'd Up</t>
        </is>
      </c>
      <c r="B70" t="n">
        <v>2</v>
      </c>
      <c r="C70" t="inlineStr">
        <is>
          <t>Rec + Speed</t>
        </is>
      </c>
      <c r="D70" t="n">
        <v>13</v>
      </c>
    </row>
    <row r="71">
      <c r="A71" t="inlineStr">
        <is>
          <t>SpaceBikes</t>
        </is>
      </c>
      <c r="B71" t="n">
        <v>2</v>
      </c>
      <c r="C71" t="inlineStr">
        <is>
          <t>Rec + Speed</t>
        </is>
      </c>
      <c r="D71" t="n">
        <v>19.8</v>
      </c>
      <c r="E71" t="inlineStr">
        <is>
          <t>cumulative LEADER on just 2 brands - skips Mountain</t>
        </is>
      </c>
    </row>
    <row r="72">
      <c r="A72" t="inlineStr">
        <is>
          <t>MILC Bikes</t>
        </is>
      </c>
      <c r="B72" t="n">
        <v>2</v>
      </c>
      <c r="C72" t="inlineStr">
        <is>
          <t>Rec + Speed</t>
        </is>
      </c>
      <c r="D72" t="n">
        <v>12.2</v>
      </c>
    </row>
    <row r="73">
      <c r="A73" t="inlineStr">
        <is>
          <t>Read</t>
        </is>
      </c>
      <c r="E73" s="170" t="inlineStr">
        <is>
          <t>Brand COUNT does not drive share: Bike Bros has 5 brands and last place; SpaceBikes has 2 and leads cumulatively. A 3rd brand is NOT our priority - filling demand for the 2 we have is.</t>
        </is>
      </c>
    </row>
    <row r="76">
      <c r="A76" s="166" t="inlineStr">
        <is>
          <t>RECREATION SPILLOVER — a free option we are not using</t>
        </is>
      </c>
      <c r="B76" s="166" t="inlineStr">
        <is>
          <t>Score</t>
        </is>
      </c>
    </row>
    <row r="77">
      <c r="A77" t="inlineStr">
        <is>
          <t>Hike Bike appeal to Recreation buyers</t>
        </is>
      </c>
      <c r="B77" t="n">
        <v>56</v>
      </c>
    </row>
    <row r="78">
      <c r="A78" t="inlineStr">
        <is>
          <t>Best dedicated Recreation brand (MountainCruise1)</t>
        </is>
      </c>
      <c r="B78" t="n">
        <v>76</v>
      </c>
    </row>
    <row r="79">
      <c r="A79" t="inlineStr">
        <is>
          <t>Recreation segment size [units]</t>
        </is>
      </c>
      <c r="B79" t="n">
        <v>2060</v>
      </c>
    </row>
    <row r="80">
      <c r="A80" t="inlineStr">
        <is>
          <t>Recreation searches (highest of 3 segments)</t>
        </is>
      </c>
      <c r="B80" t="n">
        <v>1350</v>
      </c>
    </row>
    <row r="81">
      <c r="A81" t="inlineStr">
        <is>
          <t>Our Recreation share [%]</t>
        </is>
      </c>
      <c r="B81" t="n">
        <v>2.6</v>
      </c>
    </row>
    <row r="82">
      <c r="A82" t="inlineStr">
        <is>
          <t>Our Recreation demand [units, untargeted]</t>
        </is>
      </c>
      <c r="B82" t="n">
        <v>54</v>
      </c>
    </row>
    <row r="83">
      <c r="A83" t="inlineStr">
        <is>
          <t>Read</t>
        </is>
      </c>
      <c r="B83" s="170" t="inlineStr">
        <is>
          <t>Hike Bike already scores 56 with Recreation buyers and pulled 54 units we never asked for. That is real latent demand in the LARGEST-search segment. But 56 vs 76 means we cannot win Recreation on spillover - it would need a dedicated brand. Park this as a Q5 option, not a Q4 one.</t>
        </is>
      </c>
    </row>
    <row r="86">
      <c r="A86" s="166" t="inlineStr">
        <is>
          <t>Q4 BRAND ACTIONS</t>
        </is>
      </c>
      <c r="B86" s="166" t="inlineStr">
        <is>
          <t>Decision</t>
        </is>
      </c>
    </row>
    <row r="87">
      <c r="A87" t="inlineStr">
        <is>
          <t>Hike Bike (Mountain)</t>
        </is>
      </c>
      <c r="B87" s="174" t="inlineStr">
        <is>
          <t>DO NOT REDESIGN. Tied for best in industry at 73 - already at the ceiling. Every dollar should go to supplying and selling it, not improving it.</t>
        </is>
      </c>
    </row>
    <row r="88">
      <c r="A88" t="inlineStr">
        <is>
          <t>Swift Bike (Speed)</t>
        </is>
      </c>
      <c r="B88" s="174" t="inlineStr">
        <is>
          <t>REDESIGN toward the 12/1/77 profile. We are 5 points off the ceiling and 8 of 9 rival Speed brands beat us. Also strengthen the Speed ad (judgment 70).</t>
        </is>
      </c>
    </row>
    <row r="89">
      <c r="A89" t="inlineStr">
        <is>
          <t>Third brand</t>
        </is>
      </c>
      <c r="B89" s="174" t="inlineStr">
        <is>
          <t>NO. Bike Bros proves brand count does not buy share. Fix supply first.</t>
        </is>
      </c>
    </row>
    <row r="90">
      <c r="A90" t="inlineStr">
        <is>
          <t>Recreation</t>
        </is>
      </c>
      <c r="B90" s="174" t="inlineStr">
        <is>
          <t>DEFER. Spillover of 56 is not competitive vs 76; revisit in Q5 with a dedicated design.</t>
        </is>
      </c>
    </row>
    <row r="91">
      <c r="A91" t="inlineStr">
        <is>
          <t>Price</t>
        </is>
      </c>
      <c r="B91" s="174" t="inlineStr">
        <is>
          <t>HOLD. Our Mountain brand matches the best design and BB LLC charges ~$1,480 - we have room at $1,365, not a reason to discount.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V41"/>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14" customWidth="1" style="146" min="1" max="1"/>
    <col width="26" customWidth="1" style="146" min="2" max="2"/>
    <col width="4.5" customWidth="1" style="146" min="3" max="3"/>
    <col width="4.5" customWidth="1" style="146" min="4" max="4"/>
    <col width="4.5" customWidth="1" style="146" min="5" max="5"/>
    <col width="4.5" customWidth="1" style="146" min="6" max="6"/>
    <col width="4.5" customWidth="1" style="146" min="7" max="7"/>
    <col width="4.5" customWidth="1" style="146" min="8" max="8"/>
    <col width="4.5" customWidth="1" style="146" min="9" max="9"/>
    <col width="4.5" customWidth="1" style="146" min="10" max="10"/>
    <col width="4.5" customWidth="1" style="146" min="11" max="11"/>
    <col width="4.5" customWidth="1" style="146" min="12" max="12"/>
    <col width="4.5" customWidth="1" style="146" min="13" max="13"/>
    <col width="4.5" customWidth="1" style="146" min="14" max="14"/>
    <col width="4.5" customWidth="1" style="146" min="15" max="15"/>
    <col width="4.5" customWidth="1" style="146" min="16" max="16"/>
    <col width="4.5" customWidth="1" style="146" min="17" max="17"/>
    <col width="4.5" customWidth="1" style="146" min="18" max="18"/>
    <col width="4.5" customWidth="1" style="146" min="19" max="19"/>
    <col width="4.5" customWidth="1" style="146" min="20" max="20"/>
    <col width="4.5" customWidth="1" style="146" min="21" max="21"/>
    <col width="4.5" customWidth="1" style="146" min="22" max="22"/>
  </cols>
  <sheetData>
    <row r="1">
      <c r="A1" s="169" t="inlineStr">
        <is>
          <t>Competitors' Brands — component teardown, Q3 actual (all 20 brands)</t>
        </is>
      </c>
    </row>
    <row r="2">
      <c r="A2" s="170" t="inlineStr">
        <is>
          <t>1 = included, blank = not included. 'Base components' and 'Standard carbon fiber' are in every brand and omitted.</t>
        </is>
      </c>
    </row>
    <row r="4">
      <c r="A4" s="165" t="inlineStr">
        <is>
          <t>Company</t>
        </is>
      </c>
      <c r="C4" s="166" t="inlineStr">
        <is>
          <t>Bike Bros</t>
        </is>
      </c>
      <c r="D4" s="166" t="inlineStr">
        <is>
          <t>Bike Bros</t>
        </is>
      </c>
      <c r="E4" s="166" t="inlineStr">
        <is>
          <t>Bike Bros</t>
        </is>
      </c>
      <c r="F4" s="166" t="inlineStr">
        <is>
          <t>Bike Bros</t>
        </is>
      </c>
      <c r="G4" s="166" t="inlineStr">
        <is>
          <t>Bike Bros</t>
        </is>
      </c>
      <c r="H4" s="166" t="inlineStr">
        <is>
          <t>LiteCycle</t>
        </is>
      </c>
      <c r="I4" s="166" t="inlineStr">
        <is>
          <t>LiteCycle</t>
        </is>
      </c>
      <c r="J4" s="166" t="inlineStr">
        <is>
          <t>LiteCycle</t>
        </is>
      </c>
      <c r="K4" s="166" t="inlineStr">
        <is>
          <t>WeBike</t>
        </is>
      </c>
      <c r="L4" s="166" t="inlineStr">
        <is>
          <t>WeBike</t>
        </is>
      </c>
      <c r="M4" s="166" t="inlineStr">
        <is>
          <t>BB LLC</t>
        </is>
      </c>
      <c r="N4" s="166" t="inlineStr">
        <is>
          <t>BB LLC</t>
        </is>
      </c>
      <c r="O4" s="166" t="inlineStr">
        <is>
          <t>BB LLC</t>
        </is>
      </c>
      <c r="P4" s="166" t="inlineStr">
        <is>
          <t>BB LLC</t>
        </is>
      </c>
      <c r="Q4" s="166" t="inlineStr">
        <is>
          <t>Spoke'd Up</t>
        </is>
      </c>
      <c r="R4" s="166" t="inlineStr">
        <is>
          <t>Spoke'd Up</t>
        </is>
      </c>
      <c r="S4" s="166" t="inlineStr">
        <is>
          <t>SpaceBikes</t>
        </is>
      </c>
      <c r="T4" s="166" t="inlineStr">
        <is>
          <t>SpaceBikes</t>
        </is>
      </c>
      <c r="U4" s="166" t="inlineStr">
        <is>
          <t>MILC Bikes</t>
        </is>
      </c>
      <c r="V4" s="166" t="inlineStr">
        <is>
          <t>MILC Bikes</t>
        </is>
      </c>
    </row>
    <row r="5" ht="110" customHeight="1" s="146">
      <c r="A5" s="165" t="inlineStr">
        <is>
          <t>Brand</t>
        </is>
      </c>
      <c r="C5" s="175" t="inlineStr">
        <is>
          <t>MACH I.I</t>
        </is>
      </c>
      <c r="D5" s="175" t="inlineStr">
        <is>
          <t>TERRAMAX</t>
        </is>
      </c>
      <c r="E5" s="175" t="inlineStr">
        <is>
          <t>Mach 0.6</t>
        </is>
      </c>
      <c r="F5" s="175" t="inlineStr">
        <is>
          <t>TERRAMean</t>
        </is>
      </c>
      <c r="G5" s="175" t="inlineStr">
        <is>
          <t>MountainCruise1</t>
        </is>
      </c>
      <c r="H5" s="175" t="inlineStr">
        <is>
          <t>LiteSpeed Pro+</t>
        </is>
      </c>
      <c r="I5" s="175" t="inlineStr">
        <is>
          <t>LiteSpeed+</t>
        </is>
      </c>
      <c r="J5" s="175" t="inlineStr">
        <is>
          <t>LiteTrail Pro</t>
        </is>
      </c>
      <c r="K5" s="176" t="inlineStr">
        <is>
          <t>Hike Bike</t>
        </is>
      </c>
      <c r="L5" s="176" t="inlineStr">
        <is>
          <t>Swift Bike</t>
        </is>
      </c>
      <c r="M5" s="175" t="inlineStr">
        <is>
          <t>Blu Ruged Ballz</t>
        </is>
      </c>
      <c r="N5" s="175" t="inlineStr">
        <is>
          <t>Blu Aero Ballz</t>
        </is>
      </c>
      <c r="O5" s="175" t="inlineStr">
        <is>
          <t>Blu Tail Ballz</t>
        </is>
      </c>
      <c r="P5" s="175" t="inlineStr">
        <is>
          <t>Blu Tube Ballz</t>
        </is>
      </c>
      <c r="Q5" s="175" t="inlineStr">
        <is>
          <t>Spoke'd Easy</t>
        </is>
      </c>
      <c r="R5" s="175" t="inlineStr">
        <is>
          <t>Spoke'd Speed</t>
        </is>
      </c>
      <c r="S5" s="175" t="inlineStr">
        <is>
          <t>The Armstrong</t>
        </is>
      </c>
      <c r="T5" s="175" t="inlineStr">
        <is>
          <t>Mars Rover</t>
        </is>
      </c>
      <c r="U5" s="175" t="inlineStr">
        <is>
          <t>Whole MILC MKII</t>
        </is>
      </c>
      <c r="V5" s="175" t="inlineStr">
        <is>
          <t>Skim MILC MKII</t>
        </is>
      </c>
    </row>
    <row r="6">
      <c r="A6" s="165" t="inlineStr">
        <is>
          <t>Targets</t>
        </is>
      </c>
      <c r="C6" t="inlineStr">
        <is>
          <t>Speed</t>
        </is>
      </c>
      <c r="D6" t="inlineStr">
        <is>
          <t>Mountain</t>
        </is>
      </c>
      <c r="E6" t="inlineStr">
        <is>
          <t>Speed</t>
        </is>
      </c>
      <c r="F6" t="inlineStr">
        <is>
          <t>Mountain</t>
        </is>
      </c>
      <c r="G6" t="inlineStr">
        <is>
          <t>Recreation</t>
        </is>
      </c>
      <c r="H6" t="inlineStr">
        <is>
          <t>Speed</t>
        </is>
      </c>
      <c r="I6" t="inlineStr">
        <is>
          <t>Speed</t>
        </is>
      </c>
      <c r="J6" t="inlineStr">
        <is>
          <t>Mountain</t>
        </is>
      </c>
      <c r="K6" s="173" t="inlineStr">
        <is>
          <t>Mountain</t>
        </is>
      </c>
      <c r="L6" s="173" t="inlineStr">
        <is>
          <t>Speed</t>
        </is>
      </c>
      <c r="M6" t="inlineStr">
        <is>
          <t>Mountain</t>
        </is>
      </c>
      <c r="N6" t="inlineStr">
        <is>
          <t>Speed</t>
        </is>
      </c>
      <c r="O6" t="inlineStr">
        <is>
          <t>Mountain</t>
        </is>
      </c>
      <c r="P6" t="inlineStr">
        <is>
          <t>Speed</t>
        </is>
      </c>
      <c r="Q6" t="inlineStr">
        <is>
          <t>Recreation</t>
        </is>
      </c>
      <c r="R6" t="inlineStr">
        <is>
          <t>Speed</t>
        </is>
      </c>
      <c r="S6" t="inlineStr">
        <is>
          <t>Speed</t>
        </is>
      </c>
      <c r="T6" t="inlineStr">
        <is>
          <t>Recreation</t>
        </is>
      </c>
      <c r="U6" t="inlineStr">
        <is>
          <t>Recreation</t>
        </is>
      </c>
      <c r="V6" t="inlineStr">
        <is>
          <t>Speed</t>
        </is>
      </c>
    </row>
    <row r="7">
      <c r="A7" s="165" t="inlineStr">
        <is>
          <t>Judgment in target segment</t>
        </is>
      </c>
      <c r="C7" s="165" t="n">
        <v>77</v>
      </c>
      <c r="D7" s="165" t="n">
        <v>73</v>
      </c>
      <c r="E7" s="165" t="n">
        <v>61</v>
      </c>
      <c r="F7" s="165" t="n">
        <v>72</v>
      </c>
      <c r="G7" s="165" t="n">
        <v>76</v>
      </c>
      <c r="H7" s="165" t="n">
        <v>77</v>
      </c>
      <c r="I7" s="165" t="n">
        <v>74</v>
      </c>
      <c r="J7" s="165" t="n">
        <v>70</v>
      </c>
      <c r="K7" s="171" t="n">
        <v>73</v>
      </c>
      <c r="L7" s="171" t="n">
        <v>72</v>
      </c>
      <c r="M7" s="165" t="n">
        <v>73</v>
      </c>
      <c r="N7" s="165" t="n">
        <v>74</v>
      </c>
      <c r="O7" s="165" t="n">
        <v>70</v>
      </c>
      <c r="P7" s="165" t="n">
        <v>76</v>
      </c>
      <c r="Q7" s="165" t="n">
        <v>73</v>
      </c>
      <c r="R7" s="165" t="n">
        <v>75</v>
      </c>
      <c r="S7" s="165" t="n">
        <v>76</v>
      </c>
      <c r="T7" s="165" t="n">
        <v>73</v>
      </c>
      <c r="U7" s="165" t="n">
        <v>74</v>
      </c>
      <c r="V7" s="165" t="n">
        <v>76</v>
      </c>
    </row>
    <row r="8">
      <c r="A8" s="166" t="inlineStr">
        <is>
          <t>Frame</t>
        </is>
      </c>
    </row>
    <row r="9">
      <c r="B9" t="inlineStr">
        <is>
          <t>Comfort (relaxed)</t>
        </is>
      </c>
      <c r="G9" s="177" t="n">
        <v>1</v>
      </c>
      <c r="Q9" s="177" t="n">
        <v>1</v>
      </c>
      <c r="T9" s="177" t="n">
        <v>1</v>
      </c>
      <c r="U9" s="177" t="n">
        <v>1</v>
      </c>
    </row>
    <row r="10">
      <c r="B10" t="inlineStr">
        <is>
          <t>Rugged (rough terrain)</t>
        </is>
      </c>
      <c r="D10" s="177" t="n">
        <v>1</v>
      </c>
      <c r="F10" s="177" t="n">
        <v>1</v>
      </c>
      <c r="J10" s="177" t="n">
        <v>1</v>
      </c>
      <c r="K10" s="178" t="n">
        <v>1</v>
      </c>
      <c r="M10" s="177" t="n">
        <v>1</v>
      </c>
      <c r="O10" s="177" t="n">
        <v>1</v>
      </c>
    </row>
    <row r="11">
      <c r="B11" t="inlineStr">
        <is>
          <t>Aerodynamic (speed)</t>
        </is>
      </c>
      <c r="C11" s="177" t="n">
        <v>1</v>
      </c>
      <c r="E11" s="177" t="n">
        <v>1</v>
      </c>
      <c r="H11" s="177" t="n">
        <v>1</v>
      </c>
      <c r="I11" s="177" t="n">
        <v>1</v>
      </c>
      <c r="L11" s="178" t="n">
        <v>1</v>
      </c>
      <c r="N11" s="177" t="n">
        <v>1</v>
      </c>
      <c r="P11" s="177" t="n">
        <v>1</v>
      </c>
      <c r="R11" s="177" t="n">
        <v>1</v>
      </c>
      <c r="S11" s="177" t="n">
        <v>1</v>
      </c>
      <c r="V11" s="177" t="n">
        <v>1</v>
      </c>
    </row>
    <row r="12">
      <c r="A12" s="166" t="inlineStr">
        <is>
          <t>Tires</t>
        </is>
      </c>
    </row>
    <row r="13">
      <c r="B13" t="inlineStr">
        <is>
          <t>Mountain - high grip</t>
        </is>
      </c>
      <c r="D13" s="177" t="n">
        <v>1</v>
      </c>
      <c r="F13" s="177" t="n">
        <v>1</v>
      </c>
      <c r="J13" s="177" t="n">
        <v>1</v>
      </c>
      <c r="K13" s="178" t="n">
        <v>1</v>
      </c>
      <c r="M13" s="177" t="n">
        <v>1</v>
      </c>
      <c r="O13" s="177" t="n">
        <v>1</v>
      </c>
    </row>
    <row r="14">
      <c r="B14" t="inlineStr">
        <is>
          <t>Hybrid - road/off-road</t>
        </is>
      </c>
      <c r="G14" s="177" t="n">
        <v>1</v>
      </c>
      <c r="Q14" s="177" t="n">
        <v>1</v>
      </c>
      <c r="T14" s="177" t="n">
        <v>1</v>
      </c>
      <c r="U14" s="177" t="n">
        <v>1</v>
      </c>
    </row>
    <row r="15">
      <c r="B15" t="inlineStr">
        <is>
          <t>Racing - fast</t>
        </is>
      </c>
      <c r="C15" s="177" t="n">
        <v>1</v>
      </c>
      <c r="E15" s="177" t="n">
        <v>1</v>
      </c>
      <c r="H15" s="177" t="n">
        <v>1</v>
      </c>
      <c r="I15" s="177" t="n">
        <v>1</v>
      </c>
      <c r="L15" s="178" t="n">
        <v>1</v>
      </c>
      <c r="N15" s="177" t="n">
        <v>1</v>
      </c>
      <c r="P15" s="177" t="n">
        <v>1</v>
      </c>
      <c r="R15" s="177" t="n">
        <v>1</v>
      </c>
      <c r="S15" s="177" t="n">
        <v>1</v>
      </c>
      <c r="V15" s="177" t="n">
        <v>1</v>
      </c>
    </row>
    <row r="16">
      <c r="A16" s="166" t="inlineStr">
        <is>
          <t>Brakes</t>
        </is>
      </c>
    </row>
    <row r="17">
      <c r="B17" t="inlineStr">
        <is>
          <t>Standard</t>
        </is>
      </c>
      <c r="T17" s="177" t="n">
        <v>1</v>
      </c>
    </row>
    <row r="18">
      <c r="B18" t="inlineStr">
        <is>
          <t>Precision</t>
        </is>
      </c>
      <c r="C18" s="177" t="n">
        <v>1</v>
      </c>
      <c r="E18" s="177" t="n">
        <v>1</v>
      </c>
      <c r="H18" s="177" t="n">
        <v>1</v>
      </c>
      <c r="I18" s="177" t="n">
        <v>1</v>
      </c>
      <c r="L18" s="178" t="n">
        <v>1</v>
      </c>
      <c r="N18" s="177" t="n">
        <v>1</v>
      </c>
      <c r="P18" s="177" t="n">
        <v>1</v>
      </c>
      <c r="Q18" s="177" t="n">
        <v>1</v>
      </c>
      <c r="R18" s="177" t="n">
        <v>1</v>
      </c>
      <c r="S18" s="177" t="n">
        <v>1</v>
      </c>
      <c r="U18" s="177" t="n">
        <v>1</v>
      </c>
      <c r="V18" s="177" t="n">
        <v>1</v>
      </c>
    </row>
    <row r="19">
      <c r="B19" t="inlineStr">
        <is>
          <t>Standard disc</t>
        </is>
      </c>
      <c r="D19" s="177" t="n">
        <v>1</v>
      </c>
      <c r="F19" s="177" t="n">
        <v>1</v>
      </c>
      <c r="G19" s="177" t="n">
        <v>1</v>
      </c>
      <c r="J19" s="177" t="n">
        <v>1</v>
      </c>
      <c r="K19" s="178" t="n">
        <v>1</v>
      </c>
      <c r="M19" s="177" t="n">
        <v>1</v>
      </c>
      <c r="O19" s="177" t="n">
        <v>1</v>
      </c>
    </row>
    <row r="20">
      <c r="A20" s="166" t="inlineStr">
        <is>
          <t>Handlebars</t>
        </is>
      </c>
    </row>
    <row r="21">
      <c r="B21" t="inlineStr">
        <is>
          <t>Basic straight</t>
        </is>
      </c>
      <c r="D21" s="177" t="n">
        <v>1</v>
      </c>
      <c r="F21" s="177" t="n">
        <v>1</v>
      </c>
      <c r="J21" s="177" t="n">
        <v>1</v>
      </c>
      <c r="K21" s="178" t="n">
        <v>1</v>
      </c>
      <c r="M21" s="177" t="n">
        <v>1</v>
      </c>
      <c r="O21" s="177" t="n">
        <v>1</v>
      </c>
    </row>
    <row r="22">
      <c r="B22" t="inlineStr">
        <is>
          <t>Comfort straight</t>
        </is>
      </c>
      <c r="G22" s="177" t="n">
        <v>1</v>
      </c>
      <c r="Q22" s="177" t="n">
        <v>1</v>
      </c>
      <c r="T22" s="177" t="n">
        <v>1</v>
      </c>
      <c r="U22" s="177" t="n">
        <v>1</v>
      </c>
    </row>
    <row r="23">
      <c r="B23" t="inlineStr">
        <is>
          <t>Basic drop down</t>
        </is>
      </c>
      <c r="C23" s="177" t="n">
        <v>1</v>
      </c>
      <c r="E23" s="177" t="n">
        <v>1</v>
      </c>
      <c r="H23" s="177" t="n">
        <v>1</v>
      </c>
      <c r="I23" s="177" t="n">
        <v>1</v>
      </c>
      <c r="L23" s="178" t="n">
        <v>1</v>
      </c>
      <c r="N23" s="177" t="n">
        <v>1</v>
      </c>
      <c r="P23" s="177" t="n">
        <v>1</v>
      </c>
      <c r="R23" s="177" t="n">
        <v>1</v>
      </c>
      <c r="S23" s="177" t="n">
        <v>1</v>
      </c>
      <c r="V23" s="177" t="n">
        <v>1</v>
      </c>
    </row>
    <row r="24">
      <c r="A24" s="166" t="inlineStr">
        <is>
          <t>Gears</t>
        </is>
      </c>
    </row>
    <row r="25">
      <c r="B25" t="inlineStr">
        <is>
          <t>7 speed (1x7)</t>
        </is>
      </c>
      <c r="E25" s="177" t="n">
        <v>1</v>
      </c>
      <c r="G25" s="177" t="n">
        <v>1</v>
      </c>
      <c r="Q25" s="177" t="n">
        <v>1</v>
      </c>
      <c r="T25" s="177" t="n">
        <v>1</v>
      </c>
      <c r="U25" s="177" t="n">
        <v>1</v>
      </c>
    </row>
    <row r="26">
      <c r="B26" t="inlineStr">
        <is>
          <t>14 speed (2x7)</t>
        </is>
      </c>
      <c r="C26" s="177" t="n">
        <v>1</v>
      </c>
      <c r="H26" s="177" t="n">
        <v>1</v>
      </c>
      <c r="I26" s="177" t="n">
        <v>1</v>
      </c>
      <c r="N26" s="177" t="n">
        <v>1</v>
      </c>
      <c r="P26" s="177" t="n">
        <v>1</v>
      </c>
      <c r="R26" s="177" t="n">
        <v>1</v>
      </c>
      <c r="S26" s="177" t="n">
        <v>1</v>
      </c>
      <c r="V26" s="177" t="n">
        <v>1</v>
      </c>
    </row>
    <row r="27">
      <c r="B27" t="inlineStr">
        <is>
          <t>24 speed (3x8)</t>
        </is>
      </c>
      <c r="D27" s="177" t="n">
        <v>1</v>
      </c>
      <c r="F27" s="177" t="n">
        <v>1</v>
      </c>
      <c r="J27" s="177" t="n">
        <v>1</v>
      </c>
      <c r="K27" s="178" t="n">
        <v>1</v>
      </c>
      <c r="L27" s="178" t="n">
        <v>1</v>
      </c>
      <c r="M27" s="177" t="n">
        <v>1</v>
      </c>
      <c r="O27" s="177" t="n">
        <v>1</v>
      </c>
    </row>
    <row r="28">
      <c r="A28" s="166" t="inlineStr">
        <is>
          <t>Seat</t>
        </is>
      </c>
    </row>
    <row r="29">
      <c r="B29" t="inlineStr">
        <is>
          <t>Polymer gel all-purpose</t>
        </is>
      </c>
      <c r="D29" s="177" t="n">
        <v>1</v>
      </c>
      <c r="F29" s="177" t="n">
        <v>1</v>
      </c>
      <c r="K29" s="178" t="n">
        <v>1</v>
      </c>
      <c r="M29" s="177" t="n">
        <v>1</v>
      </c>
    </row>
    <row r="30">
      <c r="B30" t="inlineStr">
        <is>
          <t>Polymer gel comfort</t>
        </is>
      </c>
      <c r="G30" s="177" t="n">
        <v>1</v>
      </c>
      <c r="J30" s="177" t="n">
        <v>1</v>
      </c>
      <c r="O30" s="177" t="n">
        <v>1</v>
      </c>
      <c r="Q30" s="177" t="n">
        <v>1</v>
      </c>
      <c r="T30" s="177" t="n">
        <v>1</v>
      </c>
      <c r="U30" s="177" t="n">
        <v>1</v>
      </c>
    </row>
    <row r="31">
      <c r="B31" t="inlineStr">
        <is>
          <t>Polymer gel racing</t>
        </is>
      </c>
      <c r="C31" s="177" t="n">
        <v>1</v>
      </c>
      <c r="E31" s="177" t="n">
        <v>1</v>
      </c>
      <c r="H31" s="177" t="n">
        <v>1</v>
      </c>
      <c r="I31" s="177" t="n">
        <v>1</v>
      </c>
      <c r="L31" s="178" t="n">
        <v>1</v>
      </c>
      <c r="N31" s="177" t="n">
        <v>1</v>
      </c>
      <c r="P31" s="177" t="n">
        <v>1</v>
      </c>
      <c r="R31" s="177" t="n">
        <v>1</v>
      </c>
      <c r="S31" s="177" t="n">
        <v>1</v>
      </c>
      <c r="V31" s="177" t="n">
        <v>1</v>
      </c>
    </row>
    <row r="32">
      <c r="A32" s="166" t="inlineStr">
        <is>
          <t>Accessories</t>
        </is>
      </c>
    </row>
    <row r="33">
      <c r="B33" t="inlineStr">
        <is>
          <t>Reflectors</t>
        </is>
      </c>
      <c r="C33" s="177" t="n">
        <v>1</v>
      </c>
      <c r="E33" s="177" t="n">
        <v>1</v>
      </c>
      <c r="F33" s="177" t="n">
        <v>1</v>
      </c>
      <c r="G33" s="177" t="n">
        <v>1</v>
      </c>
      <c r="H33" s="177" t="n">
        <v>1</v>
      </c>
      <c r="L33" s="178" t="n">
        <v>1</v>
      </c>
      <c r="N33" s="177" t="n">
        <v>1</v>
      </c>
      <c r="Q33" s="177" t="n">
        <v>1</v>
      </c>
      <c r="R33" s="177" t="n">
        <v>1</v>
      </c>
      <c r="T33" s="177" t="n">
        <v>1</v>
      </c>
      <c r="U33" s="177" t="n">
        <v>1</v>
      </c>
    </row>
    <row r="34">
      <c r="A34" s="166" t="inlineStr">
        <is>
          <t>Decals</t>
        </is>
      </c>
    </row>
    <row r="35">
      <c r="B35" t="inlineStr">
        <is>
          <t>Colorful brushstrokes</t>
        </is>
      </c>
      <c r="C35" s="177" t="n">
        <v>1</v>
      </c>
      <c r="D35" s="177" t="n">
        <v>1</v>
      </c>
      <c r="E35" s="177" t="n">
        <v>1</v>
      </c>
      <c r="F35" s="177" t="n">
        <v>1</v>
      </c>
      <c r="G35" s="177" t="n">
        <v>1</v>
      </c>
      <c r="H35" s="177" t="n">
        <v>1</v>
      </c>
      <c r="J35" s="177" t="n">
        <v>1</v>
      </c>
      <c r="K35" s="178" t="n">
        <v>1</v>
      </c>
      <c r="M35" s="177" t="n">
        <v>1</v>
      </c>
      <c r="O35" s="177" t="n">
        <v>1</v>
      </c>
      <c r="P35" s="177" t="n">
        <v>1</v>
      </c>
      <c r="Q35" s="177" t="n">
        <v>1</v>
      </c>
      <c r="S35" s="177" t="n">
        <v>1</v>
      </c>
      <c r="V35" s="177" t="n">
        <v>1</v>
      </c>
    </row>
    <row r="36">
      <c r="A36" s="166" t="inlineStr">
        <is>
          <t>Lights</t>
        </is>
      </c>
    </row>
    <row r="37">
      <c r="B37" t="inlineStr">
        <is>
          <t>Standard</t>
        </is>
      </c>
      <c r="C37" s="177" t="n">
        <v>1</v>
      </c>
      <c r="E37" s="177" t="n">
        <v>1</v>
      </c>
      <c r="G37" s="177" t="n">
        <v>1</v>
      </c>
      <c r="H37" s="177" t="n">
        <v>1</v>
      </c>
      <c r="I37" s="177" t="n">
        <v>1</v>
      </c>
      <c r="L37" s="178" t="n">
        <v>1</v>
      </c>
      <c r="P37" s="177" t="n">
        <v>1</v>
      </c>
      <c r="R37" s="177" t="n">
        <v>1</v>
      </c>
      <c r="S37" s="177" t="n">
        <v>1</v>
      </c>
      <c r="T37" s="177" t="n">
        <v>1</v>
      </c>
      <c r="U37" s="177" t="n">
        <v>1</v>
      </c>
      <c r="V37" s="177" t="n">
        <v>1</v>
      </c>
    </row>
    <row r="38">
      <c r="A38" s="166" t="inlineStr">
        <is>
          <t>Carriers</t>
        </is>
      </c>
    </row>
    <row r="39">
      <c r="B39" t="inlineStr">
        <is>
          <t>Plastic basket</t>
        </is>
      </c>
      <c r="G39" s="177" t="n">
        <v>1</v>
      </c>
      <c r="Q39" s="177" t="n">
        <v>1</v>
      </c>
      <c r="T39" s="177" t="n">
        <v>1</v>
      </c>
      <c r="U39" s="177" t="n">
        <v>1</v>
      </c>
    </row>
    <row r="40">
      <c r="A40" s="166" t="inlineStr">
        <is>
          <t>Suspension</t>
        </is>
      </c>
    </row>
    <row r="41">
      <c r="B41" t="inlineStr">
        <is>
          <t>Front shocks</t>
        </is>
      </c>
      <c r="D41" s="177" t="n">
        <v>1</v>
      </c>
      <c r="F41" s="177" t="n">
        <v>1</v>
      </c>
      <c r="G41" s="177" t="n">
        <v>1</v>
      </c>
      <c r="J41" s="177" t="n">
        <v>1</v>
      </c>
      <c r="K41" s="178" t="n">
        <v>1</v>
      </c>
      <c r="M41" s="177" t="n">
        <v>1</v>
      </c>
      <c r="O41" s="177" t="n">
        <v>1</v>
      </c>
      <c r="Q41" s="177" t="n">
        <v>1</v>
      </c>
      <c r="T41" s="177" t="n">
        <v>1</v>
      </c>
      <c r="U41" s="177"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85"/>
  <sheetViews>
    <sheetView workbookViewId="0">
      <selection activeCell="A1" sqref="A1"/>
    </sheetView>
  </sheetViews>
  <sheetFormatPr baseColWidth="8" defaultRowHeight="15"/>
  <cols>
    <col width="44" customWidth="1" style="146" min="1" max="1"/>
    <col width="30" customWidth="1" style="146" min="2" max="2"/>
    <col width="34" customWidth="1" style="146" min="3" max="3"/>
    <col width="10" customWidth="1" style="146" min="4" max="4"/>
  </cols>
  <sheetData>
    <row r="1">
      <c r="A1" s="169" t="inlineStr">
        <is>
          <t>Reverse-engineered brand judgment model (fitted to all 20 brands)</t>
        </is>
      </c>
    </row>
    <row r="2">
      <c r="A2" s="170" t="inlineStr">
        <is>
          <t>Every brand in each segment shares one base recipe; scores differ only by a few components. The point values below reproduce all 20 observed scores exactly.</t>
        </is>
      </c>
    </row>
    <row r="4">
      <c r="A4" s="166" t="inlineStr">
        <is>
          <t>SPEED — base recipe (all 10 Speed brands share this)</t>
        </is>
      </c>
      <c r="B4" s="166" t="inlineStr">
        <is>
          <t>Component</t>
        </is>
      </c>
    </row>
    <row r="5">
      <c r="A5" t="inlineStr">
        <is>
          <t>Frame</t>
        </is>
      </c>
      <c r="B5" t="inlineStr">
        <is>
          <t>Aerodynamic</t>
        </is>
      </c>
    </row>
    <row r="6">
      <c r="A6" t="inlineStr">
        <is>
          <t>Tires</t>
        </is>
      </c>
      <c r="B6" t="inlineStr">
        <is>
          <t>Racing - fast</t>
        </is>
      </c>
    </row>
    <row r="7">
      <c r="A7" t="inlineStr">
        <is>
          <t>Brakes</t>
        </is>
      </c>
      <c r="B7" t="inlineStr">
        <is>
          <t>Precision</t>
        </is>
      </c>
    </row>
    <row r="8">
      <c r="A8" t="inlineStr">
        <is>
          <t>Handlebars</t>
        </is>
      </c>
      <c r="B8" t="inlineStr">
        <is>
          <t>Basic drop down</t>
        </is>
      </c>
    </row>
    <row r="9">
      <c r="A9" t="inlineStr">
        <is>
          <t>Seat</t>
        </is>
      </c>
      <c r="B9" t="inlineStr">
        <is>
          <t>Polymer gel racing</t>
        </is>
      </c>
    </row>
    <row r="10">
      <c r="A10" t="inlineStr">
        <is>
          <t>Carriers / Suspension</t>
        </is>
      </c>
      <c r="B10" t="inlineStr">
        <is>
          <t>none</t>
        </is>
      </c>
    </row>
    <row r="13">
      <c r="A13" s="166" t="inlineStr">
        <is>
          <t>SPEED — what the variable components are worth</t>
        </is>
      </c>
      <c r="B13" s="166" t="inlineStr">
        <is>
          <t>Points</t>
        </is>
      </c>
      <c r="C13" s="166" t="inlineStr">
        <is>
          <t>Evidence</t>
        </is>
      </c>
    </row>
    <row r="14">
      <c r="A14" t="inlineStr">
        <is>
          <t>Gears 14 speed (2x7)</t>
        </is>
      </c>
      <c r="B14" t="inlineStr">
        <is>
          <t>optimal</t>
        </is>
      </c>
      <c r="C14" s="170" t="inlineStr">
        <is>
          <t>all 8 top Speed brands use it</t>
        </is>
      </c>
    </row>
    <row r="15">
      <c r="A15" t="inlineStr">
        <is>
          <t>Gears 24 speed (3x8) instead</t>
        </is>
      </c>
      <c r="B15" t="n">
        <v>-3</v>
      </c>
      <c r="C15" s="170" t="inlineStr">
        <is>
          <t>Swift Bike is the ONLY Speed brand with it</t>
        </is>
      </c>
    </row>
    <row r="16">
      <c r="A16" t="inlineStr">
        <is>
          <t>Gears 7 speed (1x7) instead</t>
        </is>
      </c>
      <c r="B16" t="n">
        <v>-16</v>
      </c>
      <c r="C16" s="170" t="inlineStr">
        <is>
          <t>Mach 0.6 = 61 with an otherwise full kit</t>
        </is>
      </c>
    </row>
    <row r="17">
      <c r="A17" t="inlineStr">
        <is>
          <t>Decals (colorful brushstrokes)</t>
        </is>
      </c>
      <c r="B17" t="n">
        <v>2</v>
      </c>
      <c r="C17" s="170" t="inlineStr">
        <is>
          <t>every 76-77 brand has them; every 72-75 brand lacks them</t>
        </is>
      </c>
    </row>
    <row r="18">
      <c r="A18" t="inlineStr">
        <is>
          <t>Reflectors</t>
        </is>
      </c>
      <c r="B18" t="n">
        <v>1</v>
      </c>
      <c r="C18" s="170" t="inlineStr">
        <is>
          <t>MACH I.I 77 (with) vs Blu Tube 76 (without), else identical</t>
        </is>
      </c>
    </row>
    <row r="19">
      <c r="A19" t="inlineStr">
        <is>
          <t>Lights</t>
        </is>
      </c>
      <c r="B19" t="n">
        <v>1</v>
      </c>
      <c r="C19" s="170" t="inlineStr">
        <is>
          <t>Blu Aero 74 lacks lights; otherwise matches 75-point kit</t>
        </is>
      </c>
    </row>
    <row r="20">
      <c r="A20" t="inlineStr">
        <is>
          <t>MAXIMUM ACHIEVABLE (Speed)</t>
        </is>
      </c>
      <c r="B20" s="159" t="n">
        <v>77</v>
      </c>
      <c r="C20" s="170" t="inlineStr">
        <is>
          <t>MACH I.I and LiteSpeed Pro+ both hit it</t>
        </is>
      </c>
    </row>
    <row r="23">
      <c r="A23" s="166" t="inlineStr">
        <is>
          <t>SWIFT BIKE — exact fix to reach the industry ceiling</t>
        </is>
      </c>
      <c r="B23" s="166" t="inlineStr">
        <is>
          <t>Now</t>
        </is>
      </c>
      <c r="C23" s="166" t="inlineStr">
        <is>
          <t>Change to</t>
        </is>
      </c>
      <c r="D23" s="166" t="inlineStr">
        <is>
          <t>Points</t>
        </is>
      </c>
    </row>
    <row r="24">
      <c r="A24" t="inlineStr">
        <is>
          <t>Frame</t>
        </is>
      </c>
      <c r="B24" t="inlineStr">
        <is>
          <t>Aerodynamic</t>
        </is>
      </c>
      <c r="C24" t="inlineStr">
        <is>
          <t>keep</t>
        </is>
      </c>
      <c r="D24" t="n">
        <v>0</v>
      </c>
    </row>
    <row r="25">
      <c r="A25" t="inlineStr">
        <is>
          <t>Tires</t>
        </is>
      </c>
      <c r="B25" t="inlineStr">
        <is>
          <t>Racing</t>
        </is>
      </c>
      <c r="C25" t="inlineStr">
        <is>
          <t>keep</t>
        </is>
      </c>
      <c r="D25" t="n">
        <v>0</v>
      </c>
    </row>
    <row r="26">
      <c r="A26" t="inlineStr">
        <is>
          <t>Brakes</t>
        </is>
      </c>
      <c r="B26" t="inlineStr">
        <is>
          <t>Precision</t>
        </is>
      </c>
      <c r="C26" t="inlineStr">
        <is>
          <t>keep</t>
        </is>
      </c>
      <c r="D26" t="n">
        <v>0</v>
      </c>
    </row>
    <row r="27">
      <c r="A27" t="inlineStr">
        <is>
          <t>Handlebars</t>
        </is>
      </c>
      <c r="B27" t="inlineStr">
        <is>
          <t>Basic drop down</t>
        </is>
      </c>
      <c r="C27" t="inlineStr">
        <is>
          <t>keep</t>
        </is>
      </c>
      <c r="D27" t="n">
        <v>0</v>
      </c>
    </row>
    <row r="28">
      <c r="A28" t="inlineStr">
        <is>
          <t>Seat</t>
        </is>
      </c>
      <c r="B28" t="inlineStr">
        <is>
          <t>Polymer gel racing</t>
        </is>
      </c>
      <c r="C28" t="inlineStr">
        <is>
          <t>keep</t>
        </is>
      </c>
      <c r="D28" t="n">
        <v>0</v>
      </c>
    </row>
    <row r="29">
      <c r="A29" t="inlineStr">
        <is>
          <t>Reflectors</t>
        </is>
      </c>
      <c r="B29" t="inlineStr">
        <is>
          <t>included</t>
        </is>
      </c>
      <c r="C29" t="inlineStr">
        <is>
          <t>keep</t>
        </is>
      </c>
      <c r="D29" t="n">
        <v>0</v>
      </c>
    </row>
    <row r="30">
      <c r="A30" t="inlineStr">
        <is>
          <t>Lights</t>
        </is>
      </c>
      <c r="B30" t="inlineStr">
        <is>
          <t>included</t>
        </is>
      </c>
      <c r="C30" t="inlineStr">
        <is>
          <t>keep</t>
        </is>
      </c>
      <c r="D30" t="n">
        <v>0</v>
      </c>
    </row>
    <row r="31">
      <c r="A31" t="inlineStr">
        <is>
          <t>Gears</t>
        </is>
      </c>
      <c r="B31" t="inlineStr">
        <is>
          <t>24 speed (3x8)</t>
        </is>
      </c>
      <c r="C31" t="inlineStr">
        <is>
          <t>14 speed (2x7)</t>
        </is>
      </c>
      <c r="D31" t="n">
        <v>3</v>
      </c>
    </row>
    <row r="32">
      <c r="A32" t="inlineStr">
        <is>
          <t>Decals</t>
        </is>
      </c>
      <c r="B32" t="inlineStr">
        <is>
          <t>not included</t>
        </is>
      </c>
      <c r="C32" t="inlineStr">
        <is>
          <t>ADD colorful brushstrokes</t>
        </is>
      </c>
      <c r="D32" t="n">
        <v>2</v>
      </c>
    </row>
    <row r="33">
      <c r="A33" t="inlineStr">
        <is>
          <t>Current judgment</t>
        </is>
      </c>
      <c r="B33" t="n">
        <v>72</v>
      </c>
    </row>
    <row r="34">
      <c r="A34" t="inlineStr">
        <is>
          <t>Projected judgment after both changes</t>
        </is>
      </c>
      <c r="B34">
        <f>B33+SUM(D32:D33)</f>
        <v/>
      </c>
      <c r="C34">
        <f> industry ceiling (tied best)</f>
        <v/>
      </c>
    </row>
    <row r="37">
      <c r="A37" s="166" t="inlineStr">
        <is>
          <t>Why the gears mistake happened</t>
        </is>
      </c>
      <c r="B37" s="166" t="inlineStr">
        <is>
          <t>Note</t>
        </is>
      </c>
    </row>
    <row r="38">
      <c r="A38" t="inlineStr">
        <is>
          <t>Root cause</t>
        </is>
      </c>
      <c r="B38" s="170" t="inlineStr">
        <is>
          <t>Swift Bike inherited the 24-speed (3x8) mountain drivetrain from Hike Bike. 24-speed is OPTIMAL in Mountain (all 6 Mountain brands use it) and WRONG in Speed (all 8 leading Speed brands use 14-speed). We copied our Mountain spec into a Speed bike.</t>
        </is>
      </c>
    </row>
    <row r="39">
      <c r="A39" t="inlineStr">
        <is>
          <t>Cost side effect</t>
        </is>
      </c>
      <c r="B39" s="170" t="inlineStr">
        <is>
          <t>14 speed (2x7) is a simpler drivetrain than 24 speed (3x8), so this change should also LOWER unit cost. Verify against the component price list before locking.</t>
        </is>
      </c>
    </row>
    <row r="42">
      <c r="A42" s="166" t="inlineStr">
        <is>
          <t>MOUNTAIN — base recipe (all 6 Mountain brands share this)</t>
        </is>
      </c>
      <c r="B42" s="166" t="inlineStr">
        <is>
          <t>Component</t>
        </is>
      </c>
    </row>
    <row r="43">
      <c r="A43" t="inlineStr">
        <is>
          <t>Frame</t>
        </is>
      </c>
      <c r="B43" t="inlineStr">
        <is>
          <t>Rugged</t>
        </is>
      </c>
    </row>
    <row r="44">
      <c r="A44" t="inlineStr">
        <is>
          <t>Tires</t>
        </is>
      </c>
      <c r="B44" t="inlineStr">
        <is>
          <t>Mountain - high grip</t>
        </is>
      </c>
    </row>
    <row r="45">
      <c r="A45" t="inlineStr">
        <is>
          <t>Brakes</t>
        </is>
      </c>
      <c r="B45" t="inlineStr">
        <is>
          <t>Standard disc</t>
        </is>
      </c>
      <c r="C45" s="168" t="n"/>
      <c r="D45" s="168" t="n"/>
    </row>
    <row r="46">
      <c r="A46" t="inlineStr">
        <is>
          <t>Handlebars</t>
        </is>
      </c>
      <c r="B46" t="inlineStr">
        <is>
          <t>Basic straight</t>
        </is>
      </c>
      <c r="C46" s="168" t="n"/>
      <c r="D46" s="168" t="n"/>
    </row>
    <row r="47">
      <c r="A47" t="inlineStr">
        <is>
          <t>Gears</t>
        </is>
      </c>
      <c r="B47" t="inlineStr">
        <is>
          <t>24 speed (3x8)</t>
        </is>
      </c>
    </row>
    <row r="48">
      <c r="A48" t="inlineStr">
        <is>
          <t>Suspension</t>
        </is>
      </c>
      <c r="B48" s="172" t="inlineStr">
        <is>
          <t>Front shocks</t>
        </is>
      </c>
    </row>
    <row r="49">
      <c r="A49" t="inlineStr">
        <is>
          <t>Decals</t>
        </is>
      </c>
      <c r="B49" t="inlineStr">
        <is>
          <t>Colorful brushstrokes</t>
        </is>
      </c>
    </row>
    <row r="50">
      <c r="A50" t="inlineStr">
        <is>
          <t>Lights / Carriers</t>
        </is>
      </c>
      <c r="B50" t="inlineStr">
        <is>
          <t>none</t>
        </is>
      </c>
    </row>
    <row r="53">
      <c r="A53" s="166" t="inlineStr">
        <is>
          <t>MOUNTAIN — what the variable components are worth</t>
        </is>
      </c>
      <c r="B53" s="166" t="inlineStr">
        <is>
          <t>Points</t>
        </is>
      </c>
      <c r="C53" s="166" t="inlineStr">
        <is>
          <t>Evidence</t>
        </is>
      </c>
    </row>
    <row r="54">
      <c r="A54" t="inlineStr">
        <is>
          <t>Seat: Polymer gel ALL-PURPOSE</t>
        </is>
      </c>
      <c r="B54" t="inlineStr">
        <is>
          <t>optimal</t>
        </is>
      </c>
      <c r="C54" s="170" t="inlineStr">
        <is>
          <t>Hike Bike, TERRAMAX, Blu Ruged Ballz all = 73</t>
        </is>
      </c>
    </row>
    <row r="55">
      <c r="A55" t="inlineStr">
        <is>
          <t>Seat: Polymer gel COMFORT instead</t>
        </is>
      </c>
      <c r="B55" t="n">
        <v>-3</v>
      </c>
      <c r="C55" s="170" t="inlineStr">
        <is>
          <t>LiteTrail Pro and Blu Tail Ballz both = 70</t>
        </is>
      </c>
    </row>
    <row r="56">
      <c r="A56" t="inlineStr">
        <is>
          <t>Reflectors added</t>
        </is>
      </c>
      <c r="B56" t="n">
        <v>-1</v>
      </c>
      <c r="C56" s="170" t="inlineStr">
        <is>
          <t>TERRAMean = 72; identical to Hike Bike except reflectors</t>
        </is>
      </c>
    </row>
    <row r="57">
      <c r="A57" t="inlineStr">
        <is>
          <t>MAXIMUM ACHIEVABLE (Mountain)</t>
        </is>
      </c>
      <c r="B57" s="159" t="n">
        <v>73</v>
      </c>
      <c r="C57" s="170" t="inlineStr">
        <is>
          <t>Hike Bike already there</t>
        </is>
      </c>
    </row>
    <row r="58">
      <c r="B58" s="167" t="n"/>
    </row>
    <row r="60">
      <c r="A60" s="166" t="inlineStr">
        <is>
          <t>HIKE BIKE — verified optimal, do not touch</t>
        </is>
      </c>
      <c r="B60" s="166" t="inlineStr">
        <is>
          <t>Status</t>
        </is>
      </c>
    </row>
    <row r="61">
      <c r="A61" t="inlineStr">
        <is>
          <t>Seat</t>
        </is>
      </c>
      <c r="B61" s="170" t="inlineStr">
        <is>
          <t>Polymer gel all-purpose = correct (comfort seat would cost 3 points)</t>
        </is>
      </c>
    </row>
    <row r="62">
      <c r="A62" t="inlineStr">
        <is>
          <t>Reflectors</t>
        </is>
      </c>
      <c r="B62" s="170" t="inlineStr">
        <is>
          <t>correctly EXCLUDED (adding them costs 1 point - they are a Recreation cue)</t>
        </is>
      </c>
    </row>
    <row r="63">
      <c r="A63" t="inlineStr">
        <is>
          <t>Lights</t>
        </is>
      </c>
      <c r="B63" s="170" t="inlineStr">
        <is>
          <t>correctly excluded</t>
        </is>
      </c>
    </row>
    <row r="64">
      <c r="A64" t="inlineStr">
        <is>
          <t>Judgment</t>
        </is>
      </c>
      <c r="B64" s="170" t="inlineStr">
        <is>
          <t>73 of a possible 73 - nothing left to gain from redesign</t>
        </is>
      </c>
    </row>
    <row r="65">
      <c r="A65" t="inlineStr">
        <is>
          <t>Implication</t>
        </is>
      </c>
      <c r="B65" s="170" t="inlineStr">
        <is>
          <t>Any Q4 budget aimed at improving Hike Bike is wasted. Spend it on capacity, sales coverage and ads instead.</t>
        </is>
      </c>
    </row>
    <row r="68">
      <c r="A68" s="166" t="inlineStr">
        <is>
          <t>RECREATION — blueprint if we ever enter (Q5 option)</t>
        </is>
      </c>
      <c r="B68" s="166" t="inlineStr">
        <is>
          <t>Component</t>
        </is>
      </c>
    </row>
    <row r="69">
      <c r="A69" t="inlineStr">
        <is>
          <t>Frame</t>
        </is>
      </c>
      <c r="B69" s="170" t="inlineStr">
        <is>
          <t>Comfort (relaxed)</t>
        </is>
      </c>
    </row>
    <row r="70">
      <c r="A70" t="inlineStr">
        <is>
          <t>Tires</t>
        </is>
      </c>
      <c r="B70" s="170" t="inlineStr">
        <is>
          <t>Hybrid - road/off-road</t>
        </is>
      </c>
    </row>
    <row r="71">
      <c r="A71" t="inlineStr">
        <is>
          <t>Brakes</t>
        </is>
      </c>
      <c r="B71" s="170" t="inlineStr">
        <is>
          <t>Standard disc  &lt;-- NOT precision (costs 2) and NOT standard (costs 1)</t>
        </is>
      </c>
    </row>
    <row r="72">
      <c r="A72" t="inlineStr">
        <is>
          <t>Handlebars</t>
        </is>
      </c>
      <c r="B72" s="170" t="inlineStr">
        <is>
          <t>Comfort straight</t>
        </is>
      </c>
    </row>
    <row r="73">
      <c r="A73" t="inlineStr">
        <is>
          <t>Gears</t>
        </is>
      </c>
      <c r="B73" s="170" t="inlineStr">
        <is>
          <t>7 speed (1x7)</t>
        </is>
      </c>
    </row>
    <row r="74">
      <c r="A74" t="inlineStr">
        <is>
          <t>Seat</t>
        </is>
      </c>
      <c r="B74" s="170" t="inlineStr">
        <is>
          <t>Polymer gel comfort</t>
        </is>
      </c>
    </row>
    <row r="75">
      <c r="A75" t="inlineStr">
        <is>
          <t>Accessories</t>
        </is>
      </c>
      <c r="B75" s="170" t="inlineStr">
        <is>
          <t>Reflectors + Decals + Lights + Plastic basket + Front shocks</t>
        </is>
      </c>
    </row>
    <row r="76">
      <c r="A76" t="inlineStr">
        <is>
          <t>Result</t>
        </is>
      </c>
      <c r="B76" s="170" t="inlineStr">
        <is>
          <t>76 = MountainCruise1 (Bike Bros), the only brand at the Recreation ceiling</t>
        </is>
      </c>
    </row>
    <row r="77">
      <c r="A77" t="inlineStr">
        <is>
          <t>CAUTION</t>
        </is>
      </c>
      <c r="B77" s="170" t="inlineStr">
        <is>
          <t>Only 4 Recreation brands exist and they differ in 3 places (brakes, decals, lights), so the individual penalties are NOT uniquely identifiable. Observed constraints: precision+no-decals = 2 - precision+no-lights = 3 - standard-brakes+no-decals = 3. What IS certain: standard disc brakes are optimal, and MountainCruise1's exact recipe scores 76.</t>
        </is>
      </c>
    </row>
    <row r="80">
      <c r="A80" s="166" t="inlineStr">
        <is>
          <t>CROSS-SEGMENT RULE OF THUMB</t>
        </is>
      </c>
      <c r="B80" s="166" t="inlineStr">
        <is>
          <t>Note</t>
        </is>
      </c>
    </row>
    <row r="81">
      <c r="A81" t="inlineStr">
        <is>
          <t>Reflectors</t>
        </is>
      </c>
      <c r="B81" s="170" t="inlineStr">
        <is>
          <t>+1 in Speed, -1 in Mountain, required in Recreation. Segment-dependent, not universally good.</t>
        </is>
      </c>
    </row>
    <row r="82">
      <c r="A82" t="inlineStr">
        <is>
          <t>Decals</t>
        </is>
      </c>
      <c r="B82" s="170" t="inlineStr">
        <is>
          <t>+2 in Speed, required in Mountain and Recreation. Cheap and always worth having except where noted.</t>
        </is>
      </c>
    </row>
    <row r="83">
      <c r="A83" t="inlineStr">
        <is>
          <t>Lights</t>
        </is>
      </c>
      <c r="B83" s="170" t="inlineStr">
        <is>
          <t>+1 in Speed, excluded in Mountain, required in Recreation.</t>
        </is>
      </c>
    </row>
    <row r="84">
      <c r="A84" t="inlineStr">
        <is>
          <t>Gears</t>
        </is>
      </c>
      <c r="B84" s="170" t="inlineStr">
        <is>
          <t>The single biggest lever in Speed: 7sp = -16, 24sp = -3, 14sp = optimal.</t>
        </is>
      </c>
    </row>
    <row r="85">
      <c r="A85" t="inlineStr">
        <is>
          <t>Seat</t>
        </is>
      </c>
      <c r="B85" s="170" t="inlineStr">
        <is>
          <t>The single biggest lever in Mountain: comfort seat = -3 vs all-purpose.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9"/>
  <sheetViews>
    <sheetView workbookViewId="0">
      <pane ySplit="4" topLeftCell="A5" activePane="bottomLeft" state="frozen"/>
      <selection pane="bottomLeft" activeCell="A1" sqref="A1"/>
    </sheetView>
  </sheetViews>
  <sheetFormatPr baseColWidth="8" defaultRowHeight="15"/>
  <cols>
    <col width="20" customWidth="1" style="146" min="1" max="1"/>
    <col width="13" customWidth="1" style="146" min="2" max="2"/>
    <col width="16" customWidth="1" style="146" min="3" max="3"/>
  </cols>
  <sheetData>
    <row r="1">
      <c r="A1" s="169" t="inlineStr">
        <is>
          <t>Detailed Brand Demand — World Market by city, Q3 actual</t>
        </is>
      </c>
    </row>
    <row r="2">
      <c r="A2" t="inlineStr">
        <is>
          <t>Reconciles exactly to 6,559 total / 627 WeBike / 412 Hike Bike / 215 Swift Bike.</t>
        </is>
      </c>
    </row>
    <row r="4">
      <c r="A4" s="166" t="inlineStr">
        <is>
          <t>Brand</t>
        </is>
      </c>
      <c r="B4" s="166" t="inlineStr">
        <is>
          <t>Company</t>
        </is>
      </c>
      <c r="C4" s="166" t="inlineStr">
        <is>
          <t>City</t>
        </is>
      </c>
      <c r="D4" s="166" t="inlineStr">
        <is>
          <t>Recreation</t>
        </is>
      </c>
      <c r="E4" s="166" t="inlineStr">
        <is>
          <t>Mountain</t>
        </is>
      </c>
      <c r="F4" s="166" t="inlineStr">
        <is>
          <t>Speed</t>
        </is>
      </c>
      <c r="G4" s="166" t="inlineStr">
        <is>
          <t>Total</t>
        </is>
      </c>
    </row>
    <row r="5">
      <c r="A5" t="inlineStr">
        <is>
          <t>LiteSpeed Pro+</t>
        </is>
      </c>
      <c r="B5" t="inlineStr">
        <is>
          <t>LiteCycle</t>
        </is>
      </c>
      <c r="C5" t="inlineStr">
        <is>
          <t>New York City</t>
        </is>
      </c>
      <c r="D5" t="n">
        <v>0</v>
      </c>
      <c r="E5" t="n">
        <v>0</v>
      </c>
      <c r="F5" t="n">
        <v>39</v>
      </c>
      <c r="G5" t="n">
        <v>39</v>
      </c>
    </row>
    <row r="6">
      <c r="A6" t="inlineStr">
        <is>
          <t>LiteSpeed+</t>
        </is>
      </c>
      <c r="B6" t="inlineStr">
        <is>
          <t>LiteCycle</t>
        </is>
      </c>
      <c r="C6" t="inlineStr">
        <is>
          <t>New York City</t>
        </is>
      </c>
      <c r="D6" t="n">
        <v>0</v>
      </c>
      <c r="E6" t="n">
        <v>0</v>
      </c>
      <c r="F6" t="n">
        <v>29</v>
      </c>
      <c r="G6" t="n">
        <v>29</v>
      </c>
    </row>
    <row r="7">
      <c r="A7" t="inlineStr">
        <is>
          <t>LiteTrail Pro</t>
        </is>
      </c>
      <c r="B7" t="inlineStr">
        <is>
          <t>LiteCycle</t>
        </is>
      </c>
      <c r="C7" t="inlineStr">
        <is>
          <t>New York City</t>
        </is>
      </c>
      <c r="D7" t="n">
        <v>13</v>
      </c>
      <c r="E7" t="n">
        <v>62</v>
      </c>
      <c r="F7" t="n">
        <v>0</v>
      </c>
      <c r="G7" t="n">
        <v>75</v>
      </c>
    </row>
    <row r="8">
      <c r="A8" s="171" t="inlineStr">
        <is>
          <t>Hike Bike</t>
        </is>
      </c>
      <c r="B8" s="171" t="inlineStr">
        <is>
          <t>WeBike</t>
        </is>
      </c>
      <c r="C8" s="171" t="inlineStr">
        <is>
          <t>New York City</t>
        </is>
      </c>
      <c r="D8" s="171" t="n">
        <v>3</v>
      </c>
      <c r="E8" s="171" t="n">
        <v>23</v>
      </c>
      <c r="F8" s="171" t="n">
        <v>0</v>
      </c>
      <c r="G8" s="171" t="n">
        <v>26</v>
      </c>
    </row>
    <row r="9">
      <c r="A9" s="171" t="inlineStr">
        <is>
          <t>Swift Bike</t>
        </is>
      </c>
      <c r="B9" s="171" t="inlineStr">
        <is>
          <t>WeBike</t>
        </is>
      </c>
      <c r="C9" s="171" t="inlineStr">
        <is>
          <t>New York City</t>
        </is>
      </c>
      <c r="D9" s="171" t="n">
        <v>0</v>
      </c>
      <c r="E9" s="171" t="n">
        <v>0</v>
      </c>
      <c r="F9" s="171" t="n">
        <v>12</v>
      </c>
      <c r="G9" s="171" t="n">
        <v>12</v>
      </c>
    </row>
    <row r="10">
      <c r="A10" t="inlineStr">
        <is>
          <t>Blu Ruged Ballz</t>
        </is>
      </c>
      <c r="B10" t="inlineStr">
        <is>
          <t>BB LLC</t>
        </is>
      </c>
      <c r="C10" t="inlineStr">
        <is>
          <t>New York City</t>
        </is>
      </c>
      <c r="D10" t="n">
        <v>19</v>
      </c>
      <c r="E10" t="n">
        <v>265</v>
      </c>
      <c r="F10" t="n">
        <v>0</v>
      </c>
      <c r="G10" t="n">
        <v>284</v>
      </c>
    </row>
    <row r="11">
      <c r="A11" t="inlineStr">
        <is>
          <t>Blu Aero Ballz</t>
        </is>
      </c>
      <c r="B11" t="inlineStr">
        <is>
          <t>BB LLC</t>
        </is>
      </c>
      <c r="C11" t="inlineStr">
        <is>
          <t>New York City</t>
        </is>
      </c>
      <c r="D11" t="n">
        <v>0</v>
      </c>
      <c r="E11" t="n">
        <v>0</v>
      </c>
      <c r="F11" t="n">
        <v>135</v>
      </c>
      <c r="G11" t="n">
        <v>135</v>
      </c>
    </row>
    <row r="12">
      <c r="A12" t="inlineStr">
        <is>
          <t>Blu Tail Ballz</t>
        </is>
      </c>
      <c r="B12" t="inlineStr">
        <is>
          <t>BB LLC</t>
        </is>
      </c>
      <c r="C12" t="inlineStr">
        <is>
          <t>New York City</t>
        </is>
      </c>
      <c r="D12" t="n">
        <v>22</v>
      </c>
      <c r="E12" t="n">
        <v>145</v>
      </c>
      <c r="F12" t="n">
        <v>0</v>
      </c>
      <c r="G12" t="n">
        <v>167</v>
      </c>
    </row>
    <row r="13">
      <c r="A13" t="inlineStr">
        <is>
          <t>Blu Tube Ballz</t>
        </is>
      </c>
      <c r="B13" t="inlineStr">
        <is>
          <t>BB LLC</t>
        </is>
      </c>
      <c r="C13" t="inlineStr">
        <is>
          <t>New York City</t>
        </is>
      </c>
      <c r="D13" t="n">
        <v>0</v>
      </c>
      <c r="E13" t="n">
        <v>0</v>
      </c>
      <c r="F13" t="n">
        <v>166</v>
      </c>
      <c r="G13" t="n">
        <v>166</v>
      </c>
    </row>
    <row r="14">
      <c r="A14" t="inlineStr">
        <is>
          <t>Spoke'd Easy</t>
        </is>
      </c>
      <c r="B14" t="inlineStr">
        <is>
          <t>Spoke'd Up</t>
        </is>
      </c>
      <c r="C14" t="inlineStr">
        <is>
          <t>New York City</t>
        </is>
      </c>
      <c r="D14" t="n">
        <v>237</v>
      </c>
      <c r="E14" t="n">
        <v>0</v>
      </c>
      <c r="F14" t="n">
        <v>0</v>
      </c>
      <c r="G14" t="n">
        <v>237</v>
      </c>
    </row>
    <row r="15">
      <c r="A15" t="inlineStr">
        <is>
          <t>Spoke'd Speed</t>
        </is>
      </c>
      <c r="B15" t="inlineStr">
        <is>
          <t>Spoke'd Up</t>
        </is>
      </c>
      <c r="C15" t="inlineStr">
        <is>
          <t>New York City</t>
        </is>
      </c>
      <c r="D15" t="n">
        <v>0</v>
      </c>
      <c r="E15" t="n">
        <v>0</v>
      </c>
      <c r="F15" t="n">
        <v>175</v>
      </c>
      <c r="G15" t="n">
        <v>175</v>
      </c>
    </row>
    <row r="16">
      <c r="A16" t="inlineStr">
        <is>
          <t>The Armstrong</t>
        </is>
      </c>
      <c r="B16" t="inlineStr">
        <is>
          <t>SpaceBikes</t>
        </is>
      </c>
      <c r="C16" t="inlineStr">
        <is>
          <t>New York City</t>
        </is>
      </c>
      <c r="D16" t="n">
        <v>0</v>
      </c>
      <c r="E16" t="n">
        <v>0</v>
      </c>
      <c r="F16" t="n">
        <v>272</v>
      </c>
      <c r="G16" t="n">
        <v>272</v>
      </c>
    </row>
    <row r="17">
      <c r="A17" t="inlineStr">
        <is>
          <t>Mars Rover</t>
        </is>
      </c>
      <c r="B17" t="inlineStr">
        <is>
          <t>SpaceBikes</t>
        </is>
      </c>
      <c r="C17" t="inlineStr">
        <is>
          <t>New York City</t>
        </is>
      </c>
      <c r="D17" t="n">
        <v>302</v>
      </c>
      <c r="E17" t="n">
        <v>0</v>
      </c>
      <c r="F17" t="n">
        <v>0</v>
      </c>
      <c r="G17" t="n">
        <v>302</v>
      </c>
    </row>
    <row r="18">
      <c r="A18" t="inlineStr">
        <is>
          <t>Whole MILC MKII</t>
        </is>
      </c>
      <c r="B18" t="inlineStr">
        <is>
          <t>MILC Bikes</t>
        </is>
      </c>
      <c r="C18" t="inlineStr">
        <is>
          <t>New York City</t>
        </is>
      </c>
      <c r="D18" t="n">
        <v>68</v>
      </c>
      <c r="E18" t="n">
        <v>0</v>
      </c>
      <c r="F18" t="n">
        <v>0</v>
      </c>
      <c r="G18" t="n">
        <v>68</v>
      </c>
    </row>
    <row r="19">
      <c r="A19" t="inlineStr">
        <is>
          <t>Skim MILC MKII</t>
        </is>
      </c>
      <c r="B19" t="inlineStr">
        <is>
          <t>MILC Bikes</t>
        </is>
      </c>
      <c r="C19" t="inlineStr">
        <is>
          <t>New York City</t>
        </is>
      </c>
      <c r="D19" t="n">
        <v>0</v>
      </c>
      <c r="E19" t="n">
        <v>0</v>
      </c>
      <c r="F19" t="n">
        <v>52</v>
      </c>
      <c r="G19" t="n">
        <v>52</v>
      </c>
    </row>
    <row r="20">
      <c r="A20" t="inlineStr">
        <is>
          <t>LiteSpeed Pro+</t>
        </is>
      </c>
      <c r="B20" t="inlineStr">
        <is>
          <t>LiteCycle</t>
        </is>
      </c>
      <c r="C20" t="inlineStr">
        <is>
          <t>Rio de Janeiro</t>
        </is>
      </c>
      <c r="D20" t="n">
        <v>0</v>
      </c>
      <c r="E20" t="n">
        <v>0</v>
      </c>
      <c r="F20" t="n">
        <v>27</v>
      </c>
      <c r="G20" t="n">
        <v>27</v>
      </c>
    </row>
    <row r="21">
      <c r="A21" t="inlineStr">
        <is>
          <t>LiteSpeed+</t>
        </is>
      </c>
      <c r="B21" t="inlineStr">
        <is>
          <t>LiteCycle</t>
        </is>
      </c>
      <c r="C21" t="inlineStr">
        <is>
          <t>Rio de Janeiro</t>
        </is>
      </c>
      <c r="D21" t="n">
        <v>0</v>
      </c>
      <c r="E21" t="n">
        <v>0</v>
      </c>
      <c r="F21" t="n">
        <v>20</v>
      </c>
      <c r="G21" t="n">
        <v>20</v>
      </c>
    </row>
    <row r="22">
      <c r="A22" t="inlineStr">
        <is>
          <t>LiteTrail Pro</t>
        </is>
      </c>
      <c r="B22" t="inlineStr">
        <is>
          <t>LiteCycle</t>
        </is>
      </c>
      <c r="C22" t="inlineStr">
        <is>
          <t>Rio de Janeiro</t>
        </is>
      </c>
      <c r="D22" t="n">
        <v>13</v>
      </c>
      <c r="E22" t="n">
        <v>46</v>
      </c>
      <c r="F22" t="n">
        <v>0</v>
      </c>
      <c r="G22" t="n">
        <v>59</v>
      </c>
    </row>
    <row r="23">
      <c r="A23" s="171" t="inlineStr">
        <is>
          <t>Hike Bike</t>
        </is>
      </c>
      <c r="B23" s="171" t="inlineStr">
        <is>
          <t>WeBike</t>
        </is>
      </c>
      <c r="C23" s="171" t="inlineStr">
        <is>
          <t>Rio de Janeiro</t>
        </is>
      </c>
      <c r="D23" s="171" t="n">
        <v>25</v>
      </c>
      <c r="E23" s="171" t="n">
        <v>166</v>
      </c>
      <c r="F23" s="171" t="n">
        <v>0</v>
      </c>
      <c r="G23" s="171" t="n">
        <v>191</v>
      </c>
    </row>
    <row r="24">
      <c r="A24" s="171" t="inlineStr">
        <is>
          <t>Swift Bike</t>
        </is>
      </c>
      <c r="B24" s="171" t="inlineStr">
        <is>
          <t>WeBike</t>
        </is>
      </c>
      <c r="C24" s="171" t="inlineStr">
        <is>
          <t>Rio de Janeiro</t>
        </is>
      </c>
      <c r="D24" s="171" t="n">
        <v>0</v>
      </c>
      <c r="E24" s="171" t="n">
        <v>0</v>
      </c>
      <c r="F24" s="171" t="n">
        <v>79</v>
      </c>
      <c r="G24" s="171" t="n">
        <v>79</v>
      </c>
    </row>
    <row r="25">
      <c r="A25" t="inlineStr">
        <is>
          <t>Blu Ruged Ballz</t>
        </is>
      </c>
      <c r="B25" t="inlineStr">
        <is>
          <t>BB LLC</t>
        </is>
      </c>
      <c r="C25" t="inlineStr">
        <is>
          <t>Rio de Janeiro</t>
        </is>
      </c>
      <c r="D25" t="n">
        <v>6</v>
      </c>
      <c r="E25" t="n">
        <v>48</v>
      </c>
      <c r="F25" t="n">
        <v>0</v>
      </c>
      <c r="G25" t="n">
        <v>54</v>
      </c>
    </row>
    <row r="26">
      <c r="A26" t="inlineStr">
        <is>
          <t>Blu Aero Ballz</t>
        </is>
      </c>
      <c r="B26" t="inlineStr">
        <is>
          <t>BB LLC</t>
        </is>
      </c>
      <c r="C26" t="inlineStr">
        <is>
          <t>Rio de Janeiro</t>
        </is>
      </c>
      <c r="D26" t="n">
        <v>0</v>
      </c>
      <c r="E26" t="n">
        <v>0</v>
      </c>
      <c r="F26" t="n">
        <v>23</v>
      </c>
      <c r="G26" t="n">
        <v>23</v>
      </c>
    </row>
    <row r="27">
      <c r="A27" t="inlineStr">
        <is>
          <t>Blu Tail Ballz</t>
        </is>
      </c>
      <c r="B27" t="inlineStr">
        <is>
          <t>BB LLC</t>
        </is>
      </c>
      <c r="C27" t="inlineStr">
        <is>
          <t>Rio de Janeiro</t>
        </is>
      </c>
      <c r="D27" t="n">
        <v>7</v>
      </c>
      <c r="E27" t="n">
        <v>26</v>
      </c>
      <c r="F27" t="n">
        <v>0</v>
      </c>
      <c r="G27" t="n">
        <v>33</v>
      </c>
    </row>
    <row r="28">
      <c r="A28" t="inlineStr">
        <is>
          <t>Blu Tube Ballz</t>
        </is>
      </c>
      <c r="B28" t="inlineStr">
        <is>
          <t>BB LLC</t>
        </is>
      </c>
      <c r="C28" t="inlineStr">
        <is>
          <t>Rio de Janeiro</t>
        </is>
      </c>
      <c r="D28" t="n">
        <v>0</v>
      </c>
      <c r="E28" t="n">
        <v>0</v>
      </c>
      <c r="F28" t="n">
        <v>29</v>
      </c>
      <c r="G28" t="n">
        <v>29</v>
      </c>
    </row>
    <row r="29">
      <c r="A29" t="inlineStr">
        <is>
          <t>Spoke'd Easy</t>
        </is>
      </c>
      <c r="B29" t="inlineStr">
        <is>
          <t>Spoke'd Up</t>
        </is>
      </c>
      <c r="C29" t="inlineStr">
        <is>
          <t>Rio de Janeiro</t>
        </is>
      </c>
      <c r="D29" t="n">
        <v>21</v>
      </c>
      <c r="E29" t="n">
        <v>0</v>
      </c>
      <c r="F29" t="n">
        <v>0</v>
      </c>
      <c r="G29" t="n">
        <v>21</v>
      </c>
    </row>
    <row r="30">
      <c r="A30" t="inlineStr">
        <is>
          <t>Spoke'd Speed</t>
        </is>
      </c>
      <c r="B30" t="inlineStr">
        <is>
          <t>Spoke'd Up</t>
        </is>
      </c>
      <c r="C30" t="inlineStr">
        <is>
          <t>Rio de Janeiro</t>
        </is>
      </c>
      <c r="D30" t="n">
        <v>0</v>
      </c>
      <c r="E30" t="n">
        <v>0</v>
      </c>
      <c r="F30" t="n">
        <v>11</v>
      </c>
      <c r="G30" t="n">
        <v>11</v>
      </c>
    </row>
    <row r="31">
      <c r="A31" t="inlineStr">
        <is>
          <t>The Armstrong</t>
        </is>
      </c>
      <c r="B31" t="inlineStr">
        <is>
          <t>SpaceBikes</t>
        </is>
      </c>
      <c r="C31" t="inlineStr">
        <is>
          <t>Rio de Janeiro</t>
        </is>
      </c>
      <c r="D31" t="n">
        <v>0</v>
      </c>
      <c r="E31" t="n">
        <v>0</v>
      </c>
      <c r="F31" t="n">
        <v>43</v>
      </c>
      <c r="G31" t="n">
        <v>43</v>
      </c>
    </row>
    <row r="32">
      <c r="A32" t="inlineStr">
        <is>
          <t>Mars Rover</t>
        </is>
      </c>
      <c r="B32" t="inlineStr">
        <is>
          <t>SpaceBikes</t>
        </is>
      </c>
      <c r="C32" t="inlineStr">
        <is>
          <t>Rio de Janeiro</t>
        </is>
      </c>
      <c r="D32" t="n">
        <v>77</v>
      </c>
      <c r="E32" t="n">
        <v>0</v>
      </c>
      <c r="F32" t="n">
        <v>0</v>
      </c>
      <c r="G32" t="n">
        <v>77</v>
      </c>
    </row>
    <row r="33">
      <c r="A33" t="inlineStr">
        <is>
          <t>Whole MILC MKII</t>
        </is>
      </c>
      <c r="B33" t="inlineStr">
        <is>
          <t>MILC Bikes</t>
        </is>
      </c>
      <c r="C33" t="inlineStr">
        <is>
          <t>Rio de Janeiro</t>
        </is>
      </c>
      <c r="D33" t="n">
        <v>70</v>
      </c>
      <c r="E33" t="n">
        <v>0</v>
      </c>
      <c r="F33" t="n">
        <v>0</v>
      </c>
      <c r="G33" t="n">
        <v>70</v>
      </c>
    </row>
    <row r="34">
      <c r="A34" t="inlineStr">
        <is>
          <t>Skim MILC MKII</t>
        </is>
      </c>
      <c r="B34" t="inlineStr">
        <is>
          <t>MILC Bikes</t>
        </is>
      </c>
      <c r="C34" t="inlineStr">
        <is>
          <t>Rio de Janeiro</t>
        </is>
      </c>
      <c r="D34" t="n">
        <v>0</v>
      </c>
      <c r="E34" t="n">
        <v>0</v>
      </c>
      <c r="F34" t="n">
        <v>37</v>
      </c>
      <c r="G34" t="n">
        <v>37</v>
      </c>
    </row>
    <row r="35">
      <c r="A35" t="inlineStr">
        <is>
          <t>MACH I.I</t>
        </is>
      </c>
      <c r="B35" t="inlineStr">
        <is>
          <t>Bike Bros</t>
        </is>
      </c>
      <c r="C35" t="inlineStr">
        <is>
          <t>Amsterdam</t>
        </is>
      </c>
      <c r="D35" t="n">
        <v>0</v>
      </c>
      <c r="E35" t="n">
        <v>0</v>
      </c>
      <c r="F35" t="n">
        <v>155</v>
      </c>
      <c r="G35" t="n">
        <v>155</v>
      </c>
    </row>
    <row r="36">
      <c r="A36" t="inlineStr">
        <is>
          <t>TERRAMAX</t>
        </is>
      </c>
      <c r="B36" t="inlineStr">
        <is>
          <t>Bike Bros</t>
        </is>
      </c>
      <c r="C36" t="inlineStr">
        <is>
          <t>Amsterdam</t>
        </is>
      </c>
      <c r="D36" t="n">
        <v>6</v>
      </c>
      <c r="E36" t="n">
        <v>92</v>
      </c>
      <c r="F36" t="n">
        <v>0</v>
      </c>
      <c r="G36" t="n">
        <v>98</v>
      </c>
    </row>
    <row r="37">
      <c r="A37" t="inlineStr">
        <is>
          <t>Mach 0.6</t>
        </is>
      </c>
      <c r="B37" t="inlineStr">
        <is>
          <t>Bike Bros</t>
        </is>
      </c>
      <c r="C37" t="inlineStr">
        <is>
          <t>Amsterdam</t>
        </is>
      </c>
      <c r="D37" t="n">
        <v>0</v>
      </c>
      <c r="E37" t="n">
        <v>0</v>
      </c>
      <c r="F37" t="n">
        <v>25</v>
      </c>
      <c r="G37" t="n">
        <v>25</v>
      </c>
    </row>
    <row r="38">
      <c r="A38" t="inlineStr">
        <is>
          <t>TERRAMean</t>
        </is>
      </c>
      <c r="B38" t="inlineStr">
        <is>
          <t>Bike Bros</t>
        </is>
      </c>
      <c r="C38" t="inlineStr">
        <is>
          <t>Amsterdam</t>
        </is>
      </c>
      <c r="D38" t="n">
        <v>10</v>
      </c>
      <c r="E38" t="n">
        <v>80</v>
      </c>
      <c r="F38" t="n">
        <v>0</v>
      </c>
      <c r="G38" t="n">
        <v>90</v>
      </c>
    </row>
    <row r="39">
      <c r="A39" t="inlineStr">
        <is>
          <t>MountainCruise1</t>
        </is>
      </c>
      <c r="B39" t="inlineStr">
        <is>
          <t>Bike Bros</t>
        </is>
      </c>
      <c r="C39" t="inlineStr">
        <is>
          <t>Amsterdam</t>
        </is>
      </c>
      <c r="D39" t="n">
        <v>122</v>
      </c>
      <c r="E39" t="n">
        <v>0</v>
      </c>
      <c r="F39" t="n">
        <v>0</v>
      </c>
      <c r="G39" t="n">
        <v>122</v>
      </c>
    </row>
    <row r="40">
      <c r="A40" t="inlineStr">
        <is>
          <t>LiteSpeed Pro+</t>
        </is>
      </c>
      <c r="B40" t="inlineStr">
        <is>
          <t>LiteCycle</t>
        </is>
      </c>
      <c r="C40" t="inlineStr">
        <is>
          <t>Amsterdam</t>
        </is>
      </c>
      <c r="D40" t="n">
        <v>0</v>
      </c>
      <c r="E40" t="n">
        <v>0</v>
      </c>
      <c r="F40" t="n">
        <v>126</v>
      </c>
      <c r="G40" t="n">
        <v>126</v>
      </c>
    </row>
    <row r="41">
      <c r="A41" t="inlineStr">
        <is>
          <t>LiteSpeed+</t>
        </is>
      </c>
      <c r="B41" t="inlineStr">
        <is>
          <t>LiteCycle</t>
        </is>
      </c>
      <c r="C41" t="inlineStr">
        <is>
          <t>Amsterdam</t>
        </is>
      </c>
      <c r="D41" t="n">
        <v>0</v>
      </c>
      <c r="E41" t="n">
        <v>0</v>
      </c>
      <c r="F41" t="n">
        <v>93</v>
      </c>
      <c r="G41" t="n">
        <v>93</v>
      </c>
    </row>
    <row r="42">
      <c r="A42" t="inlineStr">
        <is>
          <t>LiteTrail Pro</t>
        </is>
      </c>
      <c r="B42" t="inlineStr">
        <is>
          <t>LiteCycle</t>
        </is>
      </c>
      <c r="C42" t="inlineStr">
        <is>
          <t>Amsterdam</t>
        </is>
      </c>
      <c r="D42" t="n">
        <v>36</v>
      </c>
      <c r="E42" t="n">
        <v>110</v>
      </c>
      <c r="F42" t="n">
        <v>0</v>
      </c>
      <c r="G42" t="n">
        <v>146</v>
      </c>
    </row>
    <row r="43">
      <c r="A43" s="171" t="inlineStr">
        <is>
          <t>Hike Bike</t>
        </is>
      </c>
      <c r="B43" s="171" t="inlineStr">
        <is>
          <t>WeBike</t>
        </is>
      </c>
      <c r="C43" s="171" t="inlineStr">
        <is>
          <t>Amsterdam</t>
        </is>
      </c>
      <c r="D43" s="171" t="n">
        <v>24</v>
      </c>
      <c r="E43" s="171" t="n">
        <v>156</v>
      </c>
      <c r="F43" s="171" t="n">
        <v>0</v>
      </c>
      <c r="G43" s="171" t="n">
        <v>180</v>
      </c>
    </row>
    <row r="44">
      <c r="A44" s="171" t="inlineStr">
        <is>
          <t>Swift Bike</t>
        </is>
      </c>
      <c r="B44" s="171" t="inlineStr">
        <is>
          <t>WeBike</t>
        </is>
      </c>
      <c r="C44" s="171" t="inlineStr">
        <is>
          <t>Amsterdam</t>
        </is>
      </c>
      <c r="D44" s="171" t="n">
        <v>0</v>
      </c>
      <c r="E44" s="171" t="n">
        <v>0</v>
      </c>
      <c r="F44" s="171" t="n">
        <v>115</v>
      </c>
      <c r="G44" s="171" t="n">
        <v>115</v>
      </c>
    </row>
    <row r="45">
      <c r="A45" t="inlineStr">
        <is>
          <t>Blu Ruged Ballz</t>
        </is>
      </c>
      <c r="B45" t="inlineStr">
        <is>
          <t>BB LLC</t>
        </is>
      </c>
      <c r="C45" t="inlineStr">
        <is>
          <t>Amsterdam</t>
        </is>
      </c>
      <c r="D45" t="n">
        <v>16</v>
      </c>
      <c r="E45" t="n">
        <v>137</v>
      </c>
      <c r="F45" t="n">
        <v>0</v>
      </c>
      <c r="G45" t="n">
        <v>153</v>
      </c>
    </row>
    <row r="46">
      <c r="A46" t="inlineStr">
        <is>
          <t>Blu Aero Ballz</t>
        </is>
      </c>
      <c r="B46" t="inlineStr">
        <is>
          <t>BB LLC</t>
        </is>
      </c>
      <c r="C46" t="inlineStr">
        <is>
          <t>Amsterdam</t>
        </is>
      </c>
      <c r="D46" t="n">
        <v>0</v>
      </c>
      <c r="E46" t="n">
        <v>0</v>
      </c>
      <c r="F46" t="n">
        <v>110</v>
      </c>
      <c r="G46" t="n">
        <v>110</v>
      </c>
    </row>
    <row r="47">
      <c r="A47" t="inlineStr">
        <is>
          <t>Blu Tail Ballz</t>
        </is>
      </c>
      <c r="B47" t="inlineStr">
        <is>
          <t>BB LLC</t>
        </is>
      </c>
      <c r="C47" t="inlineStr">
        <is>
          <t>Amsterdam</t>
        </is>
      </c>
      <c r="D47" t="n">
        <v>19</v>
      </c>
      <c r="E47" t="n">
        <v>75</v>
      </c>
      <c r="F47" t="n">
        <v>0</v>
      </c>
      <c r="G47" t="n">
        <v>94</v>
      </c>
    </row>
    <row r="48">
      <c r="A48" t="inlineStr">
        <is>
          <t>Blu Tube Ballz</t>
        </is>
      </c>
      <c r="B48" t="inlineStr">
        <is>
          <t>BB LLC</t>
        </is>
      </c>
      <c r="C48" t="inlineStr">
        <is>
          <t>Amsterdam</t>
        </is>
      </c>
      <c r="D48" t="n">
        <v>0</v>
      </c>
      <c r="E48" t="n">
        <v>0</v>
      </c>
      <c r="F48" t="n">
        <v>136</v>
      </c>
      <c r="G48" t="n">
        <v>136</v>
      </c>
    </row>
    <row r="49">
      <c r="A49" t="inlineStr">
        <is>
          <t>Spoke'd Easy</t>
        </is>
      </c>
      <c r="B49" t="inlineStr">
        <is>
          <t>Spoke'd Up</t>
        </is>
      </c>
      <c r="C49" t="inlineStr">
        <is>
          <t>Amsterdam</t>
        </is>
      </c>
      <c r="D49" t="n">
        <v>217</v>
      </c>
      <c r="E49" t="n">
        <v>0</v>
      </c>
      <c r="F49" t="n">
        <v>0</v>
      </c>
      <c r="G49" t="n">
        <v>217</v>
      </c>
    </row>
    <row r="50">
      <c r="A50" t="inlineStr">
        <is>
          <t>Spoke'd Speed</t>
        </is>
      </c>
      <c r="B50" t="inlineStr">
        <is>
          <t>Spoke'd Up</t>
        </is>
      </c>
      <c r="C50" t="inlineStr">
        <is>
          <t>Amsterdam</t>
        </is>
      </c>
      <c r="D50" t="n">
        <v>0</v>
      </c>
      <c r="E50" t="n">
        <v>0</v>
      </c>
      <c r="F50" t="n">
        <v>163</v>
      </c>
      <c r="G50" t="n">
        <v>163</v>
      </c>
    </row>
    <row r="51">
      <c r="A51" t="inlineStr">
        <is>
          <t>The Armstrong</t>
        </is>
      </c>
      <c r="B51" t="inlineStr">
        <is>
          <t>SpaceBikes</t>
        </is>
      </c>
      <c r="C51" t="inlineStr">
        <is>
          <t>Amsterdam</t>
        </is>
      </c>
      <c r="D51" t="n">
        <v>0</v>
      </c>
      <c r="E51" t="n">
        <v>0</v>
      </c>
      <c r="F51" t="n">
        <v>223</v>
      </c>
      <c r="G51" t="n">
        <v>223</v>
      </c>
    </row>
    <row r="52">
      <c r="A52" t="inlineStr">
        <is>
          <t>Mars Rover</t>
        </is>
      </c>
      <c r="B52" t="inlineStr">
        <is>
          <t>SpaceBikes</t>
        </is>
      </c>
      <c r="C52" t="inlineStr">
        <is>
          <t>Amsterdam</t>
        </is>
      </c>
      <c r="D52" t="n">
        <v>267</v>
      </c>
      <c r="E52" t="n">
        <v>0</v>
      </c>
      <c r="F52" t="n">
        <v>0</v>
      </c>
      <c r="G52" t="n">
        <v>267</v>
      </c>
    </row>
    <row r="53">
      <c r="A53" t="inlineStr">
        <is>
          <t>Whole MILC MKII</t>
        </is>
      </c>
      <c r="B53" t="inlineStr">
        <is>
          <t>MILC Bikes</t>
        </is>
      </c>
      <c r="C53" t="inlineStr">
        <is>
          <t>Amsterdam</t>
        </is>
      </c>
      <c r="D53" t="n">
        <v>275</v>
      </c>
      <c r="E53" t="n">
        <v>0</v>
      </c>
      <c r="F53" t="n">
        <v>0</v>
      </c>
      <c r="G53" t="n">
        <v>275</v>
      </c>
    </row>
    <row r="54">
      <c r="A54" t="inlineStr">
        <is>
          <t>Skim MILC MKII</t>
        </is>
      </c>
      <c r="B54" t="inlineStr">
        <is>
          <t>MILC Bikes</t>
        </is>
      </c>
      <c r="C54" t="inlineStr">
        <is>
          <t>Amsterdam</t>
        </is>
      </c>
      <c r="D54" t="n">
        <v>0</v>
      </c>
      <c r="E54" t="n">
        <v>0</v>
      </c>
      <c r="F54" t="n">
        <v>197</v>
      </c>
      <c r="G54" t="n">
        <v>197</v>
      </c>
    </row>
    <row r="55">
      <c r="A55" t="inlineStr">
        <is>
          <t>LiteSpeed Pro+</t>
        </is>
      </c>
      <c r="B55" t="inlineStr">
        <is>
          <t>LiteCycle</t>
        </is>
      </c>
      <c r="C55" t="inlineStr">
        <is>
          <t>Bangalore</t>
        </is>
      </c>
      <c r="D55" t="n">
        <v>0</v>
      </c>
      <c r="E55" t="n">
        <v>0</v>
      </c>
      <c r="F55" t="n">
        <v>123</v>
      </c>
      <c r="G55" t="n">
        <v>123</v>
      </c>
    </row>
    <row r="56">
      <c r="A56" t="inlineStr">
        <is>
          <t>LiteSpeed+</t>
        </is>
      </c>
      <c r="B56" t="inlineStr">
        <is>
          <t>LiteCycle</t>
        </is>
      </c>
      <c r="C56" t="inlineStr">
        <is>
          <t>Bangalore</t>
        </is>
      </c>
      <c r="D56" t="n">
        <v>0</v>
      </c>
      <c r="E56" t="n">
        <v>0</v>
      </c>
      <c r="F56" t="n">
        <v>91</v>
      </c>
      <c r="G56" t="n">
        <v>91</v>
      </c>
    </row>
    <row r="57">
      <c r="A57" t="inlineStr">
        <is>
          <t>LiteTrail Pro</t>
        </is>
      </c>
      <c r="B57" t="inlineStr">
        <is>
          <t>LiteCycle</t>
        </is>
      </c>
      <c r="C57" t="inlineStr">
        <is>
          <t>Bangalore</t>
        </is>
      </c>
      <c r="D57" t="n">
        <v>34</v>
      </c>
      <c r="E57" t="n">
        <v>122</v>
      </c>
      <c r="F57" t="n">
        <v>0</v>
      </c>
      <c r="G57" t="n">
        <v>156</v>
      </c>
    </row>
    <row r="58">
      <c r="A58" s="171" t="inlineStr">
        <is>
          <t>Hike Bike</t>
        </is>
      </c>
      <c r="B58" s="171" t="inlineStr">
        <is>
          <t>WeBike</t>
        </is>
      </c>
      <c r="C58" s="171" t="inlineStr">
        <is>
          <t>Bangalore</t>
        </is>
      </c>
      <c r="D58" s="171" t="n">
        <v>2</v>
      </c>
      <c r="E58" s="171" t="n">
        <v>13</v>
      </c>
      <c r="F58" s="171" t="n">
        <v>0</v>
      </c>
      <c r="G58" s="171" t="n">
        <v>15</v>
      </c>
    </row>
    <row r="59">
      <c r="A59" s="171" t="inlineStr">
        <is>
          <t>Swift Bike</t>
        </is>
      </c>
      <c r="B59" s="171" t="inlineStr">
        <is>
          <t>WeBike</t>
        </is>
      </c>
      <c r="C59" s="171" t="inlineStr">
        <is>
          <t>Bangalore</t>
        </is>
      </c>
      <c r="D59" s="171" t="n">
        <v>0</v>
      </c>
      <c r="E59" s="171" t="n">
        <v>0</v>
      </c>
      <c r="F59" s="171" t="n">
        <v>9</v>
      </c>
      <c r="G59" s="171" t="n">
        <v>9</v>
      </c>
    </row>
    <row r="60">
      <c r="A60" t="inlineStr">
        <is>
          <t>Blu Ruged Ballz</t>
        </is>
      </c>
      <c r="B60" t="inlineStr">
        <is>
          <t>BB LLC</t>
        </is>
      </c>
      <c r="C60" t="inlineStr">
        <is>
          <t>Bangalore</t>
        </is>
      </c>
      <c r="D60" t="n">
        <v>5</v>
      </c>
      <c r="E60" t="n">
        <v>36</v>
      </c>
      <c r="F60" t="n">
        <v>0</v>
      </c>
      <c r="G60" t="n">
        <v>41</v>
      </c>
    </row>
    <row r="61">
      <c r="A61" t="inlineStr">
        <is>
          <t>Blu Aero Ballz</t>
        </is>
      </c>
      <c r="B61" t="inlineStr">
        <is>
          <t>BB LLC</t>
        </is>
      </c>
      <c r="C61" t="inlineStr">
        <is>
          <t>Bangalore</t>
        </is>
      </c>
      <c r="D61" t="n">
        <v>0</v>
      </c>
      <c r="E61" t="n">
        <v>0</v>
      </c>
      <c r="F61" t="n">
        <v>26</v>
      </c>
      <c r="G61" t="n">
        <v>26</v>
      </c>
    </row>
    <row r="62">
      <c r="A62" t="inlineStr">
        <is>
          <t>Blu Tail Ballz</t>
        </is>
      </c>
      <c r="B62" t="inlineStr">
        <is>
          <t>BB LLC</t>
        </is>
      </c>
      <c r="C62" t="inlineStr">
        <is>
          <t>Bangalore</t>
        </is>
      </c>
      <c r="D62" t="n">
        <v>5</v>
      </c>
      <c r="E62" t="n">
        <v>19</v>
      </c>
      <c r="F62" t="n">
        <v>0</v>
      </c>
      <c r="G62" t="n">
        <v>24</v>
      </c>
    </row>
    <row r="63">
      <c r="A63" t="inlineStr">
        <is>
          <t>Blu Tube Ballz</t>
        </is>
      </c>
      <c r="B63" t="inlineStr">
        <is>
          <t>BB LLC</t>
        </is>
      </c>
      <c r="C63" t="inlineStr">
        <is>
          <t>Bangalore</t>
        </is>
      </c>
      <c r="D63" t="n">
        <v>0</v>
      </c>
      <c r="E63" t="n">
        <v>0</v>
      </c>
      <c r="F63" t="n">
        <v>32</v>
      </c>
      <c r="G63" t="n">
        <v>32</v>
      </c>
    </row>
    <row r="64">
      <c r="A64" t="inlineStr">
        <is>
          <t>Spoke'd Easy</t>
        </is>
      </c>
      <c r="B64" t="inlineStr">
        <is>
          <t>Spoke'd Up</t>
        </is>
      </c>
      <c r="C64" t="inlineStr">
        <is>
          <t>Bangalore</t>
        </is>
      </c>
      <c r="D64" t="n">
        <v>17</v>
      </c>
      <c r="E64" t="n">
        <v>0</v>
      </c>
      <c r="F64" t="n">
        <v>0</v>
      </c>
      <c r="G64" t="n">
        <v>17</v>
      </c>
    </row>
    <row r="65">
      <c r="A65" t="inlineStr">
        <is>
          <t>Spoke'd Speed</t>
        </is>
      </c>
      <c r="B65" t="inlineStr">
        <is>
          <t>Spoke'd Up</t>
        </is>
      </c>
      <c r="C65" t="inlineStr">
        <is>
          <t>Bangalore</t>
        </is>
      </c>
      <c r="D65" t="n">
        <v>0</v>
      </c>
      <c r="E65" t="n">
        <v>0</v>
      </c>
      <c r="F65" t="n">
        <v>13</v>
      </c>
      <c r="G65" t="n">
        <v>13</v>
      </c>
    </row>
    <row r="66">
      <c r="A66" t="inlineStr">
        <is>
          <t>The Armstrong</t>
        </is>
      </c>
      <c r="B66" t="inlineStr">
        <is>
          <t>SpaceBikes</t>
        </is>
      </c>
      <c r="C66" t="inlineStr">
        <is>
          <t>Bangalore</t>
        </is>
      </c>
      <c r="D66" t="n">
        <v>0</v>
      </c>
      <c r="E66" t="n">
        <v>0</v>
      </c>
      <c r="F66" t="n">
        <v>50</v>
      </c>
      <c r="G66" t="n">
        <v>50</v>
      </c>
    </row>
    <row r="67">
      <c r="A67" t="inlineStr">
        <is>
          <t>Mars Rover</t>
        </is>
      </c>
      <c r="B67" t="inlineStr">
        <is>
          <t>SpaceBikes</t>
        </is>
      </c>
      <c r="C67" t="inlineStr">
        <is>
          <t>Bangalore</t>
        </is>
      </c>
      <c r="D67" t="n">
        <v>64</v>
      </c>
      <c r="E67" t="n">
        <v>0</v>
      </c>
      <c r="F67" t="n">
        <v>0</v>
      </c>
      <c r="G67" t="n">
        <v>64</v>
      </c>
    </row>
    <row r="68">
      <c r="A68" t="inlineStr">
        <is>
          <t>Whole MILC MKII</t>
        </is>
      </c>
      <c r="B68" t="inlineStr">
        <is>
          <t>MILC Bikes</t>
        </is>
      </c>
      <c r="C68" t="inlineStr">
        <is>
          <t>Bangalore</t>
        </is>
      </c>
      <c r="D68" t="n">
        <v>58</v>
      </c>
      <c r="E68" t="n">
        <v>0</v>
      </c>
      <c r="F68" t="n">
        <v>0</v>
      </c>
      <c r="G68" t="n">
        <v>58</v>
      </c>
    </row>
    <row r="69">
      <c r="A69" t="inlineStr">
        <is>
          <t>Skim MILC MKII</t>
        </is>
      </c>
      <c r="B69" t="inlineStr">
        <is>
          <t>MILC Bikes</t>
        </is>
      </c>
      <c r="C69" t="inlineStr">
        <is>
          <t>Bangalore</t>
        </is>
      </c>
      <c r="D69" t="n">
        <v>0</v>
      </c>
      <c r="E69" t="n">
        <v>0</v>
      </c>
      <c r="F69" t="n">
        <v>42</v>
      </c>
      <c r="G69" t="n">
        <v>42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cols>
    <col width="46" customWidth="1" style="146" min="1" max="1"/>
    <col width="30" customWidth="1" style="146" min="2" max="2"/>
    <col width="30" customWidth="1" style="146" min="3" max="3"/>
    <col width="16" customWidth="1" style="146" min="4" max="4"/>
    <col width="16" customWidth="1" style="146" min="5" max="5"/>
    <col width="16" customWidth="1" style="146" min="6" max="6"/>
    <col width="16" customWidth="1" style="146" min="7" max="7"/>
    <col width="16" customWidth="1" style="146" min="8" max="8"/>
  </cols>
  <sheetData>
    <row r="1">
      <c r="A1" s="169" t="inlineStr">
        <is>
          <t>City-level competitive map and the City #3 decision</t>
        </is>
      </c>
    </row>
    <row r="2">
      <c r="A2" s="170" t="inlineStr">
        <is>
          <t>Amsterdam + New York are 77% of the entire market. We hold 9.9% of Amsterdam and 1.9% of New York, but 34.9% of Rio - the one city where we are the only firm with a store.</t>
        </is>
      </c>
    </row>
    <row r="4">
      <c r="A4" s="166" t="inlineStr">
        <is>
          <t>CITY SIZE &amp; OUR POSITION</t>
        </is>
      </c>
      <c r="B4" s="166" t="inlineStr">
        <is>
          <t>Recreation</t>
        </is>
      </c>
      <c r="C4" s="166" t="inlineStr">
        <is>
          <t>Mountain</t>
        </is>
      </c>
      <c r="D4" s="166" t="inlineStr">
        <is>
          <t>Speed</t>
        </is>
      </c>
      <c r="E4" s="166" t="inlineStr">
        <is>
          <t>Total demand</t>
        </is>
      </c>
      <c r="F4" s="166" t="inlineStr">
        <is>
          <t>% of market</t>
        </is>
      </c>
      <c r="G4" s="166" t="inlineStr">
        <is>
          <t>WeBike units</t>
        </is>
      </c>
      <c r="H4" s="166" t="inlineStr">
        <is>
          <t>WeBike share</t>
        </is>
      </c>
    </row>
    <row r="5">
      <c r="A5" t="inlineStr">
        <is>
          <t>Amsterdam</t>
        </is>
      </c>
      <c r="B5" t="n">
        <v>992</v>
      </c>
      <c r="C5" t="n">
        <v>650</v>
      </c>
      <c r="D5" t="n">
        <v>1343</v>
      </c>
      <c r="E5" t="n">
        <v>2985</v>
      </c>
      <c r="F5" s="10" t="n">
        <v>0.455099862783961</v>
      </c>
      <c r="G5" t="n">
        <v>295</v>
      </c>
      <c r="H5" s="179" t="n">
        <v>0.09882747068676717</v>
      </c>
    </row>
    <row r="6">
      <c r="A6" t="inlineStr">
        <is>
          <t>New York City</t>
        </is>
      </c>
      <c r="B6" t="n">
        <v>664</v>
      </c>
      <c r="C6" t="n">
        <v>495</v>
      </c>
      <c r="D6" t="n">
        <v>880</v>
      </c>
      <c r="E6" t="n">
        <v>2039</v>
      </c>
      <c r="F6" s="10" t="n">
        <v>0.3108705595365147</v>
      </c>
      <c r="G6" t="n">
        <v>38</v>
      </c>
      <c r="H6" s="179" t="n">
        <v>0.01863658656204022</v>
      </c>
    </row>
    <row r="7">
      <c r="A7" t="inlineStr">
        <is>
          <t>Rio de Janeiro</t>
        </is>
      </c>
      <c r="B7" t="n">
        <v>219</v>
      </c>
      <c r="C7" t="n">
        <v>286</v>
      </c>
      <c r="D7" t="n">
        <v>269</v>
      </c>
      <c r="E7" t="n">
        <v>774</v>
      </c>
      <c r="F7" s="10" t="n">
        <v>0.1180057935660924</v>
      </c>
      <c r="G7" t="n">
        <v>270</v>
      </c>
      <c r="H7" s="161" t="n">
        <v>0.3488372093023256</v>
      </c>
    </row>
    <row r="8">
      <c r="A8" t="inlineStr">
        <is>
          <t>Bangalore</t>
        </is>
      </c>
      <c r="B8" t="n">
        <v>185</v>
      </c>
      <c r="C8" t="n">
        <v>190</v>
      </c>
      <c r="D8" t="n">
        <v>386</v>
      </c>
      <c r="E8" t="n">
        <v>761</v>
      </c>
      <c r="F8" s="10" t="n">
        <v>0.1160237841134319</v>
      </c>
      <c r="G8" t="n">
        <v>24</v>
      </c>
      <c r="H8" s="10" t="n">
        <v>0.03153745072273324</v>
      </c>
    </row>
    <row r="9">
      <c r="A9" t="inlineStr">
        <is>
          <t>TOTAL</t>
        </is>
      </c>
      <c r="B9" t="n">
        <v>2060</v>
      </c>
      <c r="C9" t="n">
        <v>1621</v>
      </c>
      <c r="D9" t="n">
        <v>2878</v>
      </c>
      <c r="E9" t="n">
        <v>6559</v>
      </c>
      <c r="F9" s="10" t="n">
        <v>1</v>
      </c>
      <c r="G9" t="n">
        <v>627</v>
      </c>
      <c r="H9" s="10" t="n">
        <v>0.09559384052447019</v>
      </c>
    </row>
    <row r="12">
      <c r="A12" s="166" t="inlineStr">
        <is>
          <t>SHARE BY CITY [%] — who owns what</t>
        </is>
      </c>
      <c r="B12" s="166" t="inlineStr">
        <is>
          <t>Amsterdam</t>
        </is>
      </c>
      <c r="C12" s="166" t="inlineStr">
        <is>
          <t>New York City</t>
        </is>
      </c>
      <c r="D12" s="166" t="inlineStr">
        <is>
          <t>Rio de Janeiro</t>
        </is>
      </c>
      <c r="E12" s="166" t="inlineStr">
        <is>
          <t>Bangalore</t>
        </is>
      </c>
    </row>
    <row r="13">
      <c r="A13" t="inlineStr">
        <is>
          <t>BB LLC</t>
        </is>
      </c>
      <c r="B13" s="10" t="n">
        <v>0.1651591289782245</v>
      </c>
      <c r="C13" s="10" t="n">
        <v>0.3688082393330064</v>
      </c>
      <c r="D13" s="10" t="n">
        <v>0.1795865633074935</v>
      </c>
      <c r="E13" s="10" t="n">
        <v>0.1616294349540079</v>
      </c>
    </row>
    <row r="14">
      <c r="A14" t="inlineStr">
        <is>
          <t>SpaceBikes</t>
        </is>
      </c>
      <c r="B14" s="10" t="n">
        <v>0.1641541038525963</v>
      </c>
      <c r="C14" s="10" t="n">
        <v>0.2815105443845022</v>
      </c>
      <c r="D14" s="10" t="n">
        <v>0.1550387596899225</v>
      </c>
      <c r="E14" s="10" t="n">
        <v>0.1498028909329829</v>
      </c>
    </row>
    <row r="15">
      <c r="A15" t="inlineStr">
        <is>
          <t>LiteCycle</t>
        </is>
      </c>
      <c r="B15" s="10" t="n">
        <v>0.1222780569514238</v>
      </c>
      <c r="C15" s="10" t="n">
        <v>0.07013241785188817</v>
      </c>
      <c r="D15" s="10" t="n">
        <v>0.1369509043927649</v>
      </c>
      <c r="E15" s="10" t="n">
        <v>0.4862023653088042</v>
      </c>
    </row>
    <row r="16">
      <c r="A16" t="inlineStr">
        <is>
          <t>Spoke'd Up</t>
        </is>
      </c>
      <c r="B16" s="10" t="n">
        <v>0.1273031825795645</v>
      </c>
      <c r="C16" s="10" t="n">
        <v>0.2020598332515939</v>
      </c>
      <c r="D16" s="10" t="n">
        <v>0.041343669250646</v>
      </c>
      <c r="E16" s="10" t="n">
        <v>0.03942181340341656</v>
      </c>
    </row>
    <row r="17">
      <c r="A17" t="inlineStr">
        <is>
          <t>MILC Bikes</t>
        </is>
      </c>
      <c r="B17" s="10" t="n">
        <v>0.1581239530988275</v>
      </c>
      <c r="C17" s="10" t="n">
        <v>0.0588523786169691</v>
      </c>
      <c r="D17" s="10" t="n">
        <v>0.1382428940568475</v>
      </c>
      <c r="E17" s="10" t="n">
        <v>0.1314060446780552</v>
      </c>
    </row>
    <row r="18">
      <c r="A18" t="inlineStr">
        <is>
          <t>WeBike</t>
        </is>
      </c>
      <c r="B18" s="180" t="n">
        <v>0.09882747068676717</v>
      </c>
      <c r="C18" s="180" t="n">
        <v>0.01863658656204022</v>
      </c>
      <c r="D18" s="180" t="n">
        <v>0.3488372093023256</v>
      </c>
      <c r="E18" s="180" t="n">
        <v>0.03153745072273324</v>
      </c>
    </row>
    <row r="19">
      <c r="A19" t="inlineStr">
        <is>
          <t>Bike Bros</t>
        </is>
      </c>
      <c r="B19" s="10" t="n">
        <v>0.1641541038525963</v>
      </c>
      <c r="C19" s="10" t="n">
        <v>0</v>
      </c>
      <c r="D19" s="10" t="n">
        <v>0</v>
      </c>
      <c r="E19" s="10" t="n">
        <v>0</v>
      </c>
    </row>
    <row r="22">
      <c r="A22" s="166" t="inlineStr">
        <is>
          <t>INFERRED STORE LOCATIONS (from demand concentration)</t>
        </is>
      </c>
      <c r="B22" s="166" t="inlineStr">
        <is>
          <t>Firms with a store</t>
        </is>
      </c>
      <c r="C22" s="166" t="inlineStr">
        <is>
          <t>City demand</t>
        </is>
      </c>
      <c r="D22" s="166" t="inlineStr">
        <is>
          <t>Read</t>
        </is>
      </c>
    </row>
    <row r="23">
      <c r="A23" t="inlineStr">
        <is>
          <t>Amsterdam</t>
        </is>
      </c>
      <c r="B23" t="inlineStr">
        <is>
          <t>ALL SEVEN</t>
        </is>
      </c>
      <c r="C23" t="n">
        <v>2985</v>
      </c>
      <c r="D23" s="170" t="inlineStr">
        <is>
          <t>Most contested city AND the largest. Nobody exceeds 16.5%.</t>
        </is>
      </c>
    </row>
    <row r="24">
      <c r="A24" t="inlineStr">
        <is>
          <t>New York City</t>
        </is>
      </c>
      <c r="B24" s="167" t="inlineStr">
        <is>
          <t>BB LLC, SpaceBikes, Spoke'd Up</t>
        </is>
      </c>
      <c r="C24" t="n">
        <v>2039</v>
      </c>
      <c r="D24" s="170" t="inlineStr">
        <is>
          <t>2nd largest. We have NO store -&gt; only 1.9% share.</t>
        </is>
      </c>
    </row>
    <row r="25">
      <c r="A25" t="inlineStr">
        <is>
          <t>Rio de Janeiro</t>
        </is>
      </c>
      <c r="B25" s="159" t="inlineStr">
        <is>
          <t>WeBike ONLY</t>
        </is>
      </c>
      <c r="C25" t="n">
        <v>774</v>
      </c>
      <c r="D25" s="170" t="inlineStr">
        <is>
          <t>Uncontested by any rival store -&gt; we take 34.9%.</t>
        </is>
      </c>
    </row>
    <row r="26">
      <c r="A26" t="inlineStr">
        <is>
          <t>Bangalore</t>
        </is>
      </c>
      <c r="B26" t="inlineStr">
        <is>
          <t>LiteCycle ONLY</t>
        </is>
      </c>
      <c r="C26" t="n">
        <v>761</v>
      </c>
      <c r="D26" s="170" t="inlineStr">
        <is>
          <t>Uncontested by others -&gt; LiteCycle takes 48.6%.</t>
        </is>
      </c>
    </row>
    <row r="27">
      <c r="A27" t="inlineStr">
        <is>
          <t>Bike Bros</t>
        </is>
      </c>
      <c r="B27" t="inlineStr">
        <is>
          <t>Amsterdam only (1 store, 0 web)</t>
        </is>
      </c>
      <c r="D27" s="170" t="inlineStr">
        <is>
          <t>Appears in NO other city. Confirms the 1-store read.</t>
        </is>
      </c>
    </row>
    <row r="28">
      <c r="A28" s="168" t="inlineStr">
        <is>
          <t>CAUTION</t>
        </is>
      </c>
      <c r="D28" s="170" t="inlineStr">
        <is>
          <t>Store locations are INFERRED from demand patterns, not reported directly. MILC Bikes is Amsterdam-concentrated but its 2nd store is not identifiable.</t>
        </is>
      </c>
    </row>
    <row r="31">
      <c r="A31" s="166" t="inlineStr">
        <is>
          <t>THE STORE EFFECT — what a local store is worth</t>
        </is>
      </c>
      <c r="B31" s="166" t="inlineStr">
        <is>
          <t>Share with store</t>
        </is>
      </c>
      <c r="C31" s="166" t="inlineStr">
        <is>
          <t>Share without store</t>
        </is>
      </c>
    </row>
    <row r="32">
      <c r="A32" t="inlineStr">
        <is>
          <t>WeBike in Rio (only store in city)</t>
        </is>
      </c>
      <c r="B32" s="161" t="n">
        <v>0.349</v>
      </c>
    </row>
    <row r="33">
      <c r="A33" t="inlineStr">
        <is>
          <t>LiteCycle in Bangalore (only store in city)</t>
        </is>
      </c>
      <c r="B33" s="161" t="n">
        <v>0.486</v>
      </c>
    </row>
    <row r="34">
      <c r="A34" t="inlineStr">
        <is>
          <t>WeBike in Amsterdam (store, 6 rivals)</t>
        </is>
      </c>
      <c r="B34" s="10" t="n">
        <v>0.099</v>
      </c>
    </row>
    <row r="35">
      <c r="A35" t="inlineStr">
        <is>
          <t>WeBike in New York City (no store)</t>
        </is>
      </c>
      <c r="C35" s="179" t="n">
        <v>0.019</v>
      </c>
    </row>
    <row r="36">
      <c r="A36" t="inlineStr">
        <is>
          <t>WeBike in Bangalore (no store)</t>
        </is>
      </c>
      <c r="C36" s="179" t="n">
        <v>0.032</v>
      </c>
    </row>
    <row r="37">
      <c r="A37" t="inlineStr">
        <is>
          <t>Read</t>
        </is>
      </c>
      <c r="B37" s="170" t="inlineStr">
        <is>
          <t>A store is worth roughly 10x the share of web-only coverage (2-3% without, 10-35% with). An UNCONTESTED store is worth 35-49%. This is the highest-leverage decision we have.</t>
        </is>
      </c>
    </row>
    <row r="40">
      <c r="A40" s="166" t="inlineStr">
        <is>
          <t>OUR PRIMARY SEGMENT (Mountain) BY CITY</t>
        </is>
      </c>
      <c r="B40" s="166" t="inlineStr">
        <is>
          <t>Segment size</t>
        </is>
      </c>
      <c r="C40" s="166" t="inlineStr">
        <is>
          <t>WeBike units</t>
        </is>
      </c>
      <c r="D40" s="166" t="inlineStr">
        <is>
          <t>WeBike share</t>
        </is>
      </c>
      <c r="E40" s="166" t="inlineStr">
        <is>
          <t>Leader</t>
        </is>
      </c>
      <c r="F40" s="166" t="inlineStr">
        <is>
          <t>Leader units</t>
        </is>
      </c>
      <c r="G40" s="166" t="inlineStr">
        <is>
          <t>Leader share</t>
        </is>
      </c>
    </row>
    <row r="41">
      <c r="A41" t="inlineStr">
        <is>
          <t>Amsterdam</t>
        </is>
      </c>
      <c r="B41" t="n">
        <v>650</v>
      </c>
      <c r="C41" t="n">
        <v>156</v>
      </c>
      <c r="D41" s="10" t="n">
        <v>0.24</v>
      </c>
      <c r="E41" t="inlineStr">
        <is>
          <t>WeBike</t>
        </is>
      </c>
      <c r="F41" t="n">
        <v>156</v>
      </c>
      <c r="G41" s="10" t="n">
        <v>0.24</v>
      </c>
    </row>
    <row r="42">
      <c r="A42" t="inlineStr">
        <is>
          <t>New York City</t>
        </is>
      </c>
      <c r="B42" t="n">
        <v>495</v>
      </c>
      <c r="C42" t="n">
        <v>23</v>
      </c>
      <c r="D42" s="179" t="n">
        <v>0.04646464646464647</v>
      </c>
      <c r="E42" t="inlineStr">
        <is>
          <t>BB LLC (both brands)</t>
        </is>
      </c>
      <c r="F42" t="n">
        <v>410</v>
      </c>
      <c r="G42" s="10" t="n">
        <v>0.8282828282828283</v>
      </c>
    </row>
    <row r="43">
      <c r="A43" t="inlineStr">
        <is>
          <t>Rio de Janeiro</t>
        </is>
      </c>
      <c r="B43" t="n">
        <v>286</v>
      </c>
      <c r="C43" t="n">
        <v>166</v>
      </c>
      <c r="D43" s="161" t="n">
        <v>0.5804195804195804</v>
      </c>
      <c r="E43" t="inlineStr">
        <is>
          <t>WeBike</t>
        </is>
      </c>
      <c r="F43" t="n">
        <v>166</v>
      </c>
      <c r="G43" s="10" t="n">
        <v>0.5804195804195804</v>
      </c>
    </row>
    <row r="44">
      <c r="A44" t="inlineStr">
        <is>
          <t>Bangalore</t>
        </is>
      </c>
      <c r="B44" t="n">
        <v>190</v>
      </c>
      <c r="C44" t="n">
        <v>13</v>
      </c>
      <c r="D44" s="10" t="n">
        <v>0.06842105263157895</v>
      </c>
      <c r="E44" t="inlineStr">
        <is>
          <t>LiteCycle</t>
        </is>
      </c>
      <c r="F44" t="n">
        <v>122</v>
      </c>
      <c r="G44" s="10" t="n">
        <v>0.6421052631578947</v>
      </c>
    </row>
    <row r="47">
      <c r="A47" s="166" t="inlineStr">
        <is>
          <t>CITY #3 DECISION — New York City vs Bangalore</t>
        </is>
      </c>
      <c r="B47" s="166" t="inlineStr">
        <is>
          <t>New York City</t>
        </is>
      </c>
      <c r="C47" s="166" t="inlineStr">
        <is>
          <t>Bangalore</t>
        </is>
      </c>
    </row>
    <row r="48">
      <c r="A48" t="inlineStr">
        <is>
          <t>Total city demand (Q3)</t>
        </is>
      </c>
      <c r="B48" t="n">
        <v>2039</v>
      </c>
      <c r="C48" t="n">
        <v>761</v>
      </c>
    </row>
    <row r="49">
      <c r="A49" t="inlineStr">
        <is>
          <t>Share of total market</t>
        </is>
      </c>
      <c r="B49" s="10">
        <f>B48/6559</f>
        <v/>
      </c>
      <c r="C49" s="10">
        <f>C48/6559</f>
        <v/>
      </c>
    </row>
    <row r="50">
      <c r="A50" t="inlineStr">
        <is>
          <t>Rival stores already there</t>
        </is>
      </c>
      <c r="B50" t="n">
        <v>3</v>
      </c>
      <c r="C50" t="n">
        <v>1</v>
      </c>
    </row>
    <row r="51">
      <c r="A51" t="inlineStr">
        <is>
          <t>Our current share (web only)</t>
        </is>
      </c>
      <c r="B51" s="10" t="n">
        <v>0.019</v>
      </c>
      <c r="C51" s="10" t="n">
        <v>0.032</v>
      </c>
    </row>
    <row r="52">
      <c r="A52" t="inlineStr">
        <is>
          <t>Mountain segment size</t>
        </is>
      </c>
      <c r="B52" t="n">
        <v>495</v>
      </c>
      <c r="C52" t="n">
        <v>190</v>
      </c>
    </row>
    <row r="53">
      <c r="A53" t="inlineStr">
        <is>
          <t>Mountain leader hold</t>
        </is>
      </c>
      <c r="B53" t="inlineStr">
        <is>
          <t>BB LLC 82.8%</t>
        </is>
      </c>
      <c r="C53" t="inlineStr">
        <is>
          <t>LiteCycle 64.2%</t>
        </is>
      </c>
    </row>
    <row r="54">
      <c r="A54" t="inlineStr">
        <is>
          <t>Speed segment size</t>
        </is>
      </c>
      <c r="B54" t="n">
        <v>880</v>
      </c>
      <c r="C54" t="n">
        <v>386</v>
      </c>
    </row>
    <row r="55">
      <c r="A55" t="inlineStr">
        <is>
          <t>Recreation segment size (untapped)</t>
        </is>
      </c>
      <c r="B55" t="n">
        <v>664</v>
      </c>
      <c r="C55" t="n">
        <v>185</v>
      </c>
    </row>
    <row r="56">
      <c r="A56" t="inlineStr">
        <is>
          <t>Units at a conservative 10% share</t>
        </is>
      </c>
      <c r="B56">
        <f>B48*0.10</f>
        <v/>
      </c>
      <c r="C56">
        <f>C48*0.10</f>
        <v/>
      </c>
    </row>
    <row r="57">
      <c r="A57" t="inlineStr">
        <is>
          <t>Units at a Rio-like 25% share</t>
        </is>
      </c>
      <c r="B57">
        <f>B48*0.25</f>
        <v/>
      </c>
      <c r="C57">
        <f>C48*0.25</f>
        <v/>
      </c>
    </row>
    <row r="58">
      <c r="A58" t="inlineStr">
        <is>
          <t>VERDICT</t>
        </is>
      </c>
      <c r="B58" s="181" t="inlineStr">
        <is>
          <t>LARGER PRIZE — 2.7x the demand. Even at a weak 10% it beats Bangalore at 25%. Fits our locked 'largest geos even if expensive' strategy.</t>
        </is>
      </c>
      <c r="C58" s="170" t="inlineStr">
        <is>
          <t>SAFER but SMALLER — only LiteCycle to fight, yet the whole city is worth less than NYC's Speed segment alone.</t>
        </is>
      </c>
    </row>
    <row r="61">
      <c r="A61" s="166" t="inlineStr">
        <is>
          <t>CAPACITY CHECK — can we even serve a 3rd city?</t>
        </is>
      </c>
      <c r="B61" s="166" t="inlineStr">
        <is>
          <t>Units</t>
        </is>
      </c>
    </row>
    <row r="62">
      <c r="A62" t="inlineStr">
        <is>
          <t>Fixed capacity per day</t>
        </is>
      </c>
      <c r="B62" t="n">
        <v>24</v>
      </c>
    </row>
    <row r="63">
      <c r="A63" t="inlineStr">
        <is>
          <t>Days per quarter</t>
        </is>
      </c>
      <c r="B63" t="n">
        <v>65</v>
      </c>
    </row>
    <row r="64">
      <c r="A64" t="inlineStr">
        <is>
          <t>Theoretical max units</t>
        </is>
      </c>
      <c r="B64">
        <f>B62*B63</f>
        <v/>
      </c>
    </row>
    <row r="65">
      <c r="A65" t="inlineStr">
        <is>
          <t>At 74% worker productivity</t>
        </is>
      </c>
      <c r="B65">
        <f>B64*0.74</f>
        <v/>
      </c>
    </row>
    <row r="66">
      <c r="A66" t="inlineStr">
        <is>
          <t>Q4 forecast demand (existing cities, after ill will)</t>
        </is>
      </c>
      <c r="B66" t="n">
        <v>656</v>
      </c>
    </row>
    <row r="67">
      <c r="A67" t="inlineStr">
        <is>
          <t>Headroom for a new city</t>
        </is>
      </c>
      <c r="B67" s="159">
        <f>B65-B66</f>
        <v/>
      </c>
    </row>
    <row r="68">
      <c r="A68" t="inlineStr">
        <is>
          <t>Read</t>
        </is>
      </c>
      <c r="B68" s="170" t="inlineStr">
        <is>
          <t>We can absorb roughly 500 more units without buying a printer. A New York store at 10% (~204 units) fits comfortably. DO NOT repeat Q3 - schedule the operating capacity to match.</t>
        </is>
      </c>
    </row>
    <row r="71">
      <c r="A71" s="166" t="inlineStr">
        <is>
          <t>RISKS &amp; PROTECTIONS</t>
        </is>
      </c>
      <c r="B71" s="166" t="inlineStr">
        <is>
          <t>Note</t>
        </is>
      </c>
    </row>
    <row r="72">
      <c r="A72" t="inlineStr">
        <is>
          <t>Rio is our crown jewel</t>
        </is>
      </c>
      <c r="B72" s="174" t="inlineStr">
        <is>
          <t>58.0% of Rio Mountain and 34.9% of the city. Hike Bike's single best market (166 Mountain units, more than Amsterdam's 156). The Q3 stock-out damaged our strongest position - ill will bites hardest exactly where we lead.</t>
        </is>
      </c>
    </row>
    <row r="73">
      <c r="A73" t="inlineStr">
        <is>
          <t>Amsterdam is the biggest miss</t>
        </is>
      </c>
      <c r="B73" s="170" t="inlineStr">
        <is>
          <t>2,985 units = 45.5% of the market and we hold only 9.9%. Adding sales coverage here may be cheaper per unit than a new city, and no rival exceeds 16.5% - it is genuinely open.</t>
        </is>
      </c>
    </row>
    <row r="74">
      <c r="A74" t="inlineStr">
        <is>
          <t>New York is BB LLC's fortress</t>
        </is>
      </c>
      <c r="B74" s="170" t="inlineStr">
        <is>
          <t>They take 36.9% of the city and 82.8% of its Mountain. Attack via SPEED (880 units, no single firm dominant) and Recreation, not head-on in Mountain.</t>
        </is>
      </c>
    </row>
    <row r="75">
      <c r="A75" t="inlineStr">
        <is>
          <t>Bangalore is LiteCycle's fortress</t>
        </is>
      </c>
      <c r="B75" s="170" t="inlineStr">
        <is>
          <t>48.6% city share, 64.2% of its Mountain - the most concentrated position any firm holds in any city.</t>
        </is>
      </c>
    </row>
    <row r="76">
      <c r="A76" t="inlineStr">
        <is>
          <t>Do not spread too thin</t>
        </is>
      </c>
      <c r="B76" s="170" t="inlineStr">
        <is>
          <t>Bike Bros ran 5 brands from 1 store and finished last. Our constraint is supply and coverage depth, not map coverage.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74"/>
  <sheetViews>
    <sheetView workbookViewId="0">
      <selection activeCell="A1" sqref="A1"/>
    </sheetView>
  </sheetViews>
  <sheetFormatPr baseColWidth="8" defaultRowHeight="15"/>
  <cols>
    <col width="50" customWidth="1" style="146" min="1" max="1"/>
    <col width="20" customWidth="1" style="146" min="2" max="2"/>
    <col width="56" customWidth="1" style="146" min="3" max="3"/>
    <col width="15" customWidth="1" style="146" min="4" max="4"/>
    <col width="15" customWidth="1" style="146" min="5" max="5"/>
    <col width="15" customWidth="1" style="146" min="6" max="6"/>
    <col width="15" customWidth="1" style="146" min="7" max="7"/>
    <col width="15" customWidth="1" style="146" min="8" max="8"/>
    <col width="15" customWidth="1" style="146" min="9" max="9"/>
    <col width="15" customWidth="1" style="146" min="10" max="10"/>
  </cols>
  <sheetData>
    <row r="1">
      <c r="A1" s="169" t="inlineStr">
        <is>
          <t>Demand Distribution by Channel — Q3 actual</t>
        </is>
      </c>
    </row>
    <row r="2">
      <c r="A2" s="170" t="inlineStr">
        <is>
          <t>We cut web staff and spend in Q3. This is the bill: 120 web units, the lowest of any firm that operates a web centre, and 19.1% web mix against an industry average of 34.9%.</t>
        </is>
      </c>
    </row>
    <row r="4">
      <c r="A4" s="166" t="inlineStr">
        <is>
          <t>Company</t>
        </is>
      </c>
      <c r="B4" s="166" t="inlineStr">
        <is>
          <t>Store demand</t>
        </is>
      </c>
      <c r="C4" s="166" t="inlineStr">
        <is>
          <t>Store %</t>
        </is>
      </c>
      <c r="D4" s="166" t="inlineStr">
        <is>
          <t>Web demand</t>
        </is>
      </c>
      <c r="E4" s="166" t="inlineStr">
        <is>
          <t>Web %</t>
        </is>
      </c>
      <c r="F4" s="166" t="inlineStr">
        <is>
          <t>Total demand</t>
        </is>
      </c>
      <c r="G4" s="166" t="inlineStr">
        <is>
          <t>Stores</t>
        </is>
      </c>
      <c r="H4" s="166" t="inlineStr">
        <is>
          <t>Demand / store</t>
        </is>
      </c>
      <c r="I4" s="166" t="inlineStr">
        <is>
          <t>Web centres</t>
        </is>
      </c>
      <c r="J4" s="166" t="inlineStr">
        <is>
          <t>Demand / web centre</t>
        </is>
      </c>
    </row>
    <row r="5">
      <c r="A5" t="inlineStr">
        <is>
          <t>BB LLC</t>
        </is>
      </c>
      <c r="B5" t="n">
        <v>938</v>
      </c>
      <c r="C5" s="10" t="n">
        <v>0.6224286662242866</v>
      </c>
      <c r="D5" t="n">
        <v>569</v>
      </c>
      <c r="E5" s="10" t="n">
        <v>0.3775713337757133</v>
      </c>
      <c r="F5" t="n">
        <v>1507</v>
      </c>
      <c r="G5" t="n">
        <v>2</v>
      </c>
      <c r="H5" s="182" t="n">
        <v>469</v>
      </c>
      <c r="I5" t="n">
        <v>1</v>
      </c>
      <c r="J5" s="182" t="n">
        <v>569</v>
      </c>
    </row>
    <row r="6">
      <c r="A6" t="inlineStr">
        <is>
          <t>SpaceBikes</t>
        </is>
      </c>
      <c r="B6" t="n">
        <v>807</v>
      </c>
      <c r="C6" s="10" t="n">
        <v>0.6217257318952234</v>
      </c>
      <c r="D6" t="n">
        <v>491</v>
      </c>
      <c r="E6" s="10" t="n">
        <v>0.3782742681047766</v>
      </c>
      <c r="F6" t="n">
        <v>1298</v>
      </c>
      <c r="G6" t="n">
        <v>2</v>
      </c>
      <c r="H6" s="182" t="n">
        <v>403.5</v>
      </c>
      <c r="I6" t="n">
        <v>1</v>
      </c>
      <c r="J6" s="182" t="n">
        <v>491</v>
      </c>
    </row>
    <row r="7">
      <c r="A7" t="inlineStr">
        <is>
          <t>LiteCycle</t>
        </is>
      </c>
      <c r="B7" t="n">
        <v>549</v>
      </c>
      <c r="C7" s="10" t="n">
        <v>0.5579268292682927</v>
      </c>
      <c r="D7" t="n">
        <v>435</v>
      </c>
      <c r="E7" s="10" t="n">
        <v>0.4420731707317073</v>
      </c>
      <c r="F7" t="n">
        <v>984</v>
      </c>
      <c r="G7" t="n">
        <v>2</v>
      </c>
      <c r="H7" s="182" t="n">
        <v>274.5</v>
      </c>
      <c r="I7" t="n">
        <v>1</v>
      </c>
      <c r="J7" s="182" t="n">
        <v>435</v>
      </c>
    </row>
    <row r="8">
      <c r="A8" t="inlineStr">
        <is>
          <t>Spoke'd Up</t>
        </is>
      </c>
      <c r="B8" t="n">
        <v>716</v>
      </c>
      <c r="C8" s="10" t="n">
        <v>0.8384074941451991</v>
      </c>
      <c r="D8" t="n">
        <v>138</v>
      </c>
      <c r="E8" s="10" t="n">
        <v>0.1615925058548009</v>
      </c>
      <c r="F8" t="n">
        <v>854</v>
      </c>
      <c r="G8" t="n">
        <v>2</v>
      </c>
      <c r="H8" s="182" t="n">
        <v>358</v>
      </c>
      <c r="I8" t="n">
        <v>1</v>
      </c>
      <c r="J8" s="182" t="n">
        <v>138</v>
      </c>
    </row>
    <row r="9">
      <c r="A9" t="inlineStr">
        <is>
          <t>MILC Bikes</t>
        </is>
      </c>
      <c r="B9" t="n">
        <v>364</v>
      </c>
      <c r="C9" s="10" t="n">
        <v>0.4555694618272841</v>
      </c>
      <c r="D9" t="n">
        <v>435</v>
      </c>
      <c r="E9" s="10" t="n">
        <v>0.5444305381727159</v>
      </c>
      <c r="F9" t="n">
        <v>799</v>
      </c>
      <c r="G9" t="n">
        <v>1</v>
      </c>
      <c r="H9" s="182" t="n">
        <v>364</v>
      </c>
      <c r="I9" t="n">
        <v>1</v>
      </c>
      <c r="J9" s="182" t="n">
        <v>435</v>
      </c>
    </row>
    <row r="10">
      <c r="A10" s="171" t="inlineStr">
        <is>
          <t>WeBike</t>
        </is>
      </c>
      <c r="B10" s="171" t="n">
        <v>507</v>
      </c>
      <c r="C10" s="183" t="n">
        <v>0.8086124401913876</v>
      </c>
      <c r="D10" s="171" t="n">
        <v>120</v>
      </c>
      <c r="E10" s="183" t="n">
        <v>0.1913875598086124</v>
      </c>
      <c r="F10" s="171" t="n">
        <v>627</v>
      </c>
      <c r="G10" s="171" t="n">
        <v>2</v>
      </c>
      <c r="H10" s="184" t="n">
        <v>253.5</v>
      </c>
      <c r="I10" s="171" t="n">
        <v>1</v>
      </c>
      <c r="J10" s="184" t="n">
        <v>120</v>
      </c>
    </row>
    <row r="11">
      <c r="A11" t="inlineStr">
        <is>
          <t>Bike Bros</t>
        </is>
      </c>
      <c r="B11" t="n">
        <v>490</v>
      </c>
      <c r="C11" s="10" t="n">
        <v>1</v>
      </c>
      <c r="D11" t="n">
        <v>0</v>
      </c>
      <c r="E11" s="10" t="n">
        <v>0</v>
      </c>
      <c r="F11" t="n">
        <v>490</v>
      </c>
      <c r="G11" t="n">
        <v>1</v>
      </c>
      <c r="H11" s="182" t="n">
        <v>490</v>
      </c>
      <c r="I11" t="n">
        <v>0</v>
      </c>
      <c r="J11" s="182" t="n">
        <v>0</v>
      </c>
    </row>
    <row r="14">
      <c r="A14" s="166" t="inlineStr">
        <is>
          <t>OUR CHANNEL MIX vs INDUSTRY</t>
        </is>
      </c>
      <c r="B14" s="166" t="inlineStr">
        <is>
          <t>Value</t>
        </is>
      </c>
      <c r="C14" s="166" t="inlineStr">
        <is>
          <t>Note</t>
        </is>
      </c>
    </row>
    <row r="15">
      <c r="A15" t="inlineStr">
        <is>
          <t>WeBike web mix [%]</t>
        </is>
      </c>
      <c r="B15" s="179" t="n">
        <v>0.191</v>
      </c>
      <c r="C15" s="170" t="inlineStr">
        <is>
          <t>we CUT web staff and spend in Q3</t>
        </is>
      </c>
    </row>
    <row r="16">
      <c r="A16" t="inlineStr">
        <is>
          <t>Industry average web mix [%] (firms with a web centre)</t>
        </is>
      </c>
      <c r="B16" s="10" t="n">
        <v>0.3492215627413878</v>
      </c>
      <c r="C16" s="170" t="inlineStr">
        <is>
          <t>MILC 54.4% - LiteCycle 44.2% - BB LLC 37.8% - SpaceBikes 37.8%</t>
        </is>
      </c>
    </row>
    <row r="17">
      <c r="A17" t="inlineStr">
        <is>
          <t>Gap [pct points]</t>
        </is>
      </c>
      <c r="B17" s="10">
        <f>C16-C15</f>
        <v/>
      </c>
      <c r="C17" s="170" t="n"/>
    </row>
    <row r="18">
      <c r="A18" t="inlineStr">
        <is>
          <t>WeBike web demand [units]</t>
        </is>
      </c>
      <c r="B18" s="167" t="n">
        <v>120</v>
      </c>
      <c r="C18" s="170" t="inlineStr">
        <is>
          <t>LOWEST of any firm operating a web centre</t>
        </is>
      </c>
    </row>
    <row r="19">
      <c r="A19" t="inlineStr">
        <is>
          <t>Industry web demand range</t>
        </is>
      </c>
      <c r="B19" t="inlineStr">
        <is>
          <t>138 - 569</t>
        </is>
      </c>
      <c r="C19" s="170" t="inlineStr">
        <is>
          <t>Spoke'd Up 138 is the only firm near us</t>
        </is>
      </c>
    </row>
    <row r="20">
      <c r="A20" t="inlineStr">
        <is>
          <t>Rank on web demand</t>
        </is>
      </c>
      <c r="B20" t="inlineStr">
        <is>
          <t>6 of 7</t>
        </is>
      </c>
      <c r="C20" s="170" t="inlineStr">
        <is>
          <t>only Bike Bros is lower, and it has NO web centre</t>
        </is>
      </c>
    </row>
    <row r="23">
      <c r="A23" s="166" t="inlineStr">
        <is>
          <t>WHY WEB MATTERS MORE THAN WE THOUGHT</t>
        </is>
      </c>
      <c r="B23" s="166" t="inlineStr">
        <is>
          <t>Units</t>
        </is>
      </c>
      <c r="C23" s="166" t="inlineStr">
        <is>
          <t>Note</t>
        </is>
      </c>
    </row>
    <row r="24">
      <c r="A24" t="inlineStr">
        <is>
          <t>Our demand from New York City (no store)</t>
        </is>
      </c>
      <c r="B24" t="n">
        <v>38</v>
      </c>
      <c r="C24" s="170" t="inlineStr">
        <is>
          <t>web only</t>
        </is>
      </c>
    </row>
    <row r="25">
      <c r="A25" t="inlineStr">
        <is>
          <t>Our demand from Bangalore (no store)</t>
        </is>
      </c>
      <c r="B25" t="n">
        <v>24</v>
      </c>
      <c r="C25" s="170" t="inlineStr">
        <is>
          <t>web only</t>
        </is>
      </c>
    </row>
    <row r="26">
      <c r="A26" t="inlineStr">
        <is>
          <t>Subtotal from cities where we have NO store</t>
        </is>
      </c>
      <c r="B26">
        <f>B24+B25</f>
        <v/>
      </c>
      <c r="C26" s="170" t="n"/>
    </row>
    <row r="27">
      <c r="A27" t="inlineStr">
        <is>
          <t>Total web demand</t>
        </is>
      </c>
      <c r="B27" t="n">
        <v>120</v>
      </c>
      <c r="C27" s="170" t="n"/>
    </row>
    <row r="28">
      <c r="A28" t="inlineStr">
        <is>
          <t>Share of web demand coming from non-store cities</t>
        </is>
      </c>
      <c r="B28" s="10">
        <f>B26/B27</f>
        <v/>
      </c>
      <c r="C28" s="170" t="n"/>
    </row>
    <row r="29">
      <c r="A29" t="inlineStr">
        <is>
          <t>Store demand (Amsterdam + Rio)</t>
        </is>
      </c>
      <c r="B29" t="n">
        <v>507</v>
      </c>
      <c r="C29" s="170" t="n"/>
    </row>
    <row r="30">
      <c r="A30" t="inlineStr">
        <is>
          <t>Amsterdam + Rio total demand</t>
        </is>
      </c>
      <c r="B30" t="n">
        <v>565</v>
      </c>
      <c r="C30" s="170" t="inlineStr">
        <is>
          <t>so 58 units of web demand also came from store cities</t>
        </is>
      </c>
    </row>
    <row r="31">
      <c r="A31" t="inlineStr">
        <is>
          <t>CHECK</t>
        </is>
      </c>
      <c r="B31">
        <f>B30-B29</f>
        <v/>
      </c>
      <c r="C31" s="170" t="inlineStr">
        <is>
          <t>58 = web demand inside store cities; 58 + 62 = 120 web total</t>
        </is>
      </c>
    </row>
    <row r="32">
      <c r="A32" t="inlineStr">
        <is>
          <t>Read</t>
        </is>
      </c>
      <c r="C32" s="174" t="inlineStr">
        <is>
          <t>The web centre is HALF our reach into cities where we have no store. It is the only way to touch New York and Bangalore today, and we shrank it.</t>
        </is>
      </c>
    </row>
    <row r="35">
      <c r="A35" s="166" t="inlineStr">
        <is>
          <t>THE WEB REBUILD CASE</t>
        </is>
      </c>
      <c r="B35" s="166" t="inlineStr">
        <is>
          <t>Value</t>
        </is>
      </c>
      <c r="C35" s="166" t="inlineStr">
        <is>
          <t>Note</t>
        </is>
      </c>
    </row>
    <row r="36">
      <c r="A36" t="inlineStr">
        <is>
          <t>Current store demand [units]</t>
        </is>
      </c>
      <c r="B36" t="n">
        <v>507</v>
      </c>
      <c r="C36" s="170" t="inlineStr">
        <is>
          <t>hold constant</t>
        </is>
      </c>
    </row>
    <row r="37">
      <c r="A37" t="inlineStr">
        <is>
          <t>Current web demand [units]</t>
        </is>
      </c>
      <c r="B37" t="n">
        <v>120</v>
      </c>
      <c r="C37" s="170" t="n"/>
    </row>
    <row r="38">
      <c r="A38" t="inlineStr">
        <is>
          <t>Current total</t>
        </is>
      </c>
      <c r="B38">
        <f>B36+B37</f>
        <v/>
      </c>
      <c r="C38" s="170" t="n"/>
    </row>
    <row r="39">
      <c r="A39" t="inlineStr">
        <is>
          <t>If web mix matched industry average (34.9%)</t>
        </is>
      </c>
      <c r="C39" s="170" t="n"/>
    </row>
    <row r="40">
      <c r="A40" t="inlineStr">
        <is>
          <t xml:space="preserve">  implied total demand</t>
        </is>
      </c>
      <c r="B40">
        <f>B36/(1-0.3492)</f>
        <v/>
      </c>
      <c r="C40" s="170" t="inlineStr">
        <is>
          <t>store demand becomes 65.1% of total</t>
        </is>
      </c>
    </row>
    <row r="41">
      <c r="A41" t="inlineStr">
        <is>
          <t xml:space="preserve">  implied web demand</t>
        </is>
      </c>
      <c r="B41">
        <f>B41-B36</f>
        <v/>
      </c>
      <c r="C41" s="170" t="n"/>
    </row>
    <row r="42">
      <c r="A42" t="inlineStr">
        <is>
          <t xml:space="preserve">  ADDITIONAL demand vs today</t>
        </is>
      </c>
      <c r="B42">
        <f>B42-B37</f>
        <v/>
      </c>
      <c r="C42" s="170" t="n"/>
    </row>
    <row r="43">
      <c r="A43" t="inlineStr">
        <is>
          <t>Contribution per unit (Q3 actual, avg)</t>
        </is>
      </c>
      <c r="B43" t="n">
        <v>750</v>
      </c>
      <c r="C43" s="170" t="inlineStr">
        <is>
          <t>Hike Bike $747 / Swift Bike $756</t>
        </is>
      </c>
    </row>
    <row r="44">
      <c r="A44" t="inlineStr">
        <is>
          <t>Gross margin opportunity</t>
        </is>
      </c>
      <c r="B44">
        <f>B43*B44</f>
        <v/>
      </c>
      <c r="C44" s="170" t="n"/>
    </row>
    <row r="45">
      <c r="A45" t="inlineStr">
        <is>
          <t>Cost of ~4 additional web staff per quarter</t>
        </is>
      </c>
      <c r="B45" s="159" t="n">
        <v>24425</v>
      </c>
      <c r="C45" s="170" t="inlineStr">
        <is>
          <t>$24,425/yr each = ~$6,106/qtr x 4</t>
        </is>
      </c>
    </row>
    <row r="46">
      <c r="A46" t="inlineStr">
        <is>
          <t>Net quarterly gain</t>
        </is>
      </c>
      <c r="B46">
        <f>B45-B46</f>
        <v/>
      </c>
      <c r="C46" s="170" t="n"/>
    </row>
    <row r="47">
      <c r="A47" t="inlineStr">
        <is>
          <t>Read</t>
        </is>
      </c>
      <c r="B47" s="172" t="n"/>
      <c r="C47" s="170" t="inlineStr">
        <is>
          <t>Web headcount is the cheapest demand in the game: no lease, no store setup, and it reaches all four cities. This is a far better first dollar than a third store.</t>
        </is>
      </c>
    </row>
    <row r="48">
      <c r="C48" s="170" t="n"/>
    </row>
    <row r="50">
      <c r="A50" s="166" t="inlineStr">
        <is>
          <t>STORE PRODUCTIVITY — we under-staff what we own</t>
        </is>
      </c>
      <c r="B50" s="166" t="inlineStr">
        <is>
          <t>Demand / store</t>
        </is>
      </c>
      <c r="C50" s="166" t="inlineStr">
        <is>
          <t>Note</t>
        </is>
      </c>
    </row>
    <row r="51">
      <c r="A51" t="inlineStr">
        <is>
          <t>Bike Bros</t>
        </is>
      </c>
      <c r="B51" t="n">
        <v>490</v>
      </c>
      <c r="C51" s="170" t="inlineStr">
        <is>
          <t>ONE store, highest per-store demand in the industry</t>
        </is>
      </c>
    </row>
    <row r="52">
      <c r="A52" t="inlineStr">
        <is>
          <t>BB LLC</t>
        </is>
      </c>
      <c r="B52" t="n">
        <v>469</v>
      </c>
      <c r="C52" s="170" t="inlineStr">
        <is>
          <t>leader</t>
        </is>
      </c>
    </row>
    <row r="53">
      <c r="A53" t="inlineStr">
        <is>
          <t>SpaceBikes</t>
        </is>
      </c>
      <c r="B53" t="n">
        <v>404</v>
      </c>
      <c r="C53" s="170" t="n"/>
    </row>
    <row r="54">
      <c r="A54" t="inlineStr">
        <is>
          <t>Spoke'd Up</t>
        </is>
      </c>
      <c r="B54" t="n">
        <v>358</v>
      </c>
      <c r="C54" s="170" t="n"/>
    </row>
    <row r="55">
      <c r="A55" t="inlineStr">
        <is>
          <t>LiteCycle</t>
        </is>
      </c>
      <c r="B55" t="n">
        <v>275</v>
      </c>
      <c r="C55" s="170" t="n"/>
    </row>
    <row r="56">
      <c r="A56" t="inlineStr">
        <is>
          <t>WeBike</t>
        </is>
      </c>
      <c r="B56" s="167" t="n">
        <v>254</v>
      </c>
      <c r="C56" s="170" t="inlineStr">
        <is>
          <t>LOWEST of the two-store firms</t>
        </is>
      </c>
    </row>
    <row r="57">
      <c r="A57" t="inlineStr">
        <is>
          <t>MILC Bikes</t>
        </is>
      </c>
      <c r="B57" t="n">
        <v>364</v>
      </c>
      <c r="C57" s="170" t="inlineStr">
        <is>
          <t>web-first model; Amsterdam store base</t>
        </is>
      </c>
    </row>
    <row r="58">
      <c r="A58" t="inlineStr">
        <is>
          <t>Read</t>
        </is>
      </c>
      <c r="C58" s="170" t="inlineStr">
        <is>
          <t>BB LLC pulls 1.8x our demand from the same number of stores. Depth inside Amsterdam and Rio is unfinished business before we add a third location.</t>
        </is>
      </c>
    </row>
    <row r="61">
      <c r="A61" s="166" t="inlineStr">
        <is>
          <t>CHANNEL MODELS IN THIS INDUSTRY</t>
        </is>
      </c>
      <c r="B61" s="166" t="inlineStr">
        <is>
          <t>Profile</t>
        </is>
      </c>
      <c r="C61" s="166" t="inlineStr">
        <is>
          <t>Result</t>
        </is>
      </c>
    </row>
    <row r="62">
      <c r="A62" t="inlineStr">
        <is>
          <t>Web-first</t>
        </is>
      </c>
      <c r="B62" t="inlineStr">
        <is>
          <t>MILC Bikes - 54.4% web, lowest store demand (364)</t>
        </is>
      </c>
      <c r="C62" s="170" t="inlineStr">
        <is>
          <t>12.2% share on 1 store base</t>
        </is>
      </c>
    </row>
    <row r="63">
      <c r="A63" t="inlineStr">
        <is>
          <t>Balanced</t>
        </is>
      </c>
      <c r="B63" t="inlineStr">
        <is>
          <t>LiteCycle 44.2% - BB LLC 37.8% - SpaceBikes 37.8%</t>
        </is>
      </c>
      <c r="C63" s="181" t="inlineStr">
        <is>
          <t>the three strongest firms sit here</t>
        </is>
      </c>
    </row>
    <row r="64">
      <c r="A64" t="inlineStr">
        <is>
          <t>Store-heavy</t>
        </is>
      </c>
      <c r="B64" t="inlineStr">
        <is>
          <t>Spoke'd Up 83.8% - WeBike 80.9%</t>
        </is>
      </c>
      <c r="C64" s="170" t="inlineStr">
        <is>
          <t>13.0% and 9.6% share</t>
        </is>
      </c>
    </row>
    <row r="65">
      <c r="A65" t="inlineStr">
        <is>
          <t>Store-only</t>
        </is>
      </c>
      <c r="B65" t="inlineStr">
        <is>
          <t>Bike Bros 100% store, no web centre</t>
        </is>
      </c>
      <c r="C65" s="185" t="inlineStr">
        <is>
          <t>7.5% share, LAST, falling everywhere</t>
        </is>
      </c>
    </row>
    <row r="66">
      <c r="A66" t="inlineStr">
        <is>
          <t>Read</t>
        </is>
      </c>
      <c r="C66" s="170" t="inlineStr">
        <is>
          <t>The top three firms all run 38-44% web. Store-only is last. We are 80.9% store-heavy and drifting toward the Bike Bros failure mode.</t>
        </is>
      </c>
    </row>
    <row r="69">
      <c r="A69" s="166" t="inlineStr">
        <is>
          <t>Q4 CHANNEL ACTIONS</t>
        </is>
      </c>
      <c r="B69" s="166" t="inlineStr">
        <is>
          <t>Decision</t>
        </is>
      </c>
    </row>
    <row r="70">
      <c r="A70" t="inlineStr">
        <is>
          <t>1. Reverse the Q3 web cut</t>
        </is>
      </c>
      <c r="B70" s="174" t="inlineStr">
        <is>
          <t>Rehire web sales + support toward 6 people. Cheapest demand available: no lease, no setup, reaches all 4 cities.</t>
        </is>
      </c>
    </row>
    <row r="71">
      <c r="A71" t="inlineStr">
        <is>
          <t>2. Restart page upgrades</t>
        </is>
      </c>
      <c r="B71" s="174" t="inlineStr">
        <is>
          <t>We stopped this tactic in Q3. Toll-free stayed on. Both were cheap (~$3k and ~$6k/qtr) relative to ~$750 contribution per unit.</t>
        </is>
      </c>
    </row>
    <row r="72">
      <c r="A72" t="inlineStr">
        <is>
          <t>3. Deepen Amsterdam + Rio</t>
        </is>
      </c>
      <c r="B72" s="174" t="inlineStr">
        <is>
          <t>254 demand/store vs BB LLC's 469. Add store sales staff before adding a third city - same money, faster payback.</t>
        </is>
      </c>
    </row>
    <row r="73">
      <c r="A73" t="inlineStr">
        <is>
          <t>4. Re-evaluate city #3 order</t>
        </is>
      </c>
      <c r="B73" s="174" t="inlineStr">
        <is>
          <t>Web already reaches New York (38 units). A store there is still the biggest prize, but web staff + store depth may be the better FIRST dollar this quarter.</t>
        </is>
      </c>
    </row>
    <row r="74">
      <c r="A74" t="inlineStr">
        <is>
          <t>5. Never cut channel again</t>
        </is>
      </c>
      <c r="B74" s="174" t="inlineStr">
        <is>
          <t>Bike Bros is the control group: 100% store, no web, last place, share falling in all three segments.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48" customWidth="1" style="146" min="1" max="1"/>
    <col width="34" customWidth="1" style="146" min="2" max="2"/>
    <col width="46" customWidth="1" style="146" min="3" max="3"/>
    <col width="15" customWidth="1" style="146" min="4" max="4"/>
    <col width="15" customWidth="1" style="146" min="5" max="5"/>
    <col width="15" customWidth="1" style="146" min="6" max="6"/>
    <col width="15" customWidth="1" style="146" min="7" max="7"/>
    <col width="15" customWidth="1" style="146" min="8" max="8"/>
  </cols>
  <sheetData>
    <row r="1">
      <c r="A1" s="169" t="inlineStr">
        <is>
          <t>Competitors in City — CONFIRMED footprints, Q3</t>
        </is>
      </c>
    </row>
    <row r="2">
      <c r="A2" s="170" t="inlineStr">
        <is>
          <t>This report confirms every store location previously INFERRED from demand patterns. One correction: MILC Bikes has only ONE store (Amsterdam), not two.</t>
        </is>
      </c>
    </row>
    <row r="4">
      <c r="A4" s="166" t="inlineStr">
        <is>
          <t>Location</t>
        </is>
      </c>
      <c r="B4" s="166" t="inlineStr">
        <is>
          <t>Bike Bros</t>
        </is>
      </c>
      <c r="C4" s="166" t="inlineStr">
        <is>
          <t>LiteCycle</t>
        </is>
      </c>
      <c r="D4" s="166" t="inlineStr">
        <is>
          <t>WeBike</t>
        </is>
      </c>
      <c r="E4" s="166" t="inlineStr">
        <is>
          <t>BB LLC</t>
        </is>
      </c>
      <c r="F4" s="166" t="inlineStr">
        <is>
          <t>Spoke'd Up</t>
        </is>
      </c>
      <c r="G4" s="166" t="inlineStr">
        <is>
          <t>SpaceBikes</t>
        </is>
      </c>
      <c r="H4" s="166" t="inlineStr">
        <is>
          <t>MILC Bikes</t>
        </is>
      </c>
      <c r="I4" s="166" t="inlineStr">
        <is>
          <t>Store firms present</t>
        </is>
      </c>
    </row>
    <row r="5">
      <c r="A5" t="inlineStr">
        <is>
          <t>Amsterdam</t>
        </is>
      </c>
      <c r="B5" s="159" t="inlineStr">
        <is>
          <t>YES</t>
        </is>
      </c>
      <c r="C5" s="159" t="inlineStr">
        <is>
          <t>YES</t>
        </is>
      </c>
      <c r="D5" s="173" t="inlineStr">
        <is>
          <t>YES</t>
        </is>
      </c>
      <c r="E5" s="159" t="inlineStr">
        <is>
          <t>YES</t>
        </is>
      </c>
      <c r="F5" s="159" t="inlineStr">
        <is>
          <t>YES</t>
        </is>
      </c>
      <c r="G5" s="159" t="inlineStr">
        <is>
          <t>YES</t>
        </is>
      </c>
      <c r="H5" s="159" t="inlineStr">
        <is>
          <t>YES</t>
        </is>
      </c>
      <c r="I5" t="n">
        <v>7</v>
      </c>
    </row>
    <row r="6">
      <c r="A6" t="inlineStr">
        <is>
          <t>New York City</t>
        </is>
      </c>
      <c r="B6" t="inlineStr">
        <is>
          <t>-</t>
        </is>
      </c>
      <c r="C6" t="inlineStr">
        <is>
          <t>-</t>
        </is>
      </c>
      <c r="D6" t="inlineStr">
        <is>
          <t>-</t>
        </is>
      </c>
      <c r="E6" s="159" t="inlineStr">
        <is>
          <t>YES</t>
        </is>
      </c>
      <c r="F6" s="159" t="inlineStr">
        <is>
          <t>YES</t>
        </is>
      </c>
      <c r="G6" s="159" t="inlineStr">
        <is>
          <t>YES</t>
        </is>
      </c>
      <c r="H6" t="inlineStr">
        <is>
          <t>-</t>
        </is>
      </c>
      <c r="I6" t="n">
        <v>3</v>
      </c>
    </row>
    <row r="7">
      <c r="A7" t="inlineStr">
        <is>
          <t>Rio de Janeiro</t>
        </is>
      </c>
      <c r="B7" t="inlineStr">
        <is>
          <t>-</t>
        </is>
      </c>
      <c r="C7" t="inlineStr">
        <is>
          <t>-</t>
        </is>
      </c>
      <c r="D7" s="173" t="inlineStr">
        <is>
          <t>YES</t>
        </is>
      </c>
      <c r="E7" t="inlineStr">
        <is>
          <t>-</t>
        </is>
      </c>
      <c r="F7" t="inlineStr">
        <is>
          <t>-</t>
        </is>
      </c>
      <c r="G7" t="inlineStr">
        <is>
          <t>-</t>
        </is>
      </c>
      <c r="H7" t="inlineStr">
        <is>
          <t>-</t>
        </is>
      </c>
      <c r="I7" t="n">
        <v>1</v>
      </c>
    </row>
    <row r="8">
      <c r="A8" t="inlineStr">
        <is>
          <t>Bangalore</t>
        </is>
      </c>
      <c r="B8" t="inlineStr">
        <is>
          <t>-</t>
        </is>
      </c>
      <c r="C8" s="159" t="inlineStr">
        <is>
          <t>YES</t>
        </is>
      </c>
      <c r="D8" t="inlineStr">
        <is>
          <t>-</t>
        </is>
      </c>
      <c r="E8" t="inlineStr">
        <is>
          <t>-</t>
        </is>
      </c>
      <c r="F8" t="inlineStr">
        <is>
          <t>-</t>
        </is>
      </c>
      <c r="G8" t="inlineStr">
        <is>
          <t>-</t>
        </is>
      </c>
      <c r="H8" t="inlineStr">
        <is>
          <t>-</t>
        </is>
      </c>
      <c r="I8" t="n">
        <v>1</v>
      </c>
    </row>
    <row r="9">
      <c r="A9" t="inlineStr">
        <is>
          <t>Web Sales Centre</t>
        </is>
      </c>
      <c r="B9" t="inlineStr">
        <is>
          <t>-</t>
        </is>
      </c>
      <c r="C9" s="159" t="inlineStr">
        <is>
          <t>YES</t>
        </is>
      </c>
      <c r="D9" s="173" t="inlineStr">
        <is>
          <t>YES</t>
        </is>
      </c>
      <c r="E9" s="159" t="inlineStr">
        <is>
          <t>YES</t>
        </is>
      </c>
      <c r="F9" s="159" t="inlineStr">
        <is>
          <t>YES</t>
        </is>
      </c>
      <c r="G9" s="159" t="inlineStr">
        <is>
          <t>YES</t>
        </is>
      </c>
      <c r="H9" s="159" t="inlineStr">
        <is>
          <t>YES</t>
        </is>
      </c>
      <c r="I9" t="n">
        <v>6</v>
      </c>
    </row>
    <row r="12">
      <c r="A12" s="166" t="inlineStr">
        <is>
          <t>CONFIRMED FOOTPRINT</t>
        </is>
      </c>
      <c r="B12" s="166" t="inlineStr">
        <is>
          <t>Stores</t>
        </is>
      </c>
      <c r="C12" s="166" t="inlineStr">
        <is>
          <t>Cities</t>
        </is>
      </c>
      <c r="D12" s="166" t="inlineStr">
        <is>
          <t>Web centre</t>
        </is>
      </c>
      <c r="E12" s="166" t="inlineStr">
        <is>
          <t>Total demand</t>
        </is>
      </c>
    </row>
    <row r="13">
      <c r="A13" t="inlineStr">
        <is>
          <t>BB LLC</t>
        </is>
      </c>
      <c r="B13" t="n">
        <v>2</v>
      </c>
      <c r="C13" t="inlineStr">
        <is>
          <t>Amsterdam, New York City</t>
        </is>
      </c>
      <c r="D13" t="inlineStr">
        <is>
          <t>yes</t>
        </is>
      </c>
      <c r="E13" t="n">
        <v>1507</v>
      </c>
    </row>
    <row r="14">
      <c r="A14" t="inlineStr">
        <is>
          <t>SpaceBikes</t>
        </is>
      </c>
      <c r="B14" t="n">
        <v>2</v>
      </c>
      <c r="C14" t="inlineStr">
        <is>
          <t>Amsterdam, New York City</t>
        </is>
      </c>
      <c r="D14" t="inlineStr">
        <is>
          <t>yes</t>
        </is>
      </c>
      <c r="E14" t="n">
        <v>1298</v>
      </c>
    </row>
    <row r="15">
      <c r="A15" t="inlineStr">
        <is>
          <t>LiteCycle</t>
        </is>
      </c>
      <c r="B15" t="n">
        <v>2</v>
      </c>
      <c r="C15" t="inlineStr">
        <is>
          <t>Amsterdam, Bangalore</t>
        </is>
      </c>
      <c r="D15" t="inlineStr">
        <is>
          <t>yes</t>
        </is>
      </c>
      <c r="E15" t="n">
        <v>984</v>
      </c>
    </row>
    <row r="16">
      <c r="A16" t="inlineStr">
        <is>
          <t>Spoke'd Up</t>
        </is>
      </c>
      <c r="B16" t="n">
        <v>2</v>
      </c>
      <c r="C16" t="inlineStr">
        <is>
          <t>Amsterdam, New York City</t>
        </is>
      </c>
      <c r="D16" t="inlineStr">
        <is>
          <t>yes</t>
        </is>
      </c>
      <c r="E16" t="n">
        <v>854</v>
      </c>
    </row>
    <row r="17">
      <c r="A17" t="inlineStr">
        <is>
          <t>MILC Bikes</t>
        </is>
      </c>
      <c r="B17" t="n">
        <v>1</v>
      </c>
      <c r="C17" t="inlineStr">
        <is>
          <t>Amsterdam</t>
        </is>
      </c>
      <c r="D17" t="inlineStr">
        <is>
          <t>yes</t>
        </is>
      </c>
      <c r="E17" t="n">
        <v>799</v>
      </c>
    </row>
    <row r="18">
      <c r="A18" s="173" t="inlineStr">
        <is>
          <t>WeBike</t>
        </is>
      </c>
      <c r="B18" s="173" t="n">
        <v>2</v>
      </c>
      <c r="C18" s="173" t="inlineStr">
        <is>
          <t>Amsterdam, Rio de Janeiro</t>
        </is>
      </c>
      <c r="D18" s="173" t="inlineStr">
        <is>
          <t>yes</t>
        </is>
      </c>
      <c r="E18" s="173" t="n">
        <v>627</v>
      </c>
    </row>
    <row r="19">
      <c r="A19" t="inlineStr">
        <is>
          <t>Bike Bros</t>
        </is>
      </c>
      <c r="B19" t="n">
        <v>1</v>
      </c>
      <c r="C19" t="inlineStr">
        <is>
          <t>Amsterdam</t>
        </is>
      </c>
      <c r="D19" s="167" t="inlineStr">
        <is>
          <t>NO</t>
        </is>
      </c>
      <c r="E19" t="n">
        <v>490</v>
      </c>
    </row>
    <row r="22">
      <c r="A22" s="166" t="inlineStr">
        <is>
          <t>MARKET STRUCTURE — a store never captures the whole city</t>
        </is>
      </c>
      <c r="B22" s="166" t="inlineStr">
        <is>
          <t>Store firms</t>
        </is>
      </c>
      <c r="C22" s="166" t="inlineStr">
        <is>
          <t>Store-firm demand</t>
        </is>
      </c>
      <c r="D22" s="166" t="inlineStr">
        <is>
          <t>Store capture %</t>
        </is>
      </c>
      <c r="E22" s="166" t="inlineStr">
        <is>
          <t>Web-only demand</t>
        </is>
      </c>
      <c r="F22" s="166" t="inlineStr">
        <is>
          <t>Web-only %</t>
        </is>
      </c>
      <c r="G22" s="166" t="inlineStr">
        <is>
          <t>Avg per store firm</t>
        </is>
      </c>
    </row>
    <row r="23">
      <c r="A23" t="inlineStr">
        <is>
          <t>Amsterdam</t>
        </is>
      </c>
      <c r="B23" t="n">
        <v>7</v>
      </c>
      <c r="C23" t="n">
        <v>2985</v>
      </c>
      <c r="D23" s="10" t="n">
        <v>1</v>
      </c>
      <c r="E23" t="n">
        <v>0</v>
      </c>
      <c r="F23" s="10" t="n">
        <v>0</v>
      </c>
      <c r="G23" s="186" t="n">
        <v>426.4285714285714</v>
      </c>
    </row>
    <row r="24">
      <c r="A24" t="inlineStr">
        <is>
          <t>New York City</t>
        </is>
      </c>
      <c r="B24" t="n">
        <v>3</v>
      </c>
      <c r="C24" t="n">
        <v>1738</v>
      </c>
      <c r="D24" s="10" t="n">
        <v>0.8523786169691026</v>
      </c>
      <c r="E24" t="n">
        <v>301</v>
      </c>
      <c r="F24" s="10" t="n">
        <v>0.1476213830308975</v>
      </c>
      <c r="G24" s="187" t="n">
        <v>579.3333333333334</v>
      </c>
    </row>
    <row r="25">
      <c r="A25" t="inlineStr">
        <is>
          <t>Rio de Janeiro</t>
        </is>
      </c>
      <c r="B25" t="n">
        <v>1</v>
      </c>
      <c r="C25" t="n">
        <v>270</v>
      </c>
      <c r="D25" s="10" t="n">
        <v>0.3488372093023256</v>
      </c>
      <c r="E25" t="n">
        <v>504</v>
      </c>
      <c r="F25" s="10" t="n">
        <v>0.6511627906976745</v>
      </c>
      <c r="G25" s="182" t="n">
        <v>270</v>
      </c>
    </row>
    <row r="26">
      <c r="A26" t="inlineStr">
        <is>
          <t>Bangalore</t>
        </is>
      </c>
      <c r="B26" t="n">
        <v>1</v>
      </c>
      <c r="C26" t="n">
        <v>370</v>
      </c>
      <c r="D26" s="10" t="n">
        <v>0.4862023653088042</v>
      </c>
      <c r="E26" t="n">
        <v>391</v>
      </c>
      <c r="F26" s="10" t="n">
        <v>0.5137976346911958</v>
      </c>
      <c r="G26" s="182" t="n">
        <v>370</v>
      </c>
    </row>
    <row r="29">
      <c r="A29" s="166" t="inlineStr">
        <is>
          <t>CORRECTION — Amsterdam is the MOST contested city, not an open one</t>
        </is>
      </c>
      <c r="B29" s="166" t="inlineStr">
        <is>
          <t>Note</t>
        </is>
      </c>
    </row>
    <row r="30">
      <c r="A30" t="inlineStr">
        <is>
          <t>Earlier read</t>
        </is>
      </c>
      <c r="B30" s="185" t="inlineStr">
        <is>
          <t>'No rival exceeds 16.5%, so Amsterdam is genuinely open.'</t>
        </is>
      </c>
    </row>
    <row r="31">
      <c r="A31" t="inlineStr">
        <is>
          <t>What the presence report shows</t>
        </is>
      </c>
      <c r="B31" s="170" t="inlineStr">
        <is>
          <t>ALL SEVEN firms hold an Amsterdam store. Nobody exceeds 16.5% precisely BECAUSE all seven are there.</t>
        </is>
      </c>
    </row>
    <row r="32">
      <c r="A32" t="inlineStr">
        <is>
          <t>Avg demand per store firm - Amsterdam</t>
        </is>
      </c>
      <c r="B32" s="170" t="n">
        <v>426</v>
      </c>
    </row>
    <row r="33">
      <c r="A33" t="inlineStr">
        <is>
          <t>Avg demand per store firm - New York City</t>
        </is>
      </c>
      <c r="B33" s="170" t="n">
        <v>579</v>
      </c>
    </row>
    <row r="34">
      <c r="A34" t="inlineStr">
        <is>
          <t>Implication</t>
        </is>
      </c>
      <c r="B34" s="181" t="inlineStr">
        <is>
          <t>A store in New York is worth MORE than deeper investment in Amsterdam. Amsterdam is 2,985 units split 7 ways; New York is 2,039 units split 3 ways. Gaining share in Amsterdam means taking it from six store-equipped rivals.</t>
        </is>
      </c>
    </row>
    <row r="37">
      <c r="A37" s="166" t="inlineStr">
        <is>
          <t>RIO — we under-exploit our monopoly</t>
        </is>
      </c>
      <c r="B37" s="166" t="inlineStr">
        <is>
          <t>WeBike in Rio</t>
        </is>
      </c>
      <c r="C37" s="166" t="inlineStr">
        <is>
          <t>LiteCycle in Bangalore</t>
        </is>
      </c>
    </row>
    <row r="38">
      <c r="A38" t="inlineStr">
        <is>
          <t>Only firm with a store in the city</t>
        </is>
      </c>
      <c r="B38" t="inlineStr">
        <is>
          <t>yes</t>
        </is>
      </c>
      <c r="C38" t="inlineStr">
        <is>
          <t>yes</t>
        </is>
      </c>
    </row>
    <row r="39">
      <c r="A39" t="inlineStr">
        <is>
          <t>City demand</t>
        </is>
      </c>
      <c r="B39" t="n">
        <v>774</v>
      </c>
      <c r="C39" t="n">
        <v>761</v>
      </c>
    </row>
    <row r="40">
      <c r="A40" t="inlineStr">
        <is>
          <t>Our / their units</t>
        </is>
      </c>
      <c r="B40" t="n">
        <v>270</v>
      </c>
      <c r="C40" t="n">
        <v>370</v>
      </c>
    </row>
    <row r="41">
      <c r="A41" t="inlineStr">
        <is>
          <t>Share as sole store holder</t>
        </is>
      </c>
      <c r="B41" s="179" t="n">
        <v>0.349</v>
      </c>
      <c r="C41" s="161" t="n">
        <v>0.486</v>
      </c>
    </row>
    <row r="42">
      <c r="A42" t="inlineStr">
        <is>
          <t>Gap</t>
        </is>
      </c>
      <c r="B42">
        <f>C41-B41</f>
        <v/>
      </c>
      <c r="C42" t="inlineStr">
        <is>
          <t>13.7 pts of share we leave on the table</t>
        </is>
      </c>
    </row>
    <row r="43">
      <c r="A43" t="inlineStr">
        <is>
          <t>Web-only rivals take</t>
        </is>
      </c>
      <c r="B43" t="n">
        <v>504</v>
      </c>
      <c r="C43" t="n">
        <v>391</v>
      </c>
    </row>
    <row r="44">
      <c r="A44" t="inlineStr">
        <is>
          <t>Web-only rivals' capture %</t>
        </is>
      </c>
      <c r="B44" s="10">
        <f>B43/B39</f>
        <v/>
      </c>
      <c r="C44" s="10">
        <f>C43/C39</f>
        <v/>
      </c>
    </row>
    <row r="45">
      <c r="A45" t="inlineStr">
        <is>
          <t>Read</t>
        </is>
      </c>
      <c r="C45" s="174" t="inlineStr">
        <is>
          <t>Same structural position, nearly identical city size - LiteCycle extracts 13.7 more points than we do. Rio opened only in Q3 and we stocked out, so some of this is timing. But 65% of OUR exclusive city still goes to rivals who have no store there at all.</t>
        </is>
      </c>
    </row>
    <row r="48">
      <c r="A48" s="166" t="inlineStr">
        <is>
          <t>WHY THE WEB CASE IS NOW STRONGER</t>
        </is>
      </c>
      <c r="B48" s="166" t="inlineStr">
        <is>
          <t>Note</t>
        </is>
      </c>
    </row>
    <row r="49">
      <c r="A49" t="inlineStr">
        <is>
          <t>Evidence</t>
        </is>
      </c>
      <c r="B49" s="170" t="inlineStr">
        <is>
          <t>BB LLC pulls 139 units out of Rio with NO store there - 51% of what we get WITH a store. SpaceBikes 120, MILC 107, LiteCycle 106. Web-only rivals took 504 of Rio's 774 units.</t>
        </is>
      </c>
    </row>
    <row r="50">
      <c r="A50" t="inlineStr">
        <is>
          <t>Our mirror position</t>
        </is>
      </c>
      <c r="B50" s="170" t="inlineStr">
        <is>
          <t>We pull only 38 from New York and 24 from Bangalore by web. Rivals do 3-5x better at the same trick.</t>
        </is>
      </c>
    </row>
    <row r="51">
      <c r="A51" t="inlineStr">
        <is>
          <t>Conclusion</t>
        </is>
      </c>
      <c r="B51" s="174" t="inlineStr">
        <is>
          <t>Web reach is not a consolation prize for cities we skip - it is how the strong firms raid cities they never entered. Our 19.1% web mix is costing us in all four cities, including the two where we have stores.</t>
        </is>
      </c>
    </row>
    <row r="54">
      <c r="A54" s="166" t="inlineStr">
        <is>
          <t>CITY #3 — updated read</t>
        </is>
      </c>
      <c r="B54" s="166" t="inlineStr">
        <is>
          <t>New York City</t>
        </is>
      </c>
      <c r="C54" s="166" t="inlineStr">
        <is>
          <t>Bangalore</t>
        </is>
      </c>
    </row>
    <row r="55">
      <c r="A55" t="inlineStr">
        <is>
          <t>City demand</t>
        </is>
      </c>
      <c r="B55" t="n">
        <v>2039</v>
      </c>
      <c r="C55" t="n">
        <v>761</v>
      </c>
    </row>
    <row r="56">
      <c r="A56" t="inlineStr">
        <is>
          <t>Store firms already present</t>
        </is>
      </c>
      <c r="B56" t="n">
        <v>3</v>
      </c>
      <c r="C56" t="n">
        <v>1</v>
      </c>
    </row>
    <row r="57">
      <c r="A57" t="inlineStr">
        <is>
          <t>Avg demand per store firm today</t>
        </is>
      </c>
      <c r="B57" t="n">
        <v>579</v>
      </c>
      <c r="C57" t="n">
        <v>370</v>
      </c>
    </row>
    <row r="58">
      <c r="A58" t="inlineStr">
        <is>
          <t>Weakest incumbent store firm</t>
        </is>
      </c>
      <c r="B58" t="inlineStr">
        <is>
          <t>Spoke'd Up 412</t>
        </is>
      </c>
      <c r="C58" t="inlineStr">
        <is>
          <t>n/a</t>
        </is>
      </c>
    </row>
    <row r="59">
      <c r="A59" t="inlineStr">
        <is>
          <t>Our current web-only demand there</t>
        </is>
      </c>
      <c r="B59" t="n">
        <v>38</v>
      </c>
      <c r="C59" t="n">
        <v>24</v>
      </c>
    </row>
    <row r="60">
      <c r="A60" t="inlineStr">
        <is>
          <t>Plausible units with a store</t>
        </is>
      </c>
      <c r="B60" t="inlineStr">
        <is>
          <t>412 - 574 (match Spoke'd Up or SpaceBikes)</t>
        </is>
      </c>
      <c r="C60" t="inlineStr">
        <is>
          <t>~250 (split LiteCycle's monopoly)</t>
        </is>
      </c>
    </row>
    <row r="61">
      <c r="A61" t="inlineStr">
        <is>
          <t>Verdict</t>
        </is>
      </c>
      <c r="B61" s="181" t="inlineStr">
        <is>
          <t>STILL THE BEST STORE TARGET. 2.7x the demand, and only 3 rivals hold stores vs Amsterdam's 7. Enter via SPEED (880 units, no dominant firm) - BB LLC holds 82.8% of NYC Mountain.</t>
        </is>
      </c>
      <c r="C61" s="170" t="inlineStr">
        <is>
          <t>Smallest prize. LiteCycle's 48.6% monopoly is the industry's most concentrated position.</t>
        </is>
      </c>
    </row>
    <row r="64">
      <c r="A64" s="166" t="inlineStr">
        <is>
          <t>Q4 SEQUENCING — reconciling depth vs breadth</t>
        </is>
      </c>
      <c r="B64" s="166" t="inlineStr">
        <is>
          <t>Decision</t>
        </is>
      </c>
    </row>
    <row r="65">
      <c r="A65" t="inlineStr">
        <is>
          <t>1st dollar: web rebuild</t>
        </is>
      </c>
      <c r="B65" s="174" t="inlineStr">
        <is>
          <t>Cheapest demand, reaches all 4 cities, pays back in-quarter (~+$89,600). Rivals prove web raids cities you never enter.</t>
        </is>
      </c>
    </row>
    <row r="66">
      <c r="A66" t="inlineStr">
        <is>
          <t>2nd dollar: Rio depth</t>
        </is>
      </c>
      <c r="B66" s="174" t="inlineStr">
        <is>
          <t>We are the ONLY store in Rio and extract just 34.9% vs LiteCycle's 48.6% in the same position. Closing that gap is ~106 units with no new lease.</t>
        </is>
      </c>
    </row>
    <row r="67">
      <c r="A67" t="inlineStr">
        <is>
          <t>3rd dollar: New York store</t>
        </is>
      </c>
      <c r="B67" s="174" t="inlineStr">
        <is>
          <t>Biggest single prize (2,039 units, only 3 store rivals). Enter through Speed once Swift Bike is fixed to 77.</t>
        </is>
      </c>
    </row>
    <row r="68">
      <c r="A68" t="inlineStr">
        <is>
          <t>NOT a priority</t>
        </is>
      </c>
      <c r="B68" s="174" t="inlineStr">
        <is>
          <t>Deepening Amsterdam against 6 store-equipped rivals; opening Bangalore against LiteCycle's entrenched 48.6%.</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90"/>
  <sheetViews>
    <sheetView workbookViewId="0">
      <selection activeCell="A1" sqref="A1"/>
    </sheetView>
  </sheetViews>
  <sheetFormatPr baseColWidth="8" defaultRowHeight="15"/>
  <cols>
    <col width="44" customWidth="1" style="146" min="1" max="1"/>
    <col width="40" customWidth="1" style="146" min="2" max="2"/>
    <col width="34" customWidth="1" style="146" min="3" max="3"/>
    <col width="30" customWidth="1" style="146" min="4" max="4"/>
    <col width="13" customWidth="1" style="146" min="5" max="5"/>
    <col width="13" customWidth="1" style="146" min="6" max="6"/>
    <col width="13" customWidth="1" style="146" min="7" max="7"/>
    <col width="13" customWidth="1" style="146" min="8" max="8"/>
    <col width="13" customWidth="1" style="146" min="9" max="9"/>
    <col width="13" customWidth="1" style="146" min="10" max="10"/>
  </cols>
  <sheetData>
    <row r="1">
      <c r="A1" s="169" t="inlineStr">
        <is>
          <t>Sales and Service People — World Market, Q3 actual</t>
        </is>
      </c>
    </row>
    <row r="2">
      <c r="A2" s="170" t="inlineStr">
        <is>
          <t>Two hard findings: 7 people per city is the cap (nobody exceeds it, and Amsterdam has us AT it), and we are the only firm besides Bike Bros carrying UNTRAINED staff.</t>
        </is>
      </c>
    </row>
    <row r="4">
      <c r="A4" s="166" t="inlineStr">
        <is>
          <t>City</t>
        </is>
      </c>
      <c r="B4" s="166" t="inlineStr">
        <is>
          <t>Company</t>
        </is>
      </c>
      <c r="C4" s="166" t="inlineStr">
        <is>
          <t>Total</t>
        </is>
      </c>
      <c r="D4" s="166" t="inlineStr">
        <is>
          <t>Service</t>
        </is>
      </c>
      <c r="E4" s="166" t="inlineStr">
        <is>
          <t>Recreation</t>
        </is>
      </c>
      <c r="F4" s="166" t="inlineStr">
        <is>
          <t>Mountain</t>
        </is>
      </c>
      <c r="G4" s="166" t="inlineStr">
        <is>
          <t>Speed</t>
        </is>
      </c>
      <c r="H4" s="166" t="inlineStr">
        <is>
          <t>Assigned</t>
        </is>
      </c>
      <c r="I4" s="166" t="inlineStr">
        <is>
          <t>UNTRAINED</t>
        </is>
      </c>
      <c r="J4" s="166" t="inlineStr">
        <is>
          <t>At 7-cap?</t>
        </is>
      </c>
    </row>
    <row r="5">
      <c r="A5" t="inlineStr">
        <is>
          <t>New York City</t>
        </is>
      </c>
      <c r="B5" t="inlineStr">
        <is>
          <t>BB LLC</t>
        </is>
      </c>
      <c r="C5" t="n">
        <v>7</v>
      </c>
      <c r="D5" t="n">
        <v>1</v>
      </c>
      <c r="E5" t="n">
        <v>0</v>
      </c>
      <c r="F5" t="n">
        <v>3</v>
      </c>
      <c r="G5" t="n">
        <v>3</v>
      </c>
      <c r="H5" t="n">
        <v>7</v>
      </c>
      <c r="I5" t="n">
        <v>0</v>
      </c>
      <c r="J5" t="inlineStr">
        <is>
          <t>YES</t>
        </is>
      </c>
    </row>
    <row r="6">
      <c r="A6" t="inlineStr">
        <is>
          <t>New York City</t>
        </is>
      </c>
      <c r="B6" t="inlineStr">
        <is>
          <t>Spoke'd Up</t>
        </is>
      </c>
      <c r="C6" t="n">
        <v>5</v>
      </c>
      <c r="D6" t="n">
        <v>1</v>
      </c>
      <c r="E6" t="n">
        <v>2</v>
      </c>
      <c r="F6" t="n">
        <v>0</v>
      </c>
      <c r="G6" t="n">
        <v>2</v>
      </c>
      <c r="H6" t="n">
        <v>5</v>
      </c>
      <c r="I6" t="n">
        <v>0</v>
      </c>
    </row>
    <row r="7">
      <c r="A7" t="inlineStr">
        <is>
          <t>New York City</t>
        </is>
      </c>
      <c r="B7" t="inlineStr">
        <is>
          <t>SpaceBikes</t>
        </is>
      </c>
      <c r="C7" t="n">
        <v>7</v>
      </c>
      <c r="D7" t="n">
        <v>2</v>
      </c>
      <c r="E7" t="n">
        <v>2</v>
      </c>
      <c r="F7" t="n">
        <v>0</v>
      </c>
      <c r="G7" t="n">
        <v>3</v>
      </c>
      <c r="H7" t="n">
        <v>7</v>
      </c>
      <c r="I7" t="n">
        <v>0</v>
      </c>
      <c r="J7" t="inlineStr">
        <is>
          <t>YES</t>
        </is>
      </c>
    </row>
    <row r="8">
      <c r="A8" s="171" t="inlineStr">
        <is>
          <t>Rio de Janeiro</t>
        </is>
      </c>
      <c r="B8" s="171" t="inlineStr">
        <is>
          <t>WeBike</t>
        </is>
      </c>
      <c r="C8" s="171" t="n">
        <v>4</v>
      </c>
      <c r="D8" s="171" t="n">
        <v>1</v>
      </c>
      <c r="E8" s="171" t="n">
        <v>0</v>
      </c>
      <c r="F8" s="171" t="n">
        <v>1</v>
      </c>
      <c r="G8" s="171" t="n">
        <v>1</v>
      </c>
      <c r="H8" s="171" t="n">
        <v>3</v>
      </c>
      <c r="I8" s="188" t="n">
        <v>1</v>
      </c>
      <c r="J8" s="171" t="inlineStr"/>
    </row>
    <row r="9">
      <c r="A9" t="inlineStr">
        <is>
          <t>Amsterdam</t>
        </is>
      </c>
      <c r="B9" t="inlineStr">
        <is>
          <t>Bike Bros</t>
        </is>
      </c>
      <c r="C9" t="n">
        <v>7</v>
      </c>
      <c r="D9" t="n">
        <v>2</v>
      </c>
      <c r="E9" t="n">
        <v>0</v>
      </c>
      <c r="F9" t="n">
        <v>2</v>
      </c>
      <c r="G9" t="n">
        <v>2</v>
      </c>
      <c r="H9" t="n">
        <v>6</v>
      </c>
      <c r="I9" s="167" t="n">
        <v>1</v>
      </c>
      <c r="J9" t="inlineStr">
        <is>
          <t>YES</t>
        </is>
      </c>
    </row>
    <row r="10">
      <c r="A10" t="inlineStr">
        <is>
          <t>Amsterdam</t>
        </is>
      </c>
      <c r="B10" t="inlineStr">
        <is>
          <t>LiteCycle</t>
        </is>
      </c>
      <c r="C10" t="n">
        <v>5</v>
      </c>
      <c r="D10" t="n">
        <v>1</v>
      </c>
      <c r="E10" t="n">
        <v>0</v>
      </c>
      <c r="F10" t="n">
        <v>1</v>
      </c>
      <c r="G10" t="n">
        <v>3</v>
      </c>
      <c r="H10" t="n">
        <v>5</v>
      </c>
      <c r="I10" t="n">
        <v>0</v>
      </c>
    </row>
    <row r="11">
      <c r="A11" s="171" t="inlineStr">
        <is>
          <t>Amsterdam</t>
        </is>
      </c>
      <c r="B11" s="171" t="inlineStr">
        <is>
          <t>WeBike</t>
        </is>
      </c>
      <c r="C11" s="171" t="n">
        <v>7</v>
      </c>
      <c r="D11" s="171" t="n">
        <v>1</v>
      </c>
      <c r="E11" s="171" t="n">
        <v>0</v>
      </c>
      <c r="F11" s="171" t="n">
        <v>3</v>
      </c>
      <c r="G11" s="171" t="n">
        <v>2</v>
      </c>
      <c r="H11" s="171" t="n">
        <v>6</v>
      </c>
      <c r="I11" s="188" t="n">
        <v>1</v>
      </c>
      <c r="J11" s="171" t="inlineStr">
        <is>
          <t>YES</t>
        </is>
      </c>
    </row>
    <row r="12">
      <c r="A12" t="inlineStr">
        <is>
          <t>Amsterdam</t>
        </is>
      </c>
      <c r="B12" t="inlineStr">
        <is>
          <t>BB LLC</t>
        </is>
      </c>
      <c r="C12" t="n">
        <v>7</v>
      </c>
      <c r="D12" t="n">
        <v>1</v>
      </c>
      <c r="E12" t="n">
        <v>0</v>
      </c>
      <c r="F12" t="n">
        <v>3</v>
      </c>
      <c r="G12" t="n">
        <v>3</v>
      </c>
      <c r="H12" t="n">
        <v>7</v>
      </c>
      <c r="I12" t="n">
        <v>0</v>
      </c>
      <c r="J12" t="inlineStr">
        <is>
          <t>YES</t>
        </is>
      </c>
    </row>
    <row r="13">
      <c r="A13" t="inlineStr">
        <is>
          <t>Amsterdam</t>
        </is>
      </c>
      <c r="B13" t="inlineStr">
        <is>
          <t>Spoke'd Up</t>
        </is>
      </c>
      <c r="C13" t="n">
        <v>6</v>
      </c>
      <c r="D13" t="n">
        <v>1</v>
      </c>
      <c r="E13" t="n">
        <v>2</v>
      </c>
      <c r="F13" t="n">
        <v>0</v>
      </c>
      <c r="G13" t="n">
        <v>3</v>
      </c>
      <c r="H13" t="n">
        <v>6</v>
      </c>
      <c r="I13" t="n">
        <v>0</v>
      </c>
    </row>
    <row r="14">
      <c r="A14" t="inlineStr">
        <is>
          <t>Amsterdam</t>
        </is>
      </c>
      <c r="B14" t="inlineStr">
        <is>
          <t>SpaceBikes</t>
        </is>
      </c>
      <c r="C14" t="n">
        <v>7</v>
      </c>
      <c r="D14" t="n">
        <v>2</v>
      </c>
      <c r="E14" t="n">
        <v>2</v>
      </c>
      <c r="F14" t="n">
        <v>0</v>
      </c>
      <c r="G14" t="n">
        <v>3</v>
      </c>
      <c r="H14" t="n">
        <v>7</v>
      </c>
      <c r="I14" t="n">
        <v>0</v>
      </c>
      <c r="J14" t="inlineStr">
        <is>
          <t>YES</t>
        </is>
      </c>
    </row>
    <row r="15">
      <c r="A15" t="inlineStr">
        <is>
          <t>Amsterdam</t>
        </is>
      </c>
      <c r="B15" t="inlineStr">
        <is>
          <t>MILC Bikes</t>
        </is>
      </c>
      <c r="C15" t="n">
        <v>7</v>
      </c>
      <c r="D15" t="n">
        <v>1</v>
      </c>
      <c r="E15" t="n">
        <v>3</v>
      </c>
      <c r="F15" t="n">
        <v>0</v>
      </c>
      <c r="G15" t="n">
        <v>3</v>
      </c>
      <c r="H15" t="n">
        <v>7</v>
      </c>
      <c r="I15" t="n">
        <v>0</v>
      </c>
      <c r="J15" t="inlineStr">
        <is>
          <t>YES</t>
        </is>
      </c>
    </row>
    <row r="16">
      <c r="A16" t="inlineStr">
        <is>
          <t>Bangalore</t>
        </is>
      </c>
      <c r="B16" t="inlineStr">
        <is>
          <t>LiteCycle</t>
        </is>
      </c>
      <c r="C16" t="n">
        <v>5</v>
      </c>
      <c r="D16" t="n">
        <v>1</v>
      </c>
      <c r="E16" t="n">
        <v>0</v>
      </c>
      <c r="F16" t="n">
        <v>1</v>
      </c>
      <c r="G16" t="n">
        <v>3</v>
      </c>
      <c r="H16" t="n">
        <v>5</v>
      </c>
      <c r="I16" t="n">
        <v>0</v>
      </c>
    </row>
    <row r="19">
      <c r="A19" s="166" t="inlineStr">
        <is>
          <t>FIRM ROLLUP</t>
        </is>
      </c>
      <c r="B19" s="166" t="inlineStr">
        <is>
          <t>Store people</t>
        </is>
      </c>
      <c r="C19" s="166" t="inlineStr">
        <is>
          <t>Service</t>
        </is>
      </c>
      <c r="D19" s="166" t="inlineStr">
        <is>
          <t>Recreation</t>
        </is>
      </c>
      <c r="E19" s="166" t="inlineStr">
        <is>
          <t>Mountain</t>
        </is>
      </c>
      <c r="F19" s="166" t="inlineStr">
        <is>
          <t>Speed</t>
        </is>
      </c>
      <c r="G19" s="166" t="inlineStr">
        <is>
          <t>Untrained</t>
        </is>
      </c>
      <c r="H19" s="166" t="inlineStr">
        <is>
          <t>Store demand</t>
        </is>
      </c>
      <c r="I19" s="166" t="inlineStr">
        <is>
          <t>Demand / store person</t>
        </is>
      </c>
    </row>
    <row r="20">
      <c r="A20" t="inlineStr">
        <is>
          <t>Bike Bros</t>
        </is>
      </c>
      <c r="B20" t="n">
        <v>7</v>
      </c>
      <c r="C20" t="n">
        <v>2</v>
      </c>
      <c r="D20" t="n">
        <v>0</v>
      </c>
      <c r="E20" t="n">
        <v>2</v>
      </c>
      <c r="F20" t="n">
        <v>2</v>
      </c>
      <c r="G20" t="n">
        <v>1</v>
      </c>
      <c r="H20" t="n">
        <v>490</v>
      </c>
      <c r="I20" s="189" t="n">
        <v>70</v>
      </c>
    </row>
    <row r="21">
      <c r="A21" t="inlineStr">
        <is>
          <t>BB LLC</t>
        </is>
      </c>
      <c r="B21" t="n">
        <v>14</v>
      </c>
      <c r="C21" t="n">
        <v>2</v>
      </c>
      <c r="D21" t="n">
        <v>0</v>
      </c>
      <c r="E21" t="n">
        <v>6</v>
      </c>
      <c r="F21" t="n">
        <v>6</v>
      </c>
      <c r="G21" t="n">
        <v>0</v>
      </c>
      <c r="H21" t="n">
        <v>938</v>
      </c>
      <c r="I21" s="189" t="n">
        <v>67</v>
      </c>
    </row>
    <row r="22">
      <c r="A22" t="inlineStr">
        <is>
          <t>Spoke'd Up</t>
        </is>
      </c>
      <c r="B22" t="n">
        <v>11</v>
      </c>
      <c r="C22" t="n">
        <v>2</v>
      </c>
      <c r="D22" t="n">
        <v>4</v>
      </c>
      <c r="E22" t="n">
        <v>0</v>
      </c>
      <c r="F22" t="n">
        <v>5</v>
      </c>
      <c r="G22" t="n">
        <v>0</v>
      </c>
      <c r="H22" t="n">
        <v>716</v>
      </c>
      <c r="I22" s="189" t="n">
        <v>65.09090909090909</v>
      </c>
    </row>
    <row r="23">
      <c r="A23" t="inlineStr">
        <is>
          <t>SpaceBikes</t>
        </is>
      </c>
      <c r="B23" t="n">
        <v>14</v>
      </c>
      <c r="C23" t="n">
        <v>4</v>
      </c>
      <c r="D23" t="n">
        <v>4</v>
      </c>
      <c r="E23" t="n">
        <v>0</v>
      </c>
      <c r="F23" t="n">
        <v>6</v>
      </c>
      <c r="G23" t="n">
        <v>0</v>
      </c>
      <c r="H23" t="n">
        <v>807</v>
      </c>
      <c r="I23" s="189" t="n">
        <v>57.64285714285715</v>
      </c>
    </row>
    <row r="24">
      <c r="A24" t="inlineStr">
        <is>
          <t>LiteCycle</t>
        </is>
      </c>
      <c r="B24" t="n">
        <v>10</v>
      </c>
      <c r="C24" t="n">
        <v>2</v>
      </c>
      <c r="D24" t="n">
        <v>0</v>
      </c>
      <c r="E24" t="n">
        <v>2</v>
      </c>
      <c r="F24" t="n">
        <v>6</v>
      </c>
      <c r="G24" t="n">
        <v>0</v>
      </c>
      <c r="H24" t="n">
        <v>549</v>
      </c>
      <c r="I24" s="189" t="n">
        <v>54.9</v>
      </c>
    </row>
    <row r="25">
      <c r="A25" t="inlineStr">
        <is>
          <t>MILC Bikes</t>
        </is>
      </c>
      <c r="B25" t="n">
        <v>7</v>
      </c>
      <c r="C25" t="n">
        <v>1</v>
      </c>
      <c r="D25" t="n">
        <v>3</v>
      </c>
      <c r="E25" t="n">
        <v>0</v>
      </c>
      <c r="F25" t="n">
        <v>3</v>
      </c>
      <c r="G25" t="n">
        <v>0</v>
      </c>
      <c r="H25" t="n">
        <v>364</v>
      </c>
      <c r="I25" s="189" t="n">
        <v>52</v>
      </c>
    </row>
    <row r="26">
      <c r="A26" s="171" t="inlineStr">
        <is>
          <t>WeBike</t>
        </is>
      </c>
      <c r="B26" s="171" t="n">
        <v>11</v>
      </c>
      <c r="C26" s="171" t="n">
        <v>2</v>
      </c>
      <c r="D26" s="171" t="n">
        <v>0</v>
      </c>
      <c r="E26" s="171" t="n">
        <v>4</v>
      </c>
      <c r="F26" s="171" t="n">
        <v>3</v>
      </c>
      <c r="G26" s="188" t="n">
        <v>2</v>
      </c>
      <c r="H26" s="171" t="n">
        <v>507</v>
      </c>
      <c r="I26" s="190" t="n">
        <v>46.09090909090909</v>
      </c>
    </row>
    <row r="29">
      <c r="A29" s="166" t="inlineStr">
        <is>
          <t>PRODUCTIVITY GAP</t>
        </is>
      </c>
      <c r="B29" s="166" t="inlineStr">
        <is>
          <t>Value</t>
        </is>
      </c>
      <c r="C29" s="166" t="inlineStr">
        <is>
          <t>Note</t>
        </is>
      </c>
    </row>
    <row r="30">
      <c r="A30" t="inlineStr">
        <is>
          <t>WeBike demand per store person</t>
        </is>
      </c>
      <c r="B30" s="191" t="n">
        <v>46.09090909090909</v>
      </c>
      <c r="C30" s="170" t="inlineStr">
        <is>
          <t>LOWEST in the industry</t>
        </is>
      </c>
    </row>
    <row r="31">
      <c r="A31" t="inlineStr">
        <is>
          <t>Industry average (excl. us)</t>
        </is>
      </c>
      <c r="B31" s="160" t="n">
        <v>61.1056277056277</v>
      </c>
      <c r="C31" s="170" t="inlineStr">
        <is>
          <t>Bike Bros 70.0 is best; BB LLC 67.0</t>
        </is>
      </c>
    </row>
    <row r="32">
      <c r="A32" t="inlineStr">
        <is>
          <t>Shortfall per person</t>
        </is>
      </c>
      <c r="B32" s="189">
        <f>C31-C30</f>
        <v/>
      </c>
      <c r="C32" s="170" t="n"/>
    </row>
    <row r="33">
      <c r="A33" t="inlineStr">
        <is>
          <t>Our store people</t>
        </is>
      </c>
      <c r="B33" t="n">
        <v>11</v>
      </c>
      <c r="C33" s="170" t="n"/>
    </row>
    <row r="34">
      <c r="A34" t="inlineStr">
        <is>
          <t>Store demand if we matched the average</t>
        </is>
      </c>
      <c r="B34">
        <f>C31*C33</f>
        <v/>
      </c>
      <c r="C34" s="170" t="n"/>
    </row>
    <row r="35">
      <c r="A35" t="inlineStr">
        <is>
          <t>Additional units available at current headcount</t>
        </is>
      </c>
      <c r="B35" s="159">
        <f>C34-507</f>
        <v/>
      </c>
      <c r="C35" s="170" t="inlineStr">
        <is>
          <t>no new hires needed</t>
        </is>
      </c>
    </row>
    <row r="38">
      <c r="A38" s="166" t="inlineStr">
        <is>
          <t>THE 7-PERSON CITY CAP — this settles depth vs breadth</t>
        </is>
      </c>
      <c r="B38" s="166" t="inlineStr">
        <is>
          <t>Value</t>
        </is>
      </c>
      <c r="C38" s="166" t="inlineStr">
        <is>
          <t>Note</t>
        </is>
      </c>
    </row>
    <row r="39">
      <c r="A39" t="inlineStr">
        <is>
          <t>Maximum staff observed in any city (all 12 rows)</t>
        </is>
      </c>
      <c r="B39" t="n">
        <v>7</v>
      </c>
      <c r="C39" s="170" t="inlineStr">
        <is>
          <t>BB LLC, SpaceBikes, Bike Bros, MILC and our own Amsterdam all sit at 7</t>
        </is>
      </c>
    </row>
    <row r="40">
      <c r="A40" t="inlineStr">
        <is>
          <t>WeBike Amsterdam headcount</t>
        </is>
      </c>
      <c r="B40" s="167" t="n">
        <v>7</v>
      </c>
      <c r="C40" s="170" t="inlineStr">
        <is>
          <t>AT THE CAP - we cannot add a single person there</t>
        </is>
      </c>
    </row>
    <row r="41">
      <c r="A41" t="inlineStr">
        <is>
          <t>WeBike Rio headcount</t>
        </is>
      </c>
      <c r="B41" s="159" t="n">
        <v>4</v>
      </c>
      <c r="C41" s="170" t="inlineStr">
        <is>
          <t>3 SLOTS OPEN - the only store depth available to us</t>
        </is>
      </c>
    </row>
    <row r="42">
      <c r="A42" t="inlineStr">
        <is>
          <t>Read</t>
        </is>
      </c>
      <c r="C42" s="174" t="inlineStr">
        <is>
          <t>'Deepen Amsterdam' is not a legal move. Amsterdam is maxed at 7. The only ways to add store selling capacity are (a) fill Rio's 3 open slots, or (b) open a new city, which unlocks 7 more.</t>
        </is>
      </c>
    </row>
    <row r="45">
      <c r="A45" s="166" t="inlineStr">
        <is>
          <t>RIO vs AMSTERDAM — where a body is worth more</t>
        </is>
      </c>
      <c r="B45" s="166" t="inlineStr">
        <is>
          <t>Rio</t>
        </is>
      </c>
      <c r="C45" s="166" t="inlineStr">
        <is>
          <t>Amsterdam</t>
        </is>
      </c>
    </row>
    <row r="46">
      <c r="A46" t="inlineStr">
        <is>
          <t>Store people</t>
        </is>
      </c>
      <c r="B46" t="n">
        <v>4</v>
      </c>
      <c r="C46" t="n">
        <v>7</v>
      </c>
    </row>
    <row r="47">
      <c r="A47" t="inlineStr">
        <is>
          <t>City demand (all channels)</t>
        </is>
      </c>
      <c r="B47" t="n">
        <v>270</v>
      </c>
      <c r="C47" t="n">
        <v>295</v>
      </c>
    </row>
    <row r="48">
      <c r="A48" t="inlineStr">
        <is>
          <t>Demand per person</t>
        </is>
      </c>
      <c r="B48" s="160">
        <f>C47/C46</f>
        <v/>
      </c>
      <c r="C48" s="191">
        <f>D47/D46</f>
        <v/>
      </c>
    </row>
    <row r="49">
      <c r="A49" t="inlineStr">
        <is>
          <t>Rival stores in city</t>
        </is>
      </c>
      <c r="B49" t="n">
        <v>0</v>
      </c>
      <c r="C49" t="n">
        <v>6</v>
      </c>
    </row>
    <row r="50">
      <c r="A50" t="inlineStr">
        <is>
          <t>Open slots to the 7-cap</t>
        </is>
      </c>
      <c r="B50" t="n">
        <v>3</v>
      </c>
      <c r="C50" t="n">
        <v>0</v>
      </c>
    </row>
    <row r="51">
      <c r="A51" t="inlineStr">
        <is>
          <t>Read</t>
        </is>
      </c>
      <c r="B51" s="174" t="inlineStr">
        <is>
          <t>A Rio head is worth ~60% more than an Amsterdam head because Rio has no rival store. Filling the 3 open Rio slots is the highest-return staffing move on the board.</t>
        </is>
      </c>
    </row>
    <row r="52">
      <c r="A52" t="inlineStr">
        <is>
          <t>CAVEAT</t>
        </is>
      </c>
      <c r="B52" s="170" t="inlineStr">
        <is>
          <t>City demand includes web orders, so per-person figures are directional rather than pure store productivity. The ranking is robust; the exact multiple is not.</t>
        </is>
      </c>
    </row>
    <row r="55">
      <c r="A55" s="166" t="inlineStr">
        <is>
          <t>UNTRAINED STAFF — a free win we skipped</t>
        </is>
      </c>
      <c r="B55" s="166" t="inlineStr">
        <is>
          <t>Value</t>
        </is>
      </c>
      <c r="C55" s="166" t="inlineStr">
        <is>
          <t>Note</t>
        </is>
      </c>
    </row>
    <row r="56">
      <c r="A56" t="inlineStr">
        <is>
          <t>WeBike untrained people</t>
        </is>
      </c>
      <c r="B56" s="167" t="n">
        <v>2</v>
      </c>
      <c r="C56" s="170" t="inlineStr">
        <is>
          <t>1 in Rio, 1 in Amsterdam</t>
        </is>
      </c>
    </row>
    <row r="57">
      <c r="A57" t="inlineStr">
        <is>
          <t>Firms with any untrained staff</t>
        </is>
      </c>
      <c r="B57" t="inlineStr">
        <is>
          <t>WeBike (2), Bike Bros (1)</t>
        </is>
      </c>
      <c r="C57" s="170" t="inlineStr">
        <is>
          <t>the other five are 100% trained</t>
        </is>
      </c>
    </row>
    <row r="58">
      <c r="A58" t="inlineStr">
        <is>
          <t>Mountain training cost</t>
        </is>
      </c>
      <c r="B58" t="n">
        <v>400</v>
      </c>
      <c r="C58" s="170" t="inlineStr">
        <is>
          <t>per quarter</t>
        </is>
      </c>
    </row>
    <row r="59">
      <c r="A59" t="inlineStr">
        <is>
          <t>Speed training cost</t>
        </is>
      </c>
      <c r="B59" t="n">
        <v>400</v>
      </c>
      <c r="C59" s="170" t="inlineStr">
        <is>
          <t>per quarter</t>
        </is>
      </c>
    </row>
    <row r="60">
      <c r="A60" t="inlineStr">
        <is>
          <t>Cost to train both</t>
        </is>
      </c>
      <c r="B60" s="159" t="n">
        <v>800</v>
      </c>
      <c r="C60" s="170" t="inlineStr">
        <is>
          <t>trivial against ~$750 contribution PER UNIT</t>
        </is>
      </c>
    </row>
    <row r="61">
      <c r="A61" t="inlineStr">
        <is>
          <t>Read</t>
        </is>
      </c>
      <c r="C61" s="174" t="inlineStr">
        <is>
          <t>We are paying two full salaries ($24,425/yr each) for untrained sellers while every serious competitor trains everyone. Fix this first - it costs $800.</t>
        </is>
      </c>
    </row>
    <row r="64">
      <c r="A64" s="166" t="inlineStr">
        <is>
          <t>SPECIALISATION vs SEGMENT RESULT</t>
        </is>
      </c>
      <c r="B64" s="166" t="inlineStr">
        <is>
          <t>Specialists</t>
        </is>
      </c>
      <c r="C64" s="166" t="inlineStr">
        <is>
          <t>Segment demand</t>
        </is>
      </c>
      <c r="D64" s="166" t="inlineStr">
        <is>
          <t>Demand per specialist</t>
        </is>
      </c>
    </row>
    <row r="65">
      <c r="A65" s="166" t="inlineStr">
        <is>
          <t>MOUNTAIN</t>
        </is>
      </c>
      <c r="D65" s="189" t="n"/>
    </row>
    <row r="66">
      <c r="A66" t="inlineStr">
        <is>
          <t>LiteCycle</t>
        </is>
      </c>
      <c r="B66" t="n">
        <v>2</v>
      </c>
      <c r="C66" t="n">
        <v>340</v>
      </c>
      <c r="D66" s="189">
        <f>C66/B66</f>
        <v/>
      </c>
    </row>
    <row r="67">
      <c r="A67" t="inlineStr">
        <is>
          <t>BB LLC</t>
        </is>
      </c>
      <c r="B67" t="n">
        <v>6</v>
      </c>
      <c r="C67" t="n">
        <v>751</v>
      </c>
      <c r="D67" s="189">
        <f>C67/B67</f>
        <v/>
      </c>
    </row>
    <row r="68">
      <c r="A68" s="173" t="inlineStr">
        <is>
          <t>WeBike</t>
        </is>
      </c>
      <c r="B68" t="n">
        <v>4</v>
      </c>
      <c r="C68" t="n">
        <v>358</v>
      </c>
      <c r="D68" s="189">
        <f>C68/B68</f>
        <v/>
      </c>
    </row>
    <row r="69">
      <c r="A69" t="inlineStr">
        <is>
          <t>Bike Bros</t>
        </is>
      </c>
      <c r="B69" t="n">
        <v>2</v>
      </c>
      <c r="C69" t="n">
        <v>172</v>
      </c>
      <c r="D69" s="189">
        <f>C69/B69</f>
        <v/>
      </c>
    </row>
    <row r="70">
      <c r="A70" s="166" t="inlineStr">
        <is>
          <t>SPEED</t>
        </is>
      </c>
      <c r="D70" s="189" t="n"/>
    </row>
    <row r="71">
      <c r="A71" t="inlineStr">
        <is>
          <t>BB LLC</t>
        </is>
      </c>
      <c r="B71" t="n">
        <v>6</v>
      </c>
      <c r="C71" t="n">
        <v>657</v>
      </c>
      <c r="D71" s="189">
        <f>C71/B71</f>
        <v/>
      </c>
    </row>
    <row r="72">
      <c r="A72" t="inlineStr">
        <is>
          <t>MILC Bikes</t>
        </is>
      </c>
      <c r="B72" t="n">
        <v>3</v>
      </c>
      <c r="C72" t="n">
        <v>328</v>
      </c>
      <c r="D72" s="189">
        <f>C72/B72</f>
        <v/>
      </c>
    </row>
    <row r="73">
      <c r="A73" t="inlineStr">
        <is>
          <t>SpaceBikes</t>
        </is>
      </c>
      <c r="B73" t="n">
        <v>6</v>
      </c>
      <c r="C73" t="n">
        <v>588</v>
      </c>
      <c r="D73" s="189">
        <f>C73/B73</f>
        <v/>
      </c>
    </row>
    <row r="74">
      <c r="A74" t="inlineStr">
        <is>
          <t>LiteCycle</t>
        </is>
      </c>
      <c r="B74" t="n">
        <v>6</v>
      </c>
      <c r="C74" t="n">
        <v>548</v>
      </c>
      <c r="D74" s="189">
        <f>C74/B74</f>
        <v/>
      </c>
    </row>
    <row r="75">
      <c r="A75" t="inlineStr">
        <is>
          <t>Spoke'd Up</t>
        </is>
      </c>
      <c r="B75" t="n">
        <v>5</v>
      </c>
      <c r="C75" t="n">
        <v>362</v>
      </c>
      <c r="D75" s="189">
        <f>C75/B75</f>
        <v/>
      </c>
    </row>
    <row r="76">
      <c r="A76" s="173" t="inlineStr">
        <is>
          <t>WeBike</t>
        </is>
      </c>
      <c r="B76" s="167" t="n">
        <v>3</v>
      </c>
      <c r="C76" t="n">
        <v>215</v>
      </c>
      <c r="D76" s="189">
        <f>C76/B76</f>
        <v/>
      </c>
    </row>
    <row r="77">
      <c r="A77" s="166" t="inlineStr">
        <is>
          <t>RECREATION</t>
        </is>
      </c>
      <c r="D77" s="189" t="n"/>
    </row>
    <row r="78">
      <c r="A78" t="inlineStr">
        <is>
          <t>SpaceBikes</t>
        </is>
      </c>
      <c r="B78" t="n">
        <v>4</v>
      </c>
      <c r="C78" t="n">
        <v>710</v>
      </c>
      <c r="D78" s="189">
        <f>C78/B78</f>
        <v/>
      </c>
    </row>
    <row r="79">
      <c r="A79" t="inlineStr">
        <is>
          <t>MILC Bikes</t>
        </is>
      </c>
      <c r="B79" t="n">
        <v>3</v>
      </c>
      <c r="C79" t="n">
        <v>471</v>
      </c>
      <c r="D79" s="189">
        <f>C79/B79</f>
        <v/>
      </c>
    </row>
    <row r="80">
      <c r="A80" t="inlineStr">
        <is>
          <t>Spoke'd Up</t>
        </is>
      </c>
      <c r="B80" t="n">
        <v>4</v>
      </c>
      <c r="C80" t="n">
        <v>492</v>
      </c>
      <c r="D80" s="189">
        <f>C80/B80</f>
        <v/>
      </c>
    </row>
    <row r="81">
      <c r="A81" s="173" t="inlineStr">
        <is>
          <t>WeBike</t>
        </is>
      </c>
      <c r="B81" t="n">
        <v>0</v>
      </c>
      <c r="C81" t="n">
        <v>54</v>
      </c>
      <c r="D81" s="189" t="inlineStr">
        <is>
          <t>spillover only - no Rec specialists</t>
        </is>
      </c>
    </row>
    <row r="84">
      <c r="A84" s="166" t="inlineStr">
        <is>
          <t>Q4 STAFFING PLAN</t>
        </is>
      </c>
      <c r="B84" s="166" t="inlineStr">
        <is>
          <t>Action</t>
        </is>
      </c>
      <c r="C84" s="166" t="inlineStr">
        <is>
          <t>Cost</t>
        </is>
      </c>
      <c r="D84" s="166" t="inlineStr">
        <is>
          <t>Expected units</t>
        </is>
      </c>
    </row>
    <row r="85">
      <c r="A85" t="inlineStr">
        <is>
          <t>1. Train the 2 untrained</t>
        </is>
      </c>
      <c r="B85" s="174" t="inlineStr">
        <is>
          <t>1 Mountain (Rio) + 1 Speed (Amsterdam)</t>
        </is>
      </c>
      <c r="C85" t="n">
        <v>800</v>
      </c>
      <c r="D85" t="inlineStr">
        <is>
          <t>free productivity</t>
        </is>
      </c>
    </row>
    <row r="86">
      <c r="A86" t="inlineStr">
        <is>
          <t>2. Fill Rio to the 7-cap</t>
        </is>
      </c>
      <c r="B86" s="174" t="inlineStr">
        <is>
          <t>+3 people: 1 Mountain, 1 Speed, 1 Service</t>
        </is>
      </c>
      <c r="C86" t="inlineStr">
        <is>
          <t>~$18,300/qtr salary + hire + train</t>
        </is>
      </c>
      <c r="D86" t="inlineStr">
        <is>
          <t>~+200 at Rio's ~67/head</t>
        </is>
      </c>
    </row>
    <row r="87">
      <c r="A87" t="inlineStr">
        <is>
          <t>3. Rebuild web staff</t>
        </is>
      </c>
      <c r="B87" s="174" t="inlineStr">
        <is>
          <t>3 -&gt; 6 web sales/support</t>
        </is>
      </c>
      <c r="C87" t="inlineStr">
        <is>
          <t>~$18,300/qtr</t>
        </is>
      </c>
      <c r="D87" t="inlineStr">
        <is>
          <t>~+152 (see Q3_Channel)</t>
        </is>
      </c>
    </row>
    <row r="88">
      <c r="A88" t="inlineStr">
        <is>
          <t>4. Add Speed specialists</t>
        </is>
      </c>
      <c r="B88" s="174" t="inlineStr">
        <is>
          <t>we have 3 vs BB LLC/LiteCycle/SpaceBikes 6</t>
        </is>
      </c>
      <c r="C88" t="inlineStr">
        <is>
          <t>included above</t>
        </is>
      </c>
      <c r="D88" t="inlineStr">
        <is>
          <t>Speed is our weakest segment AND the largest</t>
        </is>
      </c>
    </row>
    <row r="89">
      <c r="A89" t="inlineStr">
        <is>
          <t>5. New York store (if funded)</t>
        </is>
      </c>
      <c r="B89" s="174" t="inlineStr">
        <is>
          <t>unlocks 7 fresh slots; staff Speed-heavy</t>
        </is>
      </c>
      <c r="C89" t="inlineStr">
        <is>
          <t>setup + lease + salaries</t>
        </is>
      </c>
      <c r="D89" t="inlineStr">
        <is>
          <t>~400-570 at incumbent rates</t>
        </is>
      </c>
    </row>
    <row r="90">
      <c r="A90" t="inlineStr">
        <is>
          <t>NOT possible</t>
        </is>
      </c>
      <c r="B90" s="185" t="inlineStr">
        <is>
          <t>Adding anyone in Amsterdam - we are at the 7-person cap</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cols>
    <col width="50" customWidth="1" style="146" min="1" max="1"/>
    <col width="16" customWidth="1" style="146" min="2" max="2"/>
    <col width="20" customWidth="1" style="146" min="3" max="3"/>
    <col width="58" customWidth="1" style="146" min="4" max="4"/>
    <col width="14" customWidth="1" style="146" min="5" max="5"/>
    <col width="14" customWidth="1" style="146" min="6" max="6"/>
    <col width="14" customWidth="1" style="146" min="7" max="7"/>
    <col width="14" customWidth="1" style="146" min="8" max="8"/>
  </cols>
  <sheetData>
    <row r="1">
      <c r="A1" s="169" t="inlineStr">
        <is>
          <t>Web Sales &amp; Service + Web Productivity Budgets — Q3 actual</t>
        </is>
      </c>
    </row>
    <row r="2">
      <c r="A2" s="170" t="inlineStr">
        <is>
          <t>Two findings: web staff is ALSO capped at 7 and we sit at 3, and there are FOUR web productivity tactics of which we fund ONE. Every firm running all four gets 435-569 web units; the two running fewer get 120-138.</t>
        </is>
      </c>
    </row>
    <row r="4">
      <c r="A4" s="166" t="inlineStr">
        <is>
          <t>WEB STAFF</t>
        </is>
      </c>
      <c r="B4" s="166" t="inlineStr">
        <is>
          <t>Sales</t>
        </is>
      </c>
      <c r="C4" s="166" t="inlineStr">
        <is>
          <t>Service</t>
        </is>
      </c>
      <c r="D4" s="166" t="inlineStr">
        <is>
          <t>Total</t>
        </is>
      </c>
      <c r="E4" s="166" t="inlineStr">
        <is>
          <t>Web demand</t>
        </is>
      </c>
      <c r="F4" s="166" t="inlineStr">
        <is>
          <t>Demand / web head</t>
        </is>
      </c>
      <c r="G4" s="166" t="inlineStr">
        <is>
          <t>Slots open to 7</t>
        </is>
      </c>
    </row>
    <row r="5">
      <c r="A5" t="inlineStr">
        <is>
          <t>BB LLC</t>
        </is>
      </c>
      <c r="B5" t="n">
        <v>5</v>
      </c>
      <c r="C5" t="n">
        <v>2</v>
      </c>
      <c r="D5" t="n">
        <v>7</v>
      </c>
      <c r="E5" t="n">
        <v>569</v>
      </c>
      <c r="F5" s="189" t="n">
        <v>81.28571428571429</v>
      </c>
      <c r="G5" t="n">
        <v>0</v>
      </c>
    </row>
    <row r="6">
      <c r="A6" t="inlineStr">
        <is>
          <t>SpaceBikes</t>
        </is>
      </c>
      <c r="B6" t="n">
        <v>5</v>
      </c>
      <c r="C6" t="n">
        <v>2</v>
      </c>
      <c r="D6" t="n">
        <v>7</v>
      </c>
      <c r="E6" t="n">
        <v>491</v>
      </c>
      <c r="F6" s="189" t="n">
        <v>70.14285714285714</v>
      </c>
      <c r="G6" t="n">
        <v>0</v>
      </c>
    </row>
    <row r="7">
      <c r="A7" t="inlineStr">
        <is>
          <t>LiteCycle</t>
        </is>
      </c>
      <c r="B7" t="n">
        <v>5</v>
      </c>
      <c r="C7" t="n">
        <v>2</v>
      </c>
      <c r="D7" t="n">
        <v>7</v>
      </c>
      <c r="E7" t="n">
        <v>435</v>
      </c>
      <c r="F7" s="189" t="n">
        <v>62.14285714285715</v>
      </c>
      <c r="G7" t="n">
        <v>0</v>
      </c>
    </row>
    <row r="8">
      <c r="A8" t="inlineStr">
        <is>
          <t>MILC Bikes</t>
        </is>
      </c>
      <c r="B8" t="n">
        <v>6</v>
      </c>
      <c r="C8" t="n">
        <v>1</v>
      </c>
      <c r="D8" t="n">
        <v>7</v>
      </c>
      <c r="E8" t="n">
        <v>435</v>
      </c>
      <c r="F8" s="189" t="n">
        <v>62.14285714285715</v>
      </c>
      <c r="G8" t="n">
        <v>0</v>
      </c>
    </row>
    <row r="9">
      <c r="A9" t="inlineStr">
        <is>
          <t>Spoke'd Up</t>
        </is>
      </c>
      <c r="B9" t="n">
        <v>2</v>
      </c>
      <c r="C9" t="n">
        <v>1</v>
      </c>
      <c r="D9" t="n">
        <v>3</v>
      </c>
      <c r="E9" t="n">
        <v>138</v>
      </c>
      <c r="F9" s="189" t="n">
        <v>46</v>
      </c>
      <c r="G9" t="n">
        <v>4</v>
      </c>
    </row>
    <row r="10">
      <c r="A10" s="171" t="inlineStr">
        <is>
          <t>WeBike</t>
        </is>
      </c>
      <c r="B10" s="171" t="n">
        <v>2</v>
      </c>
      <c r="C10" s="171" t="n">
        <v>1</v>
      </c>
      <c r="D10" s="171" t="n">
        <v>3</v>
      </c>
      <c r="E10" s="171" t="n">
        <v>120</v>
      </c>
      <c r="F10" s="190" t="n">
        <v>40</v>
      </c>
      <c r="G10" s="188" t="n">
        <v>4</v>
      </c>
    </row>
    <row r="11">
      <c r="A11" t="inlineStr">
        <is>
          <t>Bike Bros</t>
        </is>
      </c>
      <c r="B11" t="n">
        <v>0</v>
      </c>
      <c r="C11" t="n">
        <v>0</v>
      </c>
      <c r="D11" t="n">
        <v>0</v>
      </c>
      <c r="E11" t="n">
        <v>0</v>
      </c>
      <c r="F11" s="189" t="n">
        <v>0</v>
      </c>
      <c r="G11" t="inlineStr">
        <is>
          <t>no web centre</t>
        </is>
      </c>
    </row>
    <row r="14">
      <c r="A14" s="166" t="inlineStr">
        <is>
          <t>THE WEB STAFF CAP</t>
        </is>
      </c>
      <c r="B14" s="166" t="inlineStr">
        <is>
          <t>Value</t>
        </is>
      </c>
      <c r="C14" s="166" t="inlineStr">
        <is>
          <t>Note</t>
        </is>
      </c>
    </row>
    <row r="15">
      <c r="A15" t="inlineStr">
        <is>
          <t>Max web staff observed</t>
        </is>
      </c>
      <c r="B15" t="n">
        <v>7</v>
      </c>
      <c r="C15" s="170" t="inlineStr">
        <is>
          <t>LiteCycle, BB LLC, SpaceBikes and MILC all sit exactly at 7</t>
        </is>
      </c>
    </row>
    <row r="16">
      <c r="A16" t="inlineStr">
        <is>
          <t>WeBike web staff</t>
        </is>
      </c>
      <c r="B16" s="167" t="n">
        <v>3</v>
      </c>
      <c r="C16" s="170" t="inlineStr">
        <is>
          <t>2 sales + 1 service - we CUT to this in Q3</t>
        </is>
      </c>
    </row>
    <row r="17">
      <c r="A17" t="inlineStr">
        <is>
          <t>Slots open</t>
        </is>
      </c>
      <c r="B17" t="n">
        <v>4</v>
      </c>
      <c r="C17" s="170" t="inlineStr">
        <is>
          <t>same 7-person ceiling as the city stores</t>
        </is>
      </c>
    </row>
    <row r="18">
      <c r="A18" t="inlineStr">
        <is>
          <t>Our demand per web head</t>
        </is>
      </c>
      <c r="B18" s="167" t="n">
        <v>40</v>
      </c>
      <c r="C18" s="170" t="inlineStr">
        <is>
          <t>LOWEST of all six firms with a web centre</t>
        </is>
      </c>
    </row>
    <row r="19">
      <c r="A19" t="inlineStr">
        <is>
          <t>Leader demand per web head</t>
        </is>
      </c>
      <c r="B19" t="n">
        <v>81.3</v>
      </c>
      <c r="C19" s="170" t="inlineStr">
        <is>
          <t>BB LLC</t>
        </is>
      </c>
    </row>
    <row r="20">
      <c r="A20" t="inlineStr">
        <is>
          <t>Read</t>
        </is>
      </c>
      <c r="C20" s="174" t="inlineStr">
        <is>
          <t>The web centre has the same 7-person ceiling as a store, but unlike Amsterdam we are nowhere near it. Four open slots and the worst output per head is the largest single pool of unclaimed demand we have found.</t>
        </is>
      </c>
    </row>
    <row r="23">
      <c r="A23" s="166" t="inlineStr">
        <is>
          <t>WEB PRODUCTIVITY BUDGETS</t>
        </is>
      </c>
      <c r="B23" s="166" t="inlineStr">
        <is>
          <t>LiteCycle</t>
        </is>
      </c>
      <c r="C23" s="166" t="inlineStr">
        <is>
          <t>WeBike</t>
        </is>
      </c>
      <c r="D23" s="166" t="inlineStr">
        <is>
          <t>BB LLC</t>
        </is>
      </c>
      <c r="E23" s="166" t="inlineStr">
        <is>
          <t>Spoke'd Up</t>
        </is>
      </c>
      <c r="F23" s="166" t="inlineStr">
        <is>
          <t>SpaceBikes</t>
        </is>
      </c>
      <c r="G23" s="166" t="inlineStr">
        <is>
          <t>MILC Bikes</t>
        </is>
      </c>
      <c r="H23" s="166" t="inlineStr">
        <is>
          <t>Average</t>
        </is>
      </c>
    </row>
    <row r="24">
      <c r="A24" t="inlineStr">
        <is>
          <t>Toll-free phone advising / service calls</t>
        </is>
      </c>
      <c r="B24" t="n">
        <v>7000</v>
      </c>
      <c r="C24" s="171" t="n">
        <v>6000</v>
      </c>
      <c r="D24" t="n">
        <v>9000</v>
      </c>
      <c r="E24" t="n">
        <v>3000</v>
      </c>
      <c r="F24" t="n">
        <v>6000</v>
      </c>
      <c r="G24" t="n">
        <v>3000</v>
      </c>
      <c r="H24" t="n">
        <v>5667</v>
      </c>
    </row>
    <row r="25">
      <c r="A25" t="inlineStr">
        <is>
          <t>Advanced shopping cart &amp; checkout</t>
        </is>
      </c>
      <c r="B25" t="n">
        <v>7000</v>
      </c>
      <c r="C25" s="188" t="n">
        <v>0</v>
      </c>
      <c r="D25" t="n">
        <v>7000</v>
      </c>
      <c r="E25" t="n">
        <v>0</v>
      </c>
      <c r="F25" t="n">
        <v>7000</v>
      </c>
      <c r="G25" t="n">
        <v>7000</v>
      </c>
      <c r="H25" t="n">
        <v>7000</v>
      </c>
    </row>
    <row r="26">
      <c r="A26" t="inlineStr">
        <is>
          <t>Continuous page upgrades (content, appeal, navigation)</t>
        </is>
      </c>
      <c r="B26" t="n">
        <v>7000</v>
      </c>
      <c r="C26" s="188" t="n">
        <v>0</v>
      </c>
      <c r="D26" t="n">
        <v>9000</v>
      </c>
      <c r="E26" t="n">
        <v>6000</v>
      </c>
      <c r="F26" t="n">
        <v>12000</v>
      </c>
      <c r="G26" t="n">
        <v>6000</v>
      </c>
      <c r="H26" t="n">
        <v>6667</v>
      </c>
    </row>
    <row r="27">
      <c r="A27" t="inlineStr">
        <is>
          <t>Order tracking software</t>
        </is>
      </c>
      <c r="B27" t="n">
        <v>8000</v>
      </c>
      <c r="C27" s="188" t="n">
        <v>0</v>
      </c>
      <c r="D27" t="n">
        <v>8000</v>
      </c>
      <c r="E27" t="n">
        <v>0</v>
      </c>
      <c r="F27" t="n">
        <v>8000</v>
      </c>
      <c r="G27" t="n">
        <v>8000</v>
      </c>
      <c r="H27" t="n">
        <v>8000</v>
      </c>
    </row>
    <row r="28">
      <c r="A28" t="inlineStr">
        <is>
          <t>TOTAL</t>
        </is>
      </c>
      <c r="B28" t="n">
        <v>29000</v>
      </c>
      <c r="C28" s="171" t="n">
        <v>6000</v>
      </c>
      <c r="D28" t="n">
        <v>33000</v>
      </c>
      <c r="E28" t="n">
        <v>9000</v>
      </c>
      <c r="F28" t="n">
        <v>33000</v>
      </c>
      <c r="G28" t="n">
        <v>24000</v>
      </c>
      <c r="H28" t="n">
        <v>27334</v>
      </c>
    </row>
    <row r="29">
      <c r="A29" t="inlineStr">
        <is>
          <t>Tactics funded (of 4)</t>
        </is>
      </c>
      <c r="B29" t="n">
        <v>4</v>
      </c>
      <c r="C29" s="171" t="n">
        <v>1</v>
      </c>
      <c r="D29" t="n">
        <v>4</v>
      </c>
      <c r="E29" t="n">
        <v>2</v>
      </c>
      <c r="F29" t="n">
        <v>4</v>
      </c>
      <c r="G29" t="n">
        <v>4</v>
      </c>
    </row>
    <row r="30">
      <c r="A30" t="inlineStr">
        <is>
          <t>Web demand</t>
        </is>
      </c>
      <c r="B30" t="n">
        <v>435</v>
      </c>
      <c r="C30" s="171" t="n">
        <v>120</v>
      </c>
      <c r="D30" t="n">
        <v>569</v>
      </c>
      <c r="E30" t="n">
        <v>138</v>
      </c>
      <c r="F30" t="n">
        <v>491</v>
      </c>
      <c r="G30" t="n">
        <v>435</v>
      </c>
    </row>
    <row r="33">
      <c r="A33" s="166" t="inlineStr">
        <is>
          <t>THE PATTERN IS ALMOST PERFECT</t>
        </is>
      </c>
      <c r="B33" s="166" t="inlineStr">
        <is>
          <t>Tactics funded</t>
        </is>
      </c>
      <c r="C33" s="166" t="inlineStr">
        <is>
          <t>Total budget</t>
        </is>
      </c>
      <c r="D33" s="166" t="inlineStr">
        <is>
          <t>Web demand</t>
        </is>
      </c>
    </row>
    <row r="34">
      <c r="A34" t="inlineStr">
        <is>
          <t>BB LLC</t>
        </is>
      </c>
      <c r="B34" t="n">
        <v>4</v>
      </c>
      <c r="C34" t="n">
        <v>33000</v>
      </c>
      <c r="D34" s="159" t="n">
        <v>569</v>
      </c>
    </row>
    <row r="35">
      <c r="A35" t="inlineStr">
        <is>
          <t>SpaceBikes</t>
        </is>
      </c>
      <c r="B35" t="n">
        <v>4</v>
      </c>
      <c r="C35" t="n">
        <v>33000</v>
      </c>
      <c r="D35" s="159" t="n">
        <v>491</v>
      </c>
    </row>
    <row r="36">
      <c r="A36" t="inlineStr">
        <is>
          <t>LiteCycle</t>
        </is>
      </c>
      <c r="B36" t="n">
        <v>4</v>
      </c>
      <c r="C36" t="n">
        <v>29000</v>
      </c>
      <c r="D36" s="159" t="n">
        <v>435</v>
      </c>
    </row>
    <row r="37">
      <c r="A37" t="inlineStr">
        <is>
          <t>MILC Bikes</t>
        </is>
      </c>
      <c r="B37" t="n">
        <v>4</v>
      </c>
      <c r="C37" t="n">
        <v>24000</v>
      </c>
      <c r="D37" s="159" t="n">
        <v>435</v>
      </c>
    </row>
    <row r="38">
      <c r="A38" t="inlineStr">
        <is>
          <t>Spoke'd Up</t>
        </is>
      </c>
      <c r="B38" t="n">
        <v>2</v>
      </c>
      <c r="C38" t="n">
        <v>9000</v>
      </c>
      <c r="D38" s="167" t="n">
        <v>138</v>
      </c>
    </row>
    <row r="39">
      <c r="A39" t="inlineStr">
        <is>
          <t>WeBike</t>
        </is>
      </c>
      <c r="B39" t="n">
        <v>1</v>
      </c>
      <c r="C39" t="n">
        <v>6000</v>
      </c>
      <c r="D39" s="167" t="n">
        <v>120</v>
      </c>
    </row>
    <row r="40">
      <c r="A40" t="inlineStr">
        <is>
          <t>Read</t>
        </is>
      </c>
      <c r="D40" s="174" t="inlineStr">
        <is>
          <t>Every firm funding all four tactics ($24k-33k) lands at 435-569 web units. Both firms funding fewer land at 120-138. Headcount moves with budget (7 vs 3) so the two effects cannot be fully separated - but we are at the bottom of BOTH.</t>
        </is>
      </c>
    </row>
    <row r="43">
      <c r="A43" s="166" t="inlineStr">
        <is>
          <t>WHAT WE NEVER STARTED</t>
        </is>
      </c>
      <c r="B43" s="166" t="inlineStr">
        <is>
          <t>Our budget</t>
        </is>
      </c>
      <c r="C43" s="166" t="inlineStr">
        <is>
          <t>Industry average</t>
        </is>
      </c>
      <c r="D43" s="166" t="inlineStr">
        <is>
          <t>Note</t>
        </is>
      </c>
    </row>
    <row r="44">
      <c r="A44" t="inlineStr">
        <is>
          <t>Toll-free phone</t>
        </is>
      </c>
      <c r="B44" s="159" t="n">
        <v>6000</v>
      </c>
      <c r="C44" t="n">
        <v>5667</v>
      </c>
      <c r="D44" s="170" t="inlineStr">
        <is>
          <t>ABOVE average - our one good web decision (raised from $3k)</t>
        </is>
      </c>
    </row>
    <row r="45">
      <c r="A45" t="inlineStr">
        <is>
          <t>Advanced shopping cart &amp; checkout</t>
        </is>
      </c>
      <c r="B45" s="167" t="n">
        <v>0</v>
      </c>
      <c r="C45" t="n">
        <v>7000</v>
      </c>
      <c r="D45" s="170" t="inlineStr">
        <is>
          <t>NEVER STARTED - 4 of 6 firms fund it at $7,000</t>
        </is>
      </c>
    </row>
    <row r="46">
      <c r="A46" t="inlineStr">
        <is>
          <t>Continuous page upgrades</t>
        </is>
      </c>
      <c r="B46" s="167" t="n">
        <v>0</v>
      </c>
      <c r="C46" t="n">
        <v>6667</v>
      </c>
      <c r="D46" s="170" t="inlineStr">
        <is>
          <t>WE STOPPED THIS IN Q3 - SpaceBikes funds it at $12,000</t>
        </is>
      </c>
    </row>
    <row r="47">
      <c r="A47" t="inlineStr">
        <is>
          <t>Order tracking software</t>
        </is>
      </c>
      <c r="B47" s="167" t="n">
        <v>0</v>
      </c>
      <c r="C47" t="n">
        <v>8000</v>
      </c>
      <c r="D47" s="170" t="inlineStr">
        <is>
          <t>NEVER STARTED - 4 of 6 firms fund it at $8,000</t>
        </is>
      </c>
    </row>
    <row r="48">
      <c r="A48" t="inlineStr">
        <is>
          <t>Our total</t>
        </is>
      </c>
      <c r="B48" t="n">
        <v>6000</v>
      </c>
      <c r="C48" t="n">
        <v>27500</v>
      </c>
      <c r="D48" s="170" t="inlineStr">
        <is>
          <t>average of the four full-tactic firms</t>
        </is>
      </c>
    </row>
    <row r="51">
      <c r="A51" s="166" t="inlineStr">
        <is>
          <t>THE FULL WEB REBUILD CASE</t>
        </is>
      </c>
      <c r="B51" s="166" t="inlineStr">
        <is>
          <t>Value</t>
        </is>
      </c>
      <c r="C51" s="166" t="inlineStr">
        <is>
          <t>Note</t>
        </is>
      </c>
    </row>
    <row r="52">
      <c r="A52" t="inlineStr">
        <is>
          <t>Current web demand</t>
        </is>
      </c>
      <c r="B52" t="n">
        <v>120</v>
      </c>
      <c r="C52" s="170" t="inlineStr">
        <is>
          <t>3 staff, 1 tactic, $6,000</t>
        </is>
      </c>
    </row>
    <row r="53">
      <c r="A53" t="inlineStr">
        <is>
          <t>Full-tactic cohort web demand range</t>
        </is>
      </c>
      <c r="B53" t="inlineStr">
        <is>
          <t>435 - 569</t>
        </is>
      </c>
      <c r="C53" s="170" t="inlineStr">
        <is>
          <t>7 staff, 4 tactics, $24k-33k</t>
        </is>
      </c>
    </row>
    <row r="54">
      <c r="A54" t="inlineStr">
        <is>
          <t>Conservative target (cohort floor)</t>
        </is>
      </c>
      <c r="B54" t="n">
        <v>435</v>
      </c>
      <c r="C54" s="170" t="inlineStr">
        <is>
          <t>LiteCycle / MILC level</t>
        </is>
      </c>
    </row>
    <row r="55">
      <c r="A55" t="inlineStr">
        <is>
          <t>Additional demand</t>
        </is>
      </c>
      <c r="B55">
        <f>C54-C52</f>
        <v/>
      </c>
      <c r="C55" s="170" t="n"/>
    </row>
    <row r="56">
      <c r="A56" t="inlineStr">
        <is>
          <t>Contribution per unit</t>
        </is>
      </c>
      <c r="B56" t="n">
        <v>750</v>
      </c>
      <c r="C56" s="170" t="n"/>
    </row>
    <row r="57">
      <c r="A57" t="inlineStr">
        <is>
          <t>Gross margin opportunity</t>
        </is>
      </c>
      <c r="B57" s="159">
        <f>C55*C56</f>
        <v/>
      </c>
      <c r="C57" s="170" t="n"/>
    </row>
    <row r="58">
      <c r="A58" t="inlineStr">
        <is>
          <t>Cost: +4 web staff per quarter</t>
        </is>
      </c>
      <c r="B58" t="n">
        <v>24425</v>
      </c>
      <c r="C58" s="170" t="inlineStr">
        <is>
          <t>4 x $24,425/yr = ~$6,106/qtr each</t>
        </is>
      </c>
    </row>
    <row r="59">
      <c r="A59" t="inlineStr">
        <is>
          <t>Cost: raise web budget $6,000 -&gt; $28,000</t>
        </is>
      </c>
      <c r="B59" t="n">
        <v>22000</v>
      </c>
      <c r="C59" s="170" t="inlineStr">
        <is>
          <t>add 3 tactics, top up toll-free</t>
        </is>
      </c>
    </row>
    <row r="60">
      <c r="A60" t="inlineStr">
        <is>
          <t>Total incremental cost</t>
        </is>
      </c>
      <c r="B60">
        <f>C58+C59</f>
        <v/>
      </c>
      <c r="C60" s="170" t="n"/>
    </row>
    <row r="61">
      <c r="A61" t="inlineStr">
        <is>
          <t>NET QUARTERLY GAIN</t>
        </is>
      </c>
      <c r="B61" s="192">
        <f>C57-C60</f>
        <v/>
      </c>
      <c r="C61" s="170" t="n"/>
    </row>
    <row r="62">
      <c r="A62" t="inlineStr">
        <is>
          <t>Note</t>
        </is>
      </c>
      <c r="C62" s="170" t="inlineStr">
        <is>
          <t>This supersedes the earlier +$89,600 estimate, which only modelled matching the average web MIX. Matching the leaders' web OPERATION is worth far more.</t>
        </is>
      </c>
    </row>
    <row r="65">
      <c r="A65" s="166" t="inlineStr">
        <is>
          <t>CAPACITY WARNING</t>
        </is>
      </c>
      <c r="B65" s="166" t="inlineStr">
        <is>
          <t>Units</t>
        </is>
      </c>
      <c r="C65" s="166" t="inlineStr">
        <is>
          <t>Note</t>
        </is>
      </c>
    </row>
    <row r="66">
      <c r="A66" t="inlineStr">
        <is>
          <t>Store demand today</t>
        </is>
      </c>
      <c r="B66" t="n">
        <v>507</v>
      </c>
      <c r="C66" s="170" t="n"/>
    </row>
    <row r="67">
      <c r="A67" t="inlineStr">
        <is>
          <t>Rio +3 staff at ~67/head</t>
        </is>
      </c>
      <c r="B67" t="n">
        <v>200</v>
      </c>
      <c r="C67" s="170" t="inlineStr">
        <is>
          <t>see Q3_Staffing</t>
        </is>
      </c>
    </row>
    <row r="68">
      <c r="A68" t="inlineStr">
        <is>
          <t>Web at cohort floor</t>
        </is>
      </c>
      <c r="B68" t="n">
        <v>435</v>
      </c>
      <c r="C68" s="170" t="n"/>
    </row>
    <row r="69">
      <c r="A69" t="inlineStr">
        <is>
          <t>Indicative total demand</t>
        </is>
      </c>
      <c r="B69">
        <f>C66+C67+C68</f>
        <v/>
      </c>
      <c r="C69" s="170" t="inlineStr">
        <is>
          <t>before ill will</t>
        </is>
      </c>
    </row>
    <row r="70">
      <c r="A70" t="inlineStr">
        <is>
          <t>Max units at 24/day, 65 days, 74% productivity</t>
        </is>
      </c>
      <c r="B70">
        <f>24*65*0.74</f>
        <v/>
      </c>
      <c r="C70" s="170" t="n"/>
    </row>
    <row r="71">
      <c r="A71" t="inlineStr">
        <is>
          <t>Required scheduled OC per day</t>
        </is>
      </c>
      <c r="B71" s="168">
        <f>C69/(0.74*65)</f>
        <v/>
      </c>
      <c r="C71" s="170" t="inlineStr">
        <is>
          <t>units / (productivity x days)</t>
        </is>
      </c>
    </row>
    <row r="72">
      <c r="A72" t="inlineStr">
        <is>
          <t>Fixed capacity per day</t>
        </is>
      </c>
      <c r="B72" t="n">
        <v>24</v>
      </c>
      <c r="C72" s="170" t="n"/>
    </row>
    <row r="73">
      <c r="A73" t="inlineStr">
        <is>
          <t>Headroom</t>
        </is>
      </c>
      <c r="B73">
        <f>C72-C71</f>
        <v/>
      </c>
      <c r="C73" s="170" t="n"/>
    </row>
    <row r="74">
      <c r="A74" t="inlineStr">
        <is>
          <t>Read</t>
        </is>
      </c>
      <c r="C74" s="174" t="inlineStr">
        <is>
          <t>Doing all of this at once pushes demand toward ~1,140 and required OC to roughly 21/day - inside our 24/day fixed capacity, but with little slack. Schedule OC to the FORECAST and re-run the production simulation before committing.</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96"/>
  <sheetViews>
    <sheetView workbookViewId="0">
      <selection activeCell="A1" sqref="A1"/>
    </sheetView>
  </sheetViews>
  <sheetFormatPr baseColWidth="8" defaultRowHeight="15"/>
  <cols>
    <col width="52" customWidth="1" style="146" min="1" max="1"/>
    <col width="22" customWidth="1" style="146" min="2" max="2"/>
    <col width="30" customWidth="1" style="146" min="3" max="3"/>
    <col width="60" customWidth="1" style="146" min="4" max="4"/>
    <col width="56" customWidth="1" style="146" min="5" max="5"/>
    <col width="16" customWidth="1" style="146" min="6" max="6"/>
    <col width="16" customWidth="1" style="146" min="7" max="7"/>
    <col width="16" customWidth="1" style="146" min="8" max="8"/>
  </cols>
  <sheetData>
    <row r="1">
      <c r="A1" s="169" t="inlineStr">
        <is>
          <t>Price Judgment — World Market, Q3 actual</t>
        </is>
      </c>
    </row>
    <row r="2">
      <c r="A2" s="170" t="inlineStr">
        <is>
          <t>100 = no price resistance. Lower = buyers find the price high. Because the score depends only on price vs segment willingness-to-pay, identical triplets imply identical prices - which lets us rank every rival's price without seeing the price list.</t>
        </is>
      </c>
    </row>
    <row r="4">
      <c r="A4" s="166" t="inlineStr">
        <is>
          <t>Brand</t>
        </is>
      </c>
      <c r="B4" s="166" t="inlineStr">
        <is>
          <t>Company</t>
        </is>
      </c>
      <c r="C4" s="166" t="inlineStr">
        <is>
          <t>Recreation</t>
        </is>
      </c>
      <c r="D4" s="166" t="inlineStr">
        <is>
          <t>Mountain</t>
        </is>
      </c>
      <c r="E4" s="166" t="inlineStr">
        <is>
          <t>Speed</t>
        </is>
      </c>
      <c r="F4" s="166" t="inlineStr">
        <is>
          <t>Targets</t>
        </is>
      </c>
      <c r="G4" s="166" t="inlineStr">
        <is>
          <t>Price judgment in target</t>
        </is>
      </c>
      <c r="H4" s="166" t="inlineStr">
        <is>
          <t>Resistance?</t>
        </is>
      </c>
    </row>
    <row r="5">
      <c r="A5" t="inlineStr">
        <is>
          <t>MACH I.I</t>
        </is>
      </c>
      <c r="B5" t="inlineStr">
        <is>
          <t>Bike Bros</t>
        </is>
      </c>
      <c r="C5" t="n">
        <v>63</v>
      </c>
      <c r="D5" t="n">
        <v>78</v>
      </c>
      <c r="E5" t="n">
        <v>90</v>
      </c>
      <c r="F5" t="inlineStr">
        <is>
          <t>Speed</t>
        </is>
      </c>
      <c r="G5" s="167" t="n">
        <v>90</v>
      </c>
      <c r="H5" t="inlineStr">
        <is>
          <t>-10</t>
        </is>
      </c>
    </row>
    <row r="6">
      <c r="A6" t="inlineStr">
        <is>
          <t>TERRAMAX</t>
        </is>
      </c>
      <c r="B6" t="inlineStr">
        <is>
          <t>Bike Bros</t>
        </is>
      </c>
      <c r="C6" t="n">
        <v>73</v>
      </c>
      <c r="D6" t="n">
        <v>91</v>
      </c>
      <c r="E6" t="n">
        <v>100</v>
      </c>
      <c r="F6" t="inlineStr">
        <is>
          <t>Mountain</t>
        </is>
      </c>
      <c r="G6" s="167" t="n">
        <v>91</v>
      </c>
      <c r="H6" t="inlineStr">
        <is>
          <t>-9</t>
        </is>
      </c>
    </row>
    <row r="7">
      <c r="A7" t="inlineStr">
        <is>
          <t>Mach 0.6</t>
        </is>
      </c>
      <c r="B7" t="inlineStr">
        <is>
          <t>Bike Bros</t>
        </is>
      </c>
      <c r="C7" t="n">
        <v>70</v>
      </c>
      <c r="D7" t="n">
        <v>86</v>
      </c>
      <c r="E7" t="n">
        <v>100</v>
      </c>
      <c r="F7" t="inlineStr">
        <is>
          <t>Speed</t>
        </is>
      </c>
      <c r="G7" s="159" t="n">
        <v>100</v>
      </c>
      <c r="H7" t="inlineStr">
        <is>
          <t>none</t>
        </is>
      </c>
    </row>
    <row r="8">
      <c r="A8" t="inlineStr">
        <is>
          <t>TERRAMean</t>
        </is>
      </c>
      <c r="B8" t="inlineStr">
        <is>
          <t>Bike Bros</t>
        </is>
      </c>
      <c r="C8" t="n">
        <v>82</v>
      </c>
      <c r="D8" t="n">
        <v>100</v>
      </c>
      <c r="E8" t="n">
        <v>100</v>
      </c>
      <c r="F8" t="inlineStr">
        <is>
          <t>Mountain</t>
        </is>
      </c>
      <c r="G8" s="159" t="n">
        <v>100</v>
      </c>
      <c r="H8" t="inlineStr">
        <is>
          <t>none</t>
        </is>
      </c>
    </row>
    <row r="9">
      <c r="A9" t="inlineStr">
        <is>
          <t>MountainCruise1</t>
        </is>
      </c>
      <c r="B9" t="inlineStr">
        <is>
          <t>Bike Bros</t>
        </is>
      </c>
      <c r="C9" t="n">
        <v>92</v>
      </c>
      <c r="D9" t="n">
        <v>100</v>
      </c>
      <c r="E9" t="n">
        <v>100</v>
      </c>
      <c r="F9" t="inlineStr">
        <is>
          <t>Recreation</t>
        </is>
      </c>
      <c r="G9" s="167" t="n">
        <v>92</v>
      </c>
      <c r="H9" t="inlineStr">
        <is>
          <t>-8</t>
        </is>
      </c>
    </row>
    <row r="10">
      <c r="A10" t="inlineStr">
        <is>
          <t>LiteSpeed Pro+</t>
        </is>
      </c>
      <c r="B10" t="inlineStr">
        <is>
          <t>LiteCycle</t>
        </is>
      </c>
      <c r="C10" t="n">
        <v>73</v>
      </c>
      <c r="D10" t="n">
        <v>90</v>
      </c>
      <c r="E10" t="n">
        <v>100</v>
      </c>
      <c r="F10" t="inlineStr">
        <is>
          <t>Speed</t>
        </is>
      </c>
      <c r="G10" s="159" t="n">
        <v>100</v>
      </c>
      <c r="H10" t="inlineStr">
        <is>
          <t>none</t>
        </is>
      </c>
    </row>
    <row r="11">
      <c r="A11" t="inlineStr">
        <is>
          <t>LiteSpeed+</t>
        </is>
      </c>
      <c r="B11" t="inlineStr">
        <is>
          <t>LiteCycle</t>
        </is>
      </c>
      <c r="C11" t="n">
        <v>83</v>
      </c>
      <c r="D11" t="n">
        <v>100</v>
      </c>
      <c r="E11" t="n">
        <v>100</v>
      </c>
      <c r="F11" t="inlineStr">
        <is>
          <t>Speed</t>
        </is>
      </c>
      <c r="G11" s="159" t="n">
        <v>100</v>
      </c>
      <c r="H11" t="inlineStr">
        <is>
          <t>none</t>
        </is>
      </c>
    </row>
    <row r="12">
      <c r="A12" t="inlineStr">
        <is>
          <t>LiteTrail Pro</t>
        </is>
      </c>
      <c r="B12" t="inlineStr">
        <is>
          <t>LiteCycle</t>
        </is>
      </c>
      <c r="C12" t="n">
        <v>85</v>
      </c>
      <c r="D12" t="n">
        <v>100</v>
      </c>
      <c r="E12" t="n">
        <v>100</v>
      </c>
      <c r="F12" t="inlineStr">
        <is>
          <t>Mountain</t>
        </is>
      </c>
      <c r="G12" s="159" t="n">
        <v>100</v>
      </c>
      <c r="H12" t="inlineStr">
        <is>
          <t>none</t>
        </is>
      </c>
    </row>
    <row r="13">
      <c r="A13" s="171" t="inlineStr">
        <is>
          <t>Hike Bike</t>
        </is>
      </c>
      <c r="B13" s="171" t="inlineStr">
        <is>
          <t>WeBike</t>
        </is>
      </c>
      <c r="C13" s="171" t="n">
        <v>81</v>
      </c>
      <c r="D13" s="171" t="n">
        <v>100</v>
      </c>
      <c r="E13" s="171" t="n">
        <v>100</v>
      </c>
      <c r="F13" s="171" t="inlineStr">
        <is>
          <t>Mountain</t>
        </is>
      </c>
      <c r="G13" s="172" t="n">
        <v>100</v>
      </c>
      <c r="H13" s="171" t="inlineStr">
        <is>
          <t>none</t>
        </is>
      </c>
    </row>
    <row r="14">
      <c r="A14" s="171" t="inlineStr">
        <is>
          <t>Swift Bike</t>
        </is>
      </c>
      <c r="B14" s="171" t="inlineStr">
        <is>
          <t>WeBike</t>
        </is>
      </c>
      <c r="C14" s="171" t="n">
        <v>76</v>
      </c>
      <c r="D14" s="171" t="n">
        <v>94</v>
      </c>
      <c r="E14" s="171" t="n">
        <v>100</v>
      </c>
      <c r="F14" s="171" t="inlineStr">
        <is>
          <t>Speed</t>
        </is>
      </c>
      <c r="G14" s="172" t="n">
        <v>100</v>
      </c>
      <c r="H14" s="171" t="inlineStr">
        <is>
          <t>none</t>
        </is>
      </c>
    </row>
    <row r="15">
      <c r="A15" t="inlineStr">
        <is>
          <t>Blu Ruged Ballz</t>
        </is>
      </c>
      <c r="B15" t="inlineStr">
        <is>
          <t>BB LLC</t>
        </is>
      </c>
      <c r="C15" t="n">
        <v>81</v>
      </c>
      <c r="D15" t="n">
        <v>100</v>
      </c>
      <c r="E15" t="n">
        <v>100</v>
      </c>
      <c r="F15" t="inlineStr">
        <is>
          <t>Mountain</t>
        </is>
      </c>
      <c r="G15" s="159" t="n">
        <v>100</v>
      </c>
      <c r="H15" t="inlineStr">
        <is>
          <t>none</t>
        </is>
      </c>
    </row>
    <row r="16">
      <c r="A16" t="inlineStr">
        <is>
          <t>Blu Aero Ballz</t>
        </is>
      </c>
      <c r="B16" t="inlineStr">
        <is>
          <t>BB LLC</t>
        </is>
      </c>
      <c r="C16" t="n">
        <v>70</v>
      </c>
      <c r="D16" t="n">
        <v>86</v>
      </c>
      <c r="E16" t="n">
        <v>100</v>
      </c>
      <c r="F16" t="inlineStr">
        <is>
          <t>Speed</t>
        </is>
      </c>
      <c r="G16" s="159" t="n">
        <v>100</v>
      </c>
      <c r="H16" t="inlineStr">
        <is>
          <t>none</t>
        </is>
      </c>
    </row>
    <row r="17">
      <c r="A17" t="inlineStr">
        <is>
          <t>Blu Tail Ballz</t>
        </is>
      </c>
      <c r="B17" t="inlineStr">
        <is>
          <t>BB LLC</t>
        </is>
      </c>
      <c r="C17" t="n">
        <v>81</v>
      </c>
      <c r="D17" t="n">
        <v>100</v>
      </c>
      <c r="E17" t="n">
        <v>100</v>
      </c>
      <c r="F17" t="inlineStr">
        <is>
          <t>Mountain</t>
        </is>
      </c>
      <c r="G17" s="159" t="n">
        <v>100</v>
      </c>
      <c r="H17" t="inlineStr">
        <is>
          <t>none</t>
        </is>
      </c>
    </row>
    <row r="18">
      <c r="A18" t="inlineStr">
        <is>
          <t>Blu Tube Ballz</t>
        </is>
      </c>
      <c r="B18" t="inlineStr">
        <is>
          <t>BB LLC</t>
        </is>
      </c>
      <c r="C18" t="n">
        <v>70</v>
      </c>
      <c r="D18" t="n">
        <v>86</v>
      </c>
      <c r="E18" t="n">
        <v>100</v>
      </c>
      <c r="F18" t="inlineStr">
        <is>
          <t>Speed</t>
        </is>
      </c>
      <c r="G18" s="159" t="n">
        <v>100</v>
      </c>
      <c r="H18" t="inlineStr">
        <is>
          <t>none</t>
        </is>
      </c>
    </row>
    <row r="19">
      <c r="A19" t="inlineStr">
        <is>
          <t>Spoke'd Easy</t>
        </is>
      </c>
      <c r="B19" t="inlineStr">
        <is>
          <t>Spoke'd Up</t>
        </is>
      </c>
      <c r="C19" t="n">
        <v>100</v>
      </c>
      <c r="D19" t="n">
        <v>100</v>
      </c>
      <c r="E19" t="n">
        <v>100</v>
      </c>
      <c r="F19" t="inlineStr">
        <is>
          <t>Recreation</t>
        </is>
      </c>
      <c r="G19" s="159" t="n">
        <v>100</v>
      </c>
      <c r="H19" t="inlineStr">
        <is>
          <t>none</t>
        </is>
      </c>
    </row>
    <row r="20">
      <c r="A20" t="inlineStr">
        <is>
          <t>Spoke'd Speed</t>
        </is>
      </c>
      <c r="B20" t="inlineStr">
        <is>
          <t>Spoke'd Up</t>
        </is>
      </c>
      <c r="C20" t="n">
        <v>73</v>
      </c>
      <c r="D20" t="n">
        <v>91</v>
      </c>
      <c r="E20" t="n">
        <v>100</v>
      </c>
      <c r="F20" t="inlineStr">
        <is>
          <t>Speed</t>
        </is>
      </c>
      <c r="G20" s="159" t="n">
        <v>100</v>
      </c>
      <c r="H20" t="inlineStr">
        <is>
          <t>none</t>
        </is>
      </c>
    </row>
    <row r="21">
      <c r="A21" t="inlineStr">
        <is>
          <t>The Armstrong</t>
        </is>
      </c>
      <c r="B21" t="inlineStr">
        <is>
          <t>SpaceBikes</t>
        </is>
      </c>
      <c r="C21" t="n">
        <v>70</v>
      </c>
      <c r="D21" t="n">
        <v>86</v>
      </c>
      <c r="E21" t="n">
        <v>100</v>
      </c>
      <c r="F21" t="inlineStr">
        <is>
          <t>Speed</t>
        </is>
      </c>
      <c r="G21" s="159" t="n">
        <v>100</v>
      </c>
      <c r="H21" t="inlineStr">
        <is>
          <t>none</t>
        </is>
      </c>
    </row>
    <row r="22">
      <c r="A22" t="inlineStr">
        <is>
          <t>Mars Rover</t>
        </is>
      </c>
      <c r="B22" t="inlineStr">
        <is>
          <t>SpaceBikes</t>
        </is>
      </c>
      <c r="C22" t="n">
        <v>100</v>
      </c>
      <c r="D22" t="n">
        <v>100</v>
      </c>
      <c r="E22" t="n">
        <v>100</v>
      </c>
      <c r="F22" t="inlineStr">
        <is>
          <t>Recreation</t>
        </is>
      </c>
      <c r="G22" s="159" t="n">
        <v>100</v>
      </c>
      <c r="H22" t="inlineStr">
        <is>
          <t>none</t>
        </is>
      </c>
    </row>
    <row r="23">
      <c r="A23" t="inlineStr">
        <is>
          <t>Whole MILC MKII</t>
        </is>
      </c>
      <c r="B23" t="inlineStr">
        <is>
          <t>MILC Bikes</t>
        </is>
      </c>
      <c r="C23" t="n">
        <v>100</v>
      </c>
      <c r="D23" t="n">
        <v>100</v>
      </c>
      <c r="E23" t="n">
        <v>100</v>
      </c>
      <c r="F23" t="inlineStr">
        <is>
          <t>Recreation</t>
        </is>
      </c>
      <c r="G23" s="159" t="n">
        <v>100</v>
      </c>
      <c r="H23" t="inlineStr">
        <is>
          <t>none</t>
        </is>
      </c>
    </row>
    <row r="24">
      <c r="A24" t="inlineStr">
        <is>
          <t>Skim MILC MKII</t>
        </is>
      </c>
      <c r="B24" t="inlineStr">
        <is>
          <t>MILC Bikes</t>
        </is>
      </c>
      <c r="C24" t="n">
        <v>76</v>
      </c>
      <c r="D24" t="n">
        <v>94</v>
      </c>
      <c r="E24" t="n">
        <v>100</v>
      </c>
      <c r="F24" t="inlineStr">
        <is>
          <t>Speed</t>
        </is>
      </c>
      <c r="G24" s="159" t="n">
        <v>100</v>
      </c>
      <c r="H24" t="inlineStr">
        <is>
          <t>none</t>
        </is>
      </c>
    </row>
    <row r="27">
      <c r="A27" s="166" t="inlineStr">
        <is>
          <t>INFERRED PRICE TIERS (cheapest first)</t>
        </is>
      </c>
      <c r="B27" s="166" t="inlineStr">
        <is>
          <t>Rec</t>
        </is>
      </c>
      <c r="C27" s="166" t="inlineStr">
        <is>
          <t>Mountain</t>
        </is>
      </c>
      <c r="D27" s="166" t="inlineStr">
        <is>
          <t>Speed</t>
        </is>
      </c>
      <c r="E27" s="166" t="inlineStr">
        <is>
          <t>Brands at this price</t>
        </is>
      </c>
    </row>
    <row r="28">
      <c r="A28" t="inlineStr">
        <is>
          <t>tier 100</t>
        </is>
      </c>
      <c r="B28" t="n">
        <v>100</v>
      </c>
      <c r="C28" t="n">
        <v>100</v>
      </c>
      <c r="D28" t="n">
        <v>100</v>
      </c>
      <c r="E28" s="170" t="inlineStr">
        <is>
          <t>Spoke'd Easy (Spoke'd Up), Mars Rover (SpaceBikes), Whole MILC MKII (MILC Bikes)</t>
        </is>
      </c>
    </row>
    <row r="29">
      <c r="A29" t="inlineStr">
        <is>
          <t>tier 92</t>
        </is>
      </c>
      <c r="B29" t="n">
        <v>92</v>
      </c>
      <c r="C29" t="n">
        <v>100</v>
      </c>
      <c r="D29" t="n">
        <v>100</v>
      </c>
      <c r="E29" s="170" t="inlineStr">
        <is>
          <t>MountainCruise1 (Bike Bros)</t>
        </is>
      </c>
    </row>
    <row r="30">
      <c r="A30" t="inlineStr">
        <is>
          <t>tier 85</t>
        </is>
      </c>
      <c r="B30" t="n">
        <v>85</v>
      </c>
      <c r="C30" t="n">
        <v>100</v>
      </c>
      <c r="D30" t="n">
        <v>100</v>
      </c>
      <c r="E30" s="170" t="inlineStr">
        <is>
          <t>LiteTrail Pro (LiteCycle)</t>
        </is>
      </c>
    </row>
    <row r="31">
      <c r="A31" t="inlineStr">
        <is>
          <t>tier 83</t>
        </is>
      </c>
      <c r="B31" t="n">
        <v>83</v>
      </c>
      <c r="C31" t="n">
        <v>100</v>
      </c>
      <c r="D31" t="n">
        <v>100</v>
      </c>
      <c r="E31" s="170" t="inlineStr">
        <is>
          <t>LiteSpeed+ (LiteCycle)</t>
        </is>
      </c>
    </row>
    <row r="32">
      <c r="A32" t="inlineStr">
        <is>
          <t>tier 82</t>
        </is>
      </c>
      <c r="B32" t="n">
        <v>82</v>
      </c>
      <c r="C32" t="n">
        <v>100</v>
      </c>
      <c r="D32" t="n">
        <v>100</v>
      </c>
      <c r="E32" s="170" t="inlineStr">
        <is>
          <t>TERRAMean (Bike Bros)</t>
        </is>
      </c>
    </row>
    <row r="33">
      <c r="A33" s="173" t="inlineStr">
        <is>
          <t>tier 81</t>
        </is>
      </c>
      <c r="B33" s="173" t="n">
        <v>81</v>
      </c>
      <c r="C33" s="173" t="n">
        <v>100</v>
      </c>
      <c r="D33" s="173" t="n">
        <v>100</v>
      </c>
      <c r="E33" s="193" t="inlineStr">
        <is>
          <t>Hike Bike (WeBike), Blu Ruged Ballz (BB LLC), Blu Tail Ballz (BB LLC)</t>
        </is>
      </c>
    </row>
    <row r="34">
      <c r="A34" s="173" t="inlineStr">
        <is>
          <t>tier 76</t>
        </is>
      </c>
      <c r="B34" s="173" t="n">
        <v>76</v>
      </c>
      <c r="C34" s="173" t="n">
        <v>94</v>
      </c>
      <c r="D34" s="173" t="n">
        <v>100</v>
      </c>
      <c r="E34" s="193" t="inlineStr">
        <is>
          <t>Swift Bike (WeBike), Skim MILC MKII (MILC Bikes)</t>
        </is>
      </c>
    </row>
    <row r="35">
      <c r="A35" t="inlineStr">
        <is>
          <t>tier 73</t>
        </is>
      </c>
      <c r="B35" t="n">
        <v>73</v>
      </c>
      <c r="C35" t="n">
        <v>91</v>
      </c>
      <c r="D35" t="n">
        <v>100</v>
      </c>
      <c r="E35" s="170" t="inlineStr">
        <is>
          <t>TERRAMAX (Bike Bros), Spoke'd Speed (Spoke'd Up)</t>
        </is>
      </c>
    </row>
    <row r="36">
      <c r="A36" t="inlineStr">
        <is>
          <t>tier 73</t>
        </is>
      </c>
      <c r="B36" t="n">
        <v>73</v>
      </c>
      <c r="C36" t="n">
        <v>90</v>
      </c>
      <c r="D36" t="n">
        <v>100</v>
      </c>
      <c r="E36" s="170" t="inlineStr">
        <is>
          <t>LiteSpeed Pro+ (LiteCycle)</t>
        </is>
      </c>
    </row>
    <row r="37">
      <c r="A37" t="inlineStr">
        <is>
          <t>tier 70</t>
        </is>
      </c>
      <c r="B37" t="n">
        <v>70</v>
      </c>
      <c r="C37" t="n">
        <v>86</v>
      </c>
      <c r="D37" t="n">
        <v>100</v>
      </c>
      <c r="E37" s="170" t="inlineStr">
        <is>
          <t>Mach 0.6 (Bike Bros), Blu Aero Ballz (BB LLC), Blu Tube Ballz (BB LLC), The Armstrong (SpaceBikes)</t>
        </is>
      </c>
    </row>
    <row r="38">
      <c r="A38" t="inlineStr">
        <is>
          <t>tier 63</t>
        </is>
      </c>
      <c r="B38" t="n">
        <v>63</v>
      </c>
      <c r="C38" t="n">
        <v>78</v>
      </c>
      <c r="D38" t="n">
        <v>90</v>
      </c>
      <c r="E38" s="170" t="inlineStr">
        <is>
          <t>MACH I.I (Bike Bros)</t>
        </is>
      </c>
    </row>
    <row r="41">
      <c r="A41" s="166" t="inlineStr">
        <is>
          <t>SEGMENT PRICE SENSITIVITY — resistance sets in at different tiers</t>
        </is>
      </c>
      <c r="B41" s="166" t="inlineStr">
        <is>
          <t>Mountain</t>
        </is>
      </c>
      <c r="C41" s="166" t="inlineStr">
        <is>
          <t>Speed</t>
        </is>
      </c>
      <c r="D41" s="166" t="inlineStr">
        <is>
          <t>Recreation</t>
        </is>
      </c>
    </row>
    <row r="42">
      <c r="A42" t="inlineStr">
        <is>
          <t>tier 100 (cheapest)</t>
        </is>
      </c>
      <c r="B42" t="n">
        <v>100</v>
      </c>
      <c r="C42" t="n">
        <v>100</v>
      </c>
      <c r="D42" t="n">
        <v>100</v>
      </c>
    </row>
    <row r="43">
      <c r="A43" t="inlineStr">
        <is>
          <t>tier 92</t>
        </is>
      </c>
      <c r="B43" t="n">
        <v>100</v>
      </c>
      <c r="C43" t="n">
        <v>100</v>
      </c>
      <c r="D43" t="n">
        <v>92</v>
      </c>
    </row>
    <row r="44">
      <c r="A44" t="inlineStr">
        <is>
          <t>tier 85</t>
        </is>
      </c>
      <c r="B44" t="n">
        <v>100</v>
      </c>
      <c r="C44" t="n">
        <v>100</v>
      </c>
      <c r="D44" t="n">
        <v>85</v>
      </c>
    </row>
    <row r="45">
      <c r="A45" t="inlineStr">
        <is>
          <t>tier 83</t>
        </is>
      </c>
      <c r="B45" t="n">
        <v>100</v>
      </c>
      <c r="C45" t="n">
        <v>100</v>
      </c>
      <c r="D45" t="n">
        <v>83</v>
      </c>
    </row>
    <row r="46">
      <c r="A46" t="inlineStr">
        <is>
          <t>tier 82</t>
        </is>
      </c>
      <c r="B46" t="n">
        <v>100</v>
      </c>
      <c r="C46" t="n">
        <v>100</v>
      </c>
      <c r="D46" t="n">
        <v>82</v>
      </c>
    </row>
    <row r="47">
      <c r="A47" t="inlineStr">
        <is>
          <t>tier 81  &lt;- Hike Bike</t>
        </is>
      </c>
      <c r="B47" s="159" t="n">
        <v>100</v>
      </c>
      <c r="C47" t="n">
        <v>100</v>
      </c>
      <c r="D47" t="n">
        <v>81</v>
      </c>
    </row>
    <row r="48">
      <c r="A48" t="inlineStr">
        <is>
          <t>tier 76  &lt;- Swift Bike</t>
        </is>
      </c>
      <c r="B48" t="n">
        <v>94</v>
      </c>
      <c r="C48" s="159" t="n">
        <v>100</v>
      </c>
      <c r="D48" t="n">
        <v>76</v>
      </c>
    </row>
    <row r="49">
      <c r="A49" t="inlineStr">
        <is>
          <t>tier 73</t>
        </is>
      </c>
      <c r="B49" t="n">
        <v>91</v>
      </c>
      <c r="C49" t="n">
        <v>100</v>
      </c>
      <c r="D49" t="n">
        <v>73</v>
      </c>
    </row>
    <row r="50">
      <c r="A50" t="inlineStr">
        <is>
          <t>tier 70</t>
        </is>
      </c>
      <c r="B50" t="n">
        <v>86</v>
      </c>
      <c r="C50" s="159" t="n">
        <v>100</v>
      </c>
      <c r="D50" t="n">
        <v>70</v>
      </c>
    </row>
    <row r="51">
      <c r="A51" t="inlineStr">
        <is>
          <t>tier 63 (most expensive)</t>
        </is>
      </c>
      <c r="B51" t="n">
        <v>78</v>
      </c>
      <c r="C51" s="167" t="n">
        <v>90</v>
      </c>
      <c r="D51" t="n">
        <v>63</v>
      </c>
    </row>
    <row r="52">
      <c r="A52" t="inlineStr">
        <is>
          <t>Read</t>
        </is>
      </c>
      <c r="D52" s="174" t="inlineStr">
        <is>
          <t>SPEED is the least price-sensitive segment in the game - it tolerates every price up to tier 70 with zero resistance. MOUNTAIN starts resisting immediately below tier 81. RECREATION resists almost everything.</t>
        </is>
      </c>
    </row>
    <row r="55">
      <c r="A55" s="166" t="inlineStr">
        <is>
          <t>HIKE BIKE — price is already optimal, hold it</t>
        </is>
      </c>
      <c r="B55" s="166" t="inlineStr">
        <is>
          <t>Value</t>
        </is>
      </c>
      <c r="C55" s="166" t="inlineStr">
        <is>
          <t>Note</t>
        </is>
      </c>
    </row>
    <row r="56">
      <c r="A56" t="inlineStr">
        <is>
          <t>Price</t>
        </is>
      </c>
      <c r="B56" t="n">
        <v>1365</v>
      </c>
      <c r="C56" s="170" t="n"/>
    </row>
    <row r="57">
      <c r="A57" t="inlineStr">
        <is>
          <t>Mountain price judgment</t>
        </is>
      </c>
      <c r="B57" s="159" t="n">
        <v>100</v>
      </c>
      <c r="C57" s="170" t="inlineStr">
        <is>
          <t>ZERO price resistance</t>
        </is>
      </c>
    </row>
    <row r="58">
      <c r="A58" t="inlineStr">
        <is>
          <t>Price tier</t>
        </is>
      </c>
      <c r="B58" t="n">
        <v>81</v>
      </c>
      <c r="C58" s="170" t="inlineStr">
        <is>
          <t>the HIGHEST-priced tier that still scores 100 in Mountain</t>
        </is>
      </c>
    </row>
    <row r="59">
      <c r="A59" t="inlineStr">
        <is>
          <t>Next tier up (73)</t>
        </is>
      </c>
      <c r="B59" t="n">
        <v>91</v>
      </c>
      <c r="C59" s="170" t="inlineStr">
        <is>
          <t>TERRAMAX sits there and takes a 9-point hit</t>
        </is>
      </c>
    </row>
    <row r="60">
      <c r="A60" t="inlineStr">
        <is>
          <t>Verdict</t>
        </is>
      </c>
      <c r="C60" s="181" t="inlineStr">
        <is>
          <t>We are extracting the maximum price Mountain will bear without penalty. Raising it drops us into the resistance band. HOLD $1,365.</t>
        </is>
      </c>
    </row>
    <row r="63">
      <c r="A63" s="166" t="inlineStr">
        <is>
          <t>SWIFT BIKE — we are UNDER-priced in Speed</t>
        </is>
      </c>
      <c r="B63" s="166" t="inlineStr">
        <is>
          <t>Value</t>
        </is>
      </c>
      <c r="C63" s="166" t="inlineStr">
        <is>
          <t>Note</t>
        </is>
      </c>
    </row>
    <row r="64">
      <c r="A64" t="inlineStr">
        <is>
          <t>Price</t>
        </is>
      </c>
      <c r="B64" t="n">
        <v>1450</v>
      </c>
      <c r="C64" s="170" t="n"/>
    </row>
    <row r="65">
      <c r="A65" t="inlineStr">
        <is>
          <t>Speed price judgment</t>
        </is>
      </c>
      <c r="B65" t="n">
        <v>100</v>
      </c>
      <c r="C65" s="170" t="inlineStr">
        <is>
          <t>zero resistance</t>
        </is>
      </c>
    </row>
    <row r="66">
      <c r="A66" t="inlineStr">
        <is>
          <t>Our price tier</t>
        </is>
      </c>
      <c r="B66" t="n">
        <v>76</v>
      </c>
      <c r="C66" s="170" t="n"/>
    </row>
    <row r="67">
      <c r="A67" t="inlineStr">
        <is>
          <t>Tier 70 brands (Armstrong, Blu Tube, Blu Aero, Mach 0.6)</t>
        </is>
      </c>
      <c r="B67" s="159" t="n">
        <v>100</v>
      </c>
      <c r="C67" s="170" t="inlineStr">
        <is>
          <t>priced ABOVE us and STILL score 100 in Speed</t>
        </is>
      </c>
    </row>
    <row r="68">
      <c r="A68" t="inlineStr">
        <is>
          <t>First tier with Speed resistance</t>
        </is>
      </c>
      <c r="B68" t="n">
        <v>63</v>
      </c>
      <c r="C68" s="170" t="inlineStr">
        <is>
          <t>only MACH I.I, at 90</t>
        </is>
      </c>
    </row>
    <row r="69">
      <c r="A69" t="inlineStr">
        <is>
          <t>Headroom</t>
        </is>
      </c>
      <c r="C69" s="170" t="inlineStr">
        <is>
          <t>roughly 1-2 price tiers before Speed resistance appears</t>
        </is>
      </c>
    </row>
    <row r="70">
      <c r="A70" t="inlineStr">
        <is>
          <t>Estimated tier-70 price</t>
        </is>
      </c>
      <c r="B70" t="n">
        <v>1595</v>
      </c>
      <c r="C70" s="170" t="inlineStr">
        <is>
          <t>INFERRED - see the estimate note below</t>
        </is>
      </c>
    </row>
    <row r="71">
      <c r="A71" t="inlineStr">
        <is>
          <t>Potential price increase</t>
        </is>
      </c>
      <c r="B71">
        <f>C70-C64</f>
        <v/>
      </c>
      <c r="C71" s="170" t="n"/>
    </row>
    <row r="72">
      <c r="A72" t="inlineStr">
        <is>
          <t>On Q3 volume (215 units)</t>
        </is>
      </c>
      <c r="B72" s="159">
        <f>C71*215</f>
        <v/>
      </c>
      <c r="C72" s="170" t="inlineStr">
        <is>
          <t>pure margin - no cost change</t>
        </is>
      </c>
    </row>
    <row r="73">
      <c r="A73" t="inlineStr">
        <is>
          <t>On a rebuilt Speed volume (say 400 units)</t>
        </is>
      </c>
      <c r="B73" s="159">
        <f>C71*400</f>
        <v/>
      </c>
      <c r="C73" s="170" t="n"/>
    </row>
    <row r="74">
      <c r="A74" t="inlineStr">
        <is>
          <t>CAVEAT</t>
        </is>
      </c>
      <c r="C74" s="174" t="inlineStr">
        <is>
          <t>The $1,595 figure is inferred from BB LLC's ~$1,480 average price across 4 brands, two of which appear to sit at our $1,365 tier. VERIFY against the actual price list before locking. The DIRECTION (we have room to raise) is solid; the exact number is not.</t>
        </is>
      </c>
    </row>
    <row r="77">
      <c r="A77" s="166" t="inlineStr">
        <is>
          <t>THE BB LLC COMPARISON IS NOW AIRTIGHT</t>
        </is>
      </c>
      <c r="B77" s="166" t="inlineStr">
        <is>
          <t>Hike Bike (WeBike)</t>
        </is>
      </c>
      <c r="C77" s="166" t="inlineStr">
        <is>
          <t>Blu Ruged Ballz (BB LLC)</t>
        </is>
      </c>
    </row>
    <row r="78">
      <c r="A78" t="inlineStr">
        <is>
          <t>Brand judgment - Mountain</t>
        </is>
      </c>
      <c r="B78" t="n">
        <v>73</v>
      </c>
      <c r="C78" t="n">
        <v>73</v>
      </c>
    </row>
    <row r="79">
      <c r="A79" t="inlineStr">
        <is>
          <t>Component recipe</t>
        </is>
      </c>
      <c r="B79" t="inlineStr">
        <is>
          <t>56/73/1</t>
        </is>
      </c>
      <c r="C79" t="inlineStr">
        <is>
          <t>56/73/1 (identical)</t>
        </is>
      </c>
    </row>
    <row r="80">
      <c r="A80" t="inlineStr">
        <is>
          <t>Price judgment</t>
        </is>
      </c>
      <c r="B80" t="inlineStr">
        <is>
          <t>81 / 100 / 100</t>
        </is>
      </c>
      <c r="C80" t="inlineStr">
        <is>
          <t>81 / 100 / 100 (identical)</t>
        </is>
      </c>
    </row>
    <row r="81">
      <c r="A81" t="inlineStr">
        <is>
          <t>Implied price</t>
        </is>
      </c>
      <c r="B81" t="inlineStr">
        <is>
          <t>$1,365</t>
        </is>
      </c>
      <c r="C81" t="inlineStr">
        <is>
          <t>$1,365 (same tier)</t>
        </is>
      </c>
    </row>
    <row r="82">
      <c r="A82" t="inlineStr">
        <is>
          <t>Mountain share</t>
        </is>
      </c>
      <c r="B82" s="179" t="n">
        <v>0.221</v>
      </c>
      <c r="C82" s="161" t="n">
        <v>0.463</v>
      </c>
    </row>
    <row r="83">
      <c r="A83" t="inlineStr">
        <is>
          <t>Conclusion</t>
        </is>
      </c>
      <c r="C83" s="174" t="inlineStr">
        <is>
          <t>Same product, same price, same price perception - and they take 2.1x our share. There is now no product or pricing explanation left. The entire gap is SUPPLY (we stocked out 33%), COVERAGE (14 store staff vs 14 but 7 web vs our 3) and ADS (24 regional vs our 19).</t>
        </is>
      </c>
    </row>
    <row r="86">
      <c r="A86" s="166" t="inlineStr">
        <is>
          <t>ANOTHER REASON TO SKIP RECREATION</t>
        </is>
      </c>
      <c r="B86" s="166" t="inlineStr">
        <is>
          <t>Value</t>
        </is>
      </c>
      <c r="C86" s="166" t="inlineStr">
        <is>
          <t>Note</t>
        </is>
      </c>
    </row>
    <row r="87">
      <c r="A87" t="inlineStr">
        <is>
          <t>Hike Bike Recreation price judgment</t>
        </is>
      </c>
      <c r="B87" s="167" t="n">
        <v>81</v>
      </c>
      <c r="C87" s="170" t="inlineStr">
        <is>
          <t>Rec buyers resist our $1,365</t>
        </is>
      </c>
    </row>
    <row r="88">
      <c r="A88" t="inlineStr">
        <is>
          <t>All three Recreation brands</t>
        </is>
      </c>
      <c r="B88" t="n">
        <v>100</v>
      </c>
      <c r="C88" s="170" t="inlineStr">
        <is>
          <t>Spoke'd Easy, Mars Rover, Whole MILC - all at tier 100</t>
        </is>
      </c>
    </row>
    <row r="89">
      <c r="A89" t="inlineStr">
        <is>
          <t>Read</t>
        </is>
      </c>
      <c r="C89" s="170" t="inlineStr">
        <is>
          <t>Recreation is the most price-sensitive segment AND the winning brands are the cheapest in the game. Entering would mean a low-price, low-margin product - the opposite of our 'profit margin leader' strategy. Combined with the 56-vs-76 brand judgment gap, Recreation stays parked.</t>
        </is>
      </c>
    </row>
    <row r="92">
      <c r="A92" s="166" t="inlineStr">
        <is>
          <t>Q4 PRICING ACTIONS</t>
        </is>
      </c>
      <c r="B92" s="166" t="inlineStr">
        <is>
          <t>Decision</t>
        </is>
      </c>
    </row>
    <row r="93">
      <c r="A93" t="inlineStr">
        <is>
          <t>Hike Bike</t>
        </is>
      </c>
      <c r="B93" s="174" t="inlineStr">
        <is>
          <t>HOLD $1,365. Mountain judgment 100 and we sit at the top tier that achieves it.</t>
        </is>
      </c>
    </row>
    <row r="94">
      <c r="A94" t="inlineStr">
        <is>
          <t>Swift Bike</t>
        </is>
      </c>
      <c r="B94" s="174" t="inlineStr">
        <is>
          <t>RAISE. Speed tolerates 1-2 tiers above us with zero resistance. Verify the exact price list, then move toward the Armstrong / Blu Tube tier.</t>
        </is>
      </c>
    </row>
    <row r="95">
      <c r="A95" t="inlineStr">
        <is>
          <t>Sequencing note</t>
        </is>
      </c>
      <c r="B95" s="174" t="inlineStr">
        <is>
          <t>Raise the Swift Bike price in the SAME quarter we fix its design to 77 - better product plus a price the segment does not resist is the cleanest margin gain available.</t>
        </is>
      </c>
    </row>
    <row r="96">
      <c r="A96" t="inlineStr">
        <is>
          <t>Capacity note</t>
        </is>
      </c>
      <c r="B96" s="174" t="inlineStr">
        <is>
          <t>A price rise also RELIEVES the capacity squeeze: more margin per unit on the same 24/day. If we cannot build 1,171 units, we should at least earn more on the ones we do build.</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cols>
    <col width="44" customWidth="1" style="146" min="1" max="1"/>
    <col width="24" customWidth="1" style="146" min="2" max="2"/>
    <col width="26" customWidth="1" style="146" min="3" max="3"/>
    <col width="62" customWidth="1" style="146" min="4" max="4"/>
    <col width="34" customWidth="1" style="146" min="5" max="5"/>
    <col width="14" customWidth="1" style="146" min="6" max="6"/>
    <col width="14" customWidth="1" style="146" min="7" max="7"/>
    <col width="14" customWidth="1" style="146" min="8" max="8"/>
    <col width="14" customWidth="1" style="146" min="9" max="9"/>
    <col width="14" customWidth="1" style="146" min="10" max="10"/>
  </cols>
  <sheetData>
    <row r="1">
      <c r="A1" s="169" t="inlineStr">
        <is>
          <t>Competitors' Prices — World Market, Q3 actual</t>
        </is>
      </c>
    </row>
    <row r="2">
      <c r="A2" s="170" t="inlineStr">
        <is>
          <t>Actual price list. It confirms the price tiers inferred from price judgment: every tier maps to a distinct price, monotonically, across all 11 tiers.</t>
        </is>
      </c>
    </row>
    <row r="4">
      <c r="A4" s="166" t="inlineStr">
        <is>
          <t>Brand</t>
        </is>
      </c>
      <c r="B4" s="166" t="inlineStr">
        <is>
          <t>Company</t>
        </is>
      </c>
      <c r="C4" s="166" t="inlineStr">
        <is>
          <t>Price</t>
        </is>
      </c>
      <c r="D4" s="166" t="inlineStr">
        <is>
          <t>Rebate</t>
        </is>
      </c>
      <c r="E4" s="166" t="inlineStr">
        <is>
          <t>Net price</t>
        </is>
      </c>
      <c r="F4" s="166" t="inlineStr">
        <is>
          <t>Priority</t>
        </is>
      </c>
      <c r="G4" s="166" t="inlineStr">
        <is>
          <t>Segment</t>
        </is>
      </c>
      <c r="H4" s="166" t="inlineStr">
        <is>
          <t>Brand judgment</t>
        </is>
      </c>
      <c r="I4" s="166" t="inlineStr">
        <is>
          <t>Price judgment</t>
        </is>
      </c>
      <c r="J4" s="166" t="inlineStr">
        <is>
          <t>Price tier</t>
        </is>
      </c>
    </row>
    <row r="5">
      <c r="A5" t="inlineStr">
        <is>
          <t>MACH I.I</t>
        </is>
      </c>
      <c r="B5" t="inlineStr">
        <is>
          <t>Bike Bros</t>
        </is>
      </c>
      <c r="C5" t="n">
        <v>1749</v>
      </c>
      <c r="D5" t="n">
        <v>0</v>
      </c>
      <c r="E5" t="n">
        <v>1749</v>
      </c>
      <c r="F5" t="n">
        <v>1</v>
      </c>
      <c r="G5" t="inlineStr">
        <is>
          <t>Speed</t>
        </is>
      </c>
      <c r="H5" t="n">
        <v>77</v>
      </c>
      <c r="I5" s="167" t="n">
        <v>90</v>
      </c>
      <c r="J5" t="n">
        <v>63</v>
      </c>
    </row>
    <row r="6">
      <c r="A6" t="inlineStr">
        <is>
          <t>Blu Aero Ballz</t>
        </is>
      </c>
      <c r="B6" t="inlineStr">
        <is>
          <t>BB LLC</t>
        </is>
      </c>
      <c r="C6" t="n">
        <v>1580</v>
      </c>
      <c r="D6" t="n">
        <v>0</v>
      </c>
      <c r="E6" t="n">
        <v>1580</v>
      </c>
      <c r="F6" t="n">
        <v>2</v>
      </c>
      <c r="G6" t="inlineStr">
        <is>
          <t>Speed</t>
        </is>
      </c>
      <c r="H6" t="n">
        <v>74</v>
      </c>
      <c r="I6" s="159" t="n">
        <v>100</v>
      </c>
      <c r="J6" t="n">
        <v>70</v>
      </c>
    </row>
    <row r="7">
      <c r="A7" t="inlineStr">
        <is>
          <t>Blu Tube Ballz</t>
        </is>
      </c>
      <c r="B7" t="inlineStr">
        <is>
          <t>BB LLC</t>
        </is>
      </c>
      <c r="C7" t="n">
        <v>1580</v>
      </c>
      <c r="D7" t="n">
        <v>0</v>
      </c>
      <c r="E7" t="n">
        <v>1580</v>
      </c>
      <c r="F7" t="n">
        <v>3</v>
      </c>
      <c r="G7" t="inlineStr">
        <is>
          <t>Speed</t>
        </is>
      </c>
      <c r="H7" t="n">
        <v>76</v>
      </c>
      <c r="I7" s="159" t="n">
        <v>100</v>
      </c>
      <c r="J7" t="n">
        <v>70</v>
      </c>
    </row>
    <row r="8">
      <c r="A8" t="inlineStr">
        <is>
          <t>The Armstrong</t>
        </is>
      </c>
      <c r="B8" t="inlineStr">
        <is>
          <t>SpaceBikes</t>
        </is>
      </c>
      <c r="C8" t="n">
        <v>1580</v>
      </c>
      <c r="D8" t="n">
        <v>0</v>
      </c>
      <c r="E8" t="n">
        <v>1580</v>
      </c>
      <c r="F8" t="n">
        <v>1</v>
      </c>
      <c r="G8" t="inlineStr">
        <is>
          <t>Speed</t>
        </is>
      </c>
      <c r="H8" t="n">
        <v>76</v>
      </c>
      <c r="I8" s="159" t="n">
        <v>100</v>
      </c>
      <c r="J8" t="n">
        <v>70</v>
      </c>
    </row>
    <row r="9">
      <c r="A9" t="inlineStr">
        <is>
          <t>Mach 0.6</t>
        </is>
      </c>
      <c r="B9" t="inlineStr">
        <is>
          <t>Bike Bros</t>
        </is>
      </c>
      <c r="C9" t="n">
        <v>1579</v>
      </c>
      <c r="D9" t="n">
        <v>0</v>
      </c>
      <c r="E9" t="n">
        <v>1579</v>
      </c>
      <c r="F9" t="n">
        <v>3</v>
      </c>
      <c r="G9" t="inlineStr">
        <is>
          <t>Speed</t>
        </is>
      </c>
      <c r="H9" t="n">
        <v>61</v>
      </c>
      <c r="I9" s="159" t="n">
        <v>100</v>
      </c>
      <c r="J9" t="n">
        <v>70</v>
      </c>
    </row>
    <row r="10">
      <c r="A10" t="inlineStr">
        <is>
          <t>LiteSpeed Pro+</t>
        </is>
      </c>
      <c r="B10" t="inlineStr">
        <is>
          <t>LiteCycle</t>
        </is>
      </c>
      <c r="C10" t="n">
        <v>1515</v>
      </c>
      <c r="D10" t="n">
        <v>0</v>
      </c>
      <c r="E10" t="n">
        <v>1515</v>
      </c>
      <c r="F10" t="n">
        <v>1</v>
      </c>
      <c r="G10" t="inlineStr">
        <is>
          <t>Speed</t>
        </is>
      </c>
      <c r="H10" t="n">
        <v>77</v>
      </c>
      <c r="I10" s="159" t="n">
        <v>100</v>
      </c>
      <c r="J10" t="n">
        <v>73</v>
      </c>
    </row>
    <row r="11">
      <c r="A11" t="inlineStr">
        <is>
          <t>TERRAMAX</t>
        </is>
      </c>
      <c r="B11" t="inlineStr">
        <is>
          <t>Bike Bros</t>
        </is>
      </c>
      <c r="C11" t="n">
        <v>1499</v>
      </c>
      <c r="D11" t="n">
        <v>0</v>
      </c>
      <c r="E11" t="n">
        <v>1499</v>
      </c>
      <c r="F11" t="n">
        <v>2</v>
      </c>
      <c r="G11" t="inlineStr">
        <is>
          <t>Mountain</t>
        </is>
      </c>
      <c r="H11" t="n">
        <v>73</v>
      </c>
      <c r="I11" s="167" t="n">
        <v>91</v>
      </c>
      <c r="J11" t="n">
        <v>73</v>
      </c>
    </row>
    <row r="12">
      <c r="A12" t="inlineStr">
        <is>
          <t>Spoke'd Speed</t>
        </is>
      </c>
      <c r="B12" t="inlineStr">
        <is>
          <t>Spoke'd Up</t>
        </is>
      </c>
      <c r="C12" t="n">
        <v>1499</v>
      </c>
      <c r="D12" t="n">
        <v>0</v>
      </c>
      <c r="E12" t="n">
        <v>1499</v>
      </c>
      <c r="F12" t="n">
        <v>2</v>
      </c>
      <c r="G12" t="inlineStr">
        <is>
          <t>Speed</t>
        </is>
      </c>
      <c r="H12" t="n">
        <v>75</v>
      </c>
      <c r="I12" s="159" t="n">
        <v>100</v>
      </c>
      <c r="J12" t="n">
        <v>73</v>
      </c>
    </row>
    <row r="13">
      <c r="A13" s="171" t="inlineStr">
        <is>
          <t>Swift Bike</t>
        </is>
      </c>
      <c r="B13" s="171" t="inlineStr">
        <is>
          <t>WeBike</t>
        </is>
      </c>
      <c r="C13" s="171" t="n">
        <v>1450</v>
      </c>
      <c r="D13" s="171" t="n">
        <v>0</v>
      </c>
      <c r="E13" s="171" t="n">
        <v>1450</v>
      </c>
      <c r="F13" s="171" t="n">
        <v>2</v>
      </c>
      <c r="G13" s="171" t="inlineStr">
        <is>
          <t>Speed</t>
        </is>
      </c>
      <c r="H13" s="171" t="n">
        <v>72</v>
      </c>
      <c r="I13" s="172" t="n">
        <v>100</v>
      </c>
      <c r="J13" s="171" t="n">
        <v>76</v>
      </c>
    </row>
    <row r="14">
      <c r="A14" t="inlineStr">
        <is>
          <t>Skim MILC MKII</t>
        </is>
      </c>
      <c r="B14" t="inlineStr">
        <is>
          <t>MILC Bikes</t>
        </is>
      </c>
      <c r="C14" t="n">
        <v>1450</v>
      </c>
      <c r="D14" t="n">
        <v>0</v>
      </c>
      <c r="E14" t="n">
        <v>1450</v>
      </c>
      <c r="F14" t="n">
        <v>2</v>
      </c>
      <c r="G14" t="inlineStr">
        <is>
          <t>Speed</t>
        </is>
      </c>
      <c r="H14" t="n">
        <v>76</v>
      </c>
      <c r="I14" s="159" t="n">
        <v>100</v>
      </c>
      <c r="J14" t="n">
        <v>76</v>
      </c>
    </row>
    <row r="15">
      <c r="A15" s="171" t="inlineStr">
        <is>
          <t>Hike Bike</t>
        </is>
      </c>
      <c r="B15" s="171" t="inlineStr">
        <is>
          <t>WeBike</t>
        </is>
      </c>
      <c r="C15" s="171" t="n">
        <v>1365</v>
      </c>
      <c r="D15" s="171" t="n">
        <v>0</v>
      </c>
      <c r="E15" s="171" t="n">
        <v>1365</v>
      </c>
      <c r="F15" s="171" t="n">
        <v>1</v>
      </c>
      <c r="G15" s="171" t="inlineStr">
        <is>
          <t>Mountain</t>
        </is>
      </c>
      <c r="H15" s="171" t="n">
        <v>73</v>
      </c>
      <c r="I15" s="172" t="n">
        <v>100</v>
      </c>
      <c r="J15" s="171" t="n">
        <v>81</v>
      </c>
    </row>
    <row r="16">
      <c r="A16" t="inlineStr">
        <is>
          <t>Blu Ruged Ballz</t>
        </is>
      </c>
      <c r="B16" t="inlineStr">
        <is>
          <t>BB LLC</t>
        </is>
      </c>
      <c r="C16" t="n">
        <v>1365</v>
      </c>
      <c r="D16" t="n">
        <v>0</v>
      </c>
      <c r="E16" t="n">
        <v>1365</v>
      </c>
      <c r="F16" t="n">
        <v>1</v>
      </c>
      <c r="G16" t="inlineStr">
        <is>
          <t>Mountain</t>
        </is>
      </c>
      <c r="H16" t="n">
        <v>73</v>
      </c>
      <c r="I16" s="159" t="n">
        <v>100</v>
      </c>
      <c r="J16" t="n">
        <v>81</v>
      </c>
    </row>
    <row r="17">
      <c r="A17" t="inlineStr">
        <is>
          <t>Blu Tail Ballz</t>
        </is>
      </c>
      <c r="B17" t="inlineStr">
        <is>
          <t>BB LLC</t>
        </is>
      </c>
      <c r="C17" t="n">
        <v>1365</v>
      </c>
      <c r="D17" t="n">
        <v>0</v>
      </c>
      <c r="E17" t="n">
        <v>1365</v>
      </c>
      <c r="F17" t="n">
        <v>4</v>
      </c>
      <c r="G17" t="inlineStr">
        <is>
          <t>Mountain</t>
        </is>
      </c>
      <c r="H17" t="n">
        <v>70</v>
      </c>
      <c r="I17" s="159" t="n">
        <v>100</v>
      </c>
      <c r="J17" t="n">
        <v>81</v>
      </c>
    </row>
    <row r="18">
      <c r="A18" t="inlineStr">
        <is>
          <t>TERRAMean</t>
        </is>
      </c>
      <c r="B18" t="inlineStr">
        <is>
          <t>Bike Bros</t>
        </is>
      </c>
      <c r="C18" t="n">
        <v>1349</v>
      </c>
      <c r="D18" t="n">
        <v>0</v>
      </c>
      <c r="E18" t="n">
        <v>1349</v>
      </c>
      <c r="F18" t="n">
        <v>4</v>
      </c>
      <c r="G18" t="inlineStr">
        <is>
          <t>Mountain</t>
        </is>
      </c>
      <c r="H18" t="n">
        <v>72</v>
      </c>
      <c r="I18" s="159" t="n">
        <v>100</v>
      </c>
      <c r="J18" t="n">
        <v>82</v>
      </c>
    </row>
    <row r="19">
      <c r="A19" t="inlineStr">
        <is>
          <t>LiteSpeed+</t>
        </is>
      </c>
      <c r="B19" t="inlineStr">
        <is>
          <t>LiteCycle</t>
        </is>
      </c>
      <c r="C19" t="n">
        <v>1325</v>
      </c>
      <c r="D19" t="n">
        <v>0</v>
      </c>
      <c r="E19" t="n">
        <v>1325</v>
      </c>
      <c r="F19" t="n">
        <v>2</v>
      </c>
      <c r="G19" t="inlineStr">
        <is>
          <t>Speed</t>
        </is>
      </c>
      <c r="H19" t="n">
        <v>74</v>
      </c>
      <c r="I19" s="159" t="n">
        <v>100</v>
      </c>
      <c r="J19" t="n">
        <v>83</v>
      </c>
    </row>
    <row r="20">
      <c r="A20" t="inlineStr">
        <is>
          <t>LiteTrail Pro</t>
        </is>
      </c>
      <c r="B20" t="inlineStr">
        <is>
          <t>LiteCycle</t>
        </is>
      </c>
      <c r="C20" t="n">
        <v>1300</v>
      </c>
      <c r="D20" t="n">
        <v>0</v>
      </c>
      <c r="E20" t="n">
        <v>1300</v>
      </c>
      <c r="F20" t="n">
        <v>3</v>
      </c>
      <c r="G20" t="inlineStr">
        <is>
          <t>Mountain</t>
        </is>
      </c>
      <c r="H20" t="n">
        <v>70</v>
      </c>
      <c r="I20" s="159" t="n">
        <v>100</v>
      </c>
      <c r="J20" t="n">
        <v>85</v>
      </c>
    </row>
    <row r="21">
      <c r="A21" t="inlineStr">
        <is>
          <t>MountainCruise1</t>
        </is>
      </c>
      <c r="B21" t="inlineStr">
        <is>
          <t>Bike Bros</t>
        </is>
      </c>
      <c r="C21" t="n">
        <v>1199</v>
      </c>
      <c r="D21" t="n">
        <v>0</v>
      </c>
      <c r="E21" t="n">
        <v>1199</v>
      </c>
      <c r="F21" t="n">
        <v>5</v>
      </c>
      <c r="G21" t="inlineStr">
        <is>
          <t>Recreation</t>
        </is>
      </c>
      <c r="H21" t="n">
        <v>76</v>
      </c>
      <c r="I21" s="167" t="n">
        <v>92</v>
      </c>
      <c r="J21" t="n">
        <v>92</v>
      </c>
    </row>
    <row r="22">
      <c r="A22" t="inlineStr">
        <is>
          <t>Mars Rover</t>
        </is>
      </c>
      <c r="B22" t="inlineStr">
        <is>
          <t>SpaceBikes</t>
        </is>
      </c>
      <c r="C22" t="n">
        <v>1100</v>
      </c>
      <c r="D22" t="n">
        <v>50</v>
      </c>
      <c r="E22" t="n">
        <v>1050</v>
      </c>
      <c r="F22" t="n">
        <v>2</v>
      </c>
      <c r="G22" t="inlineStr">
        <is>
          <t>Recreation</t>
        </is>
      </c>
      <c r="H22" t="n">
        <v>73</v>
      </c>
      <c r="I22" s="159" t="n">
        <v>100</v>
      </c>
      <c r="J22" t="n">
        <v>100</v>
      </c>
    </row>
    <row r="23">
      <c r="A23" t="inlineStr">
        <is>
          <t>Spoke'd Easy</t>
        </is>
      </c>
      <c r="B23" t="inlineStr">
        <is>
          <t>Spoke'd Up</t>
        </is>
      </c>
      <c r="C23" t="n">
        <v>999</v>
      </c>
      <c r="D23" t="n">
        <v>0</v>
      </c>
      <c r="E23" t="n">
        <v>999</v>
      </c>
      <c r="F23" t="n">
        <v>1</v>
      </c>
      <c r="G23" t="inlineStr">
        <is>
          <t>Recreation</t>
        </is>
      </c>
      <c r="H23" t="n">
        <v>73</v>
      </c>
      <c r="I23" s="159" t="n">
        <v>100</v>
      </c>
      <c r="J23" t="n">
        <v>100</v>
      </c>
    </row>
    <row r="24">
      <c r="A24" t="inlineStr">
        <is>
          <t>Whole MILC MKII</t>
        </is>
      </c>
      <c r="B24" t="inlineStr">
        <is>
          <t>MILC Bikes</t>
        </is>
      </c>
      <c r="C24" t="n">
        <v>1050</v>
      </c>
      <c r="D24" t="n">
        <v>100</v>
      </c>
      <c r="E24" t="n">
        <v>950</v>
      </c>
      <c r="F24" t="n">
        <v>1</v>
      </c>
      <c r="G24" t="inlineStr">
        <is>
          <t>Recreation</t>
        </is>
      </c>
      <c r="H24" t="n">
        <v>74</v>
      </c>
      <c r="I24" s="159" t="n">
        <v>100</v>
      </c>
      <c r="J24" t="n">
        <v>100</v>
      </c>
    </row>
    <row r="27">
      <c r="A27" s="166" t="inlineStr">
        <is>
          <t>TIER VALIDATION — inferred tier vs actual net price</t>
        </is>
      </c>
      <c r="B27" s="166" t="inlineStr">
        <is>
          <t>Net price range</t>
        </is>
      </c>
      <c r="C27" s="166" t="inlineStr">
        <is>
          <t>Spread</t>
        </is>
      </c>
      <c r="D27" s="166" t="inlineStr">
        <is>
          <t>Brands</t>
        </is>
      </c>
    </row>
    <row r="28">
      <c r="A28" t="inlineStr">
        <is>
          <t>tier 100</t>
        </is>
      </c>
      <c r="B28" t="inlineStr">
        <is>
          <t>950 - 1,050</t>
        </is>
      </c>
      <c r="C28" t="n">
        <v>100</v>
      </c>
      <c r="D28" s="170" t="inlineStr">
        <is>
          <t>Spoke'd Easy, Mars Rover, Whole MILC MKII</t>
        </is>
      </c>
    </row>
    <row r="29">
      <c r="A29" t="inlineStr">
        <is>
          <t>tier 92</t>
        </is>
      </c>
      <c r="B29" t="inlineStr">
        <is>
          <t>1,199 - 1,199</t>
        </is>
      </c>
      <c r="C29" t="n">
        <v>0</v>
      </c>
      <c r="D29" s="170" t="inlineStr">
        <is>
          <t>MountainCruise1</t>
        </is>
      </c>
    </row>
    <row r="30">
      <c r="A30" t="inlineStr">
        <is>
          <t>tier 85</t>
        </is>
      </c>
      <c r="B30" t="inlineStr">
        <is>
          <t>1,300 - 1,300</t>
        </is>
      </c>
      <c r="C30" t="n">
        <v>0</v>
      </c>
      <c r="D30" s="170" t="inlineStr">
        <is>
          <t>LiteTrail Pro</t>
        </is>
      </c>
    </row>
    <row r="31">
      <c r="A31" t="inlineStr">
        <is>
          <t>tier 83</t>
        </is>
      </c>
      <c r="B31" t="inlineStr">
        <is>
          <t>1,325 - 1,325</t>
        </is>
      </c>
      <c r="C31" t="n">
        <v>0</v>
      </c>
      <c r="D31" s="170" t="inlineStr">
        <is>
          <t>LiteSpeed+</t>
        </is>
      </c>
    </row>
    <row r="32">
      <c r="A32" t="inlineStr">
        <is>
          <t>tier 82</t>
        </is>
      </c>
      <c r="B32" t="inlineStr">
        <is>
          <t>1,349 - 1,349</t>
        </is>
      </c>
      <c r="C32" t="n">
        <v>0</v>
      </c>
      <c r="D32" s="170" t="inlineStr">
        <is>
          <t>TERRAMean</t>
        </is>
      </c>
    </row>
    <row r="33">
      <c r="A33" t="inlineStr">
        <is>
          <t>tier 81</t>
        </is>
      </c>
      <c r="B33" t="inlineStr">
        <is>
          <t>1,365 - 1,365</t>
        </is>
      </c>
      <c r="C33" t="n">
        <v>0</v>
      </c>
      <c r="D33" s="170" t="inlineStr">
        <is>
          <t>Hike Bike, Blu Ruged Ballz, Blu Tail Ballz</t>
        </is>
      </c>
    </row>
    <row r="34">
      <c r="A34" t="inlineStr">
        <is>
          <t>tier 76</t>
        </is>
      </c>
      <c r="B34" t="inlineStr">
        <is>
          <t>1,450 - 1,450</t>
        </is>
      </c>
      <c r="C34" t="n">
        <v>0</v>
      </c>
      <c r="D34" s="170" t="inlineStr">
        <is>
          <t>Swift Bike, Skim MILC MKII</t>
        </is>
      </c>
    </row>
    <row r="35">
      <c r="A35" t="inlineStr">
        <is>
          <t>tier 73</t>
        </is>
      </c>
      <c r="B35" t="inlineStr">
        <is>
          <t>1,499 - 1,515</t>
        </is>
      </c>
      <c r="C35" t="n">
        <v>16</v>
      </c>
      <c r="D35" s="170" t="inlineStr">
        <is>
          <t>TERRAMAX, LiteSpeed Pro+, Spoke'd Speed</t>
        </is>
      </c>
    </row>
    <row r="36">
      <c r="A36" t="inlineStr">
        <is>
          <t>tier 70</t>
        </is>
      </c>
      <c r="B36" t="inlineStr">
        <is>
          <t>1,579 - 1,580</t>
        </is>
      </c>
      <c r="C36" t="n">
        <v>1</v>
      </c>
      <c r="D36" s="170" t="inlineStr">
        <is>
          <t>Mach 0.6, Blu Aero Ballz, Blu Tube Ballz, The Armstrong</t>
        </is>
      </c>
    </row>
    <row r="37">
      <c r="A37" t="inlineStr">
        <is>
          <t>tier 63</t>
        </is>
      </c>
      <c r="B37" t="inlineStr">
        <is>
          <t>1,749 - 1,749</t>
        </is>
      </c>
      <c r="C37" t="n">
        <v>0</v>
      </c>
      <c r="D37" s="170" t="inlineStr">
        <is>
          <t>MACH I.I</t>
        </is>
      </c>
    </row>
    <row r="38">
      <c r="A38" t="inlineStr">
        <is>
          <t>Result</t>
        </is>
      </c>
      <c r="D38" s="181" t="inlineStr">
        <is>
          <t>Perfectly monotonic. Identical price judgment DID mean identical price in every case. Our earlier $1,595 estimate for tier 70 came in at $1,580 - off by $15 (0.9%).</t>
        </is>
      </c>
    </row>
    <row r="41">
      <c r="A41" s="166" t="inlineStr">
        <is>
          <t>SPEED PRICE LADDER — we are nearly the cheapest</t>
        </is>
      </c>
      <c r="B41" s="166" t="inlineStr">
        <is>
          <t>Price</t>
        </is>
      </c>
      <c r="C41" s="166" t="inlineStr">
        <is>
          <t>Brand judgment</t>
        </is>
      </c>
      <c r="D41" s="166" t="inlineStr">
        <is>
          <t>Price judgment</t>
        </is>
      </c>
      <c r="E41" s="166" t="inlineStr">
        <is>
          <t>Note</t>
        </is>
      </c>
    </row>
    <row r="42">
      <c r="A42" t="inlineStr">
        <is>
          <t>MACH I.I</t>
        </is>
      </c>
      <c r="B42" t="n">
        <v>1749</v>
      </c>
      <c r="C42" t="n">
        <v>77</v>
      </c>
      <c r="D42" t="n">
        <v>90</v>
      </c>
      <c r="E42" s="170" t="inlineStr">
        <is>
          <t>only Speed brand with price resistance</t>
        </is>
      </c>
    </row>
    <row r="43">
      <c r="A43" t="inlineStr">
        <is>
          <t>Blu Aero Ballz</t>
        </is>
      </c>
      <c r="B43" t="n">
        <v>1580</v>
      </c>
      <c r="C43" t="n">
        <v>74</v>
      </c>
      <c r="D43" t="n">
        <v>100</v>
      </c>
      <c r="E43" s="170" t="inlineStr">
        <is>
          <t>highest price with ZERO resistance</t>
        </is>
      </c>
    </row>
    <row r="44">
      <c r="A44" t="inlineStr">
        <is>
          <t>Blu Tube Ballz</t>
        </is>
      </c>
      <c r="B44" t="n">
        <v>1580</v>
      </c>
      <c r="C44" t="n">
        <v>76</v>
      </c>
      <c r="D44" t="n">
        <v>100</v>
      </c>
      <c r="E44" s="170" t="inlineStr">
        <is>
          <t>highest price with ZERO resistance</t>
        </is>
      </c>
    </row>
    <row r="45">
      <c r="A45" t="inlineStr">
        <is>
          <t>The Armstrong</t>
        </is>
      </c>
      <c r="B45" t="n">
        <v>1580</v>
      </c>
      <c r="C45" t="n">
        <v>76</v>
      </c>
      <c r="D45" t="n">
        <v>100</v>
      </c>
      <c r="E45" s="170" t="inlineStr">
        <is>
          <t>highest price with ZERO resistance</t>
        </is>
      </c>
    </row>
    <row r="46">
      <c r="A46" t="inlineStr">
        <is>
          <t>Mach 0.6</t>
        </is>
      </c>
      <c r="B46" t="n">
        <v>1579</v>
      </c>
      <c r="C46" t="n">
        <v>61</v>
      </c>
      <c r="D46" t="n">
        <v>100</v>
      </c>
      <c r="E46" s="170" t="inlineStr"/>
    </row>
    <row r="47">
      <c r="A47" t="inlineStr">
        <is>
          <t>LiteSpeed Pro+</t>
        </is>
      </c>
      <c r="B47" t="n">
        <v>1515</v>
      </c>
      <c r="C47" t="n">
        <v>77</v>
      </c>
      <c r="D47" t="n">
        <v>100</v>
      </c>
      <c r="E47" s="170" t="inlineStr"/>
    </row>
    <row r="48">
      <c r="A48" t="inlineStr">
        <is>
          <t>Spoke'd Speed</t>
        </is>
      </c>
      <c r="B48" t="n">
        <v>1499</v>
      </c>
      <c r="C48" t="n">
        <v>75</v>
      </c>
      <c r="D48" t="n">
        <v>100</v>
      </c>
      <c r="E48" s="170" t="inlineStr"/>
    </row>
    <row r="49">
      <c r="A49" s="171" t="inlineStr">
        <is>
          <t>Swift Bike</t>
        </is>
      </c>
      <c r="B49" s="171" t="n">
        <v>1450</v>
      </c>
      <c r="C49" s="171" t="n">
        <v>72</v>
      </c>
      <c r="D49" s="171" t="n">
        <v>100</v>
      </c>
      <c r="E49" s="194" t="inlineStr">
        <is>
          <t>OURS - 2nd cheapest, 2nd worst product</t>
        </is>
      </c>
    </row>
    <row r="50">
      <c r="A50" t="inlineStr">
        <is>
          <t>Skim MILC MKII</t>
        </is>
      </c>
      <c r="B50" t="n">
        <v>1450</v>
      </c>
      <c r="C50" t="n">
        <v>76</v>
      </c>
      <c r="D50" t="n">
        <v>100</v>
      </c>
      <c r="E50" s="170" t="inlineStr"/>
    </row>
    <row r="51">
      <c r="A51" t="inlineStr">
        <is>
          <t>LiteSpeed+</t>
        </is>
      </c>
      <c r="B51" t="n">
        <v>1325</v>
      </c>
      <c r="C51" t="n">
        <v>74</v>
      </c>
      <c r="D51" t="n">
        <v>100</v>
      </c>
      <c r="E51" s="170" t="inlineStr"/>
    </row>
    <row r="54">
      <c r="A54" s="166" t="inlineStr">
        <is>
          <t>SWIFT BIKE PRICE MOVE — now precise</t>
        </is>
      </c>
      <c r="B54" s="166" t="inlineStr">
        <is>
          <t>Value</t>
        </is>
      </c>
      <c r="C54" s="166" t="inlineStr">
        <is>
          <t>Note</t>
        </is>
      </c>
    </row>
    <row r="55">
      <c r="A55" t="inlineStr">
        <is>
          <t>Current price</t>
        </is>
      </c>
      <c r="B55" t="n">
        <v>1450</v>
      </c>
      <c r="C55" s="170" t="inlineStr">
        <is>
          <t>2nd cheapest of 10 Speed brands</t>
        </is>
      </c>
    </row>
    <row r="56">
      <c r="A56" t="inlineStr">
        <is>
          <t>Speed median price</t>
        </is>
      </c>
      <c r="B56" t="n">
        <v>1547</v>
      </c>
      <c r="C56" s="170" t="inlineStr">
        <is>
          <t>we sit $97 below the median</t>
        </is>
      </c>
    </row>
    <row r="57">
      <c r="A57" t="inlineStr">
        <is>
          <t>Highest price with ZERO Speed resistance</t>
        </is>
      </c>
      <c r="B57" s="159" t="n">
        <v>1580</v>
      </c>
      <c r="C57" s="170" t="inlineStr">
        <is>
          <t>Mach 0.6, Blu Aero, Blu Tube, The Armstrong</t>
        </is>
      </c>
    </row>
    <row r="58">
      <c r="A58" t="inlineStr">
        <is>
          <t>First price WITH resistance</t>
        </is>
      </c>
      <c r="B58" t="n">
        <v>1749</v>
      </c>
      <c r="C58" s="170" t="inlineStr">
        <is>
          <t>MACH I.I, judgment 90</t>
        </is>
      </c>
    </row>
    <row r="59">
      <c r="A59" t="inlineStr">
        <is>
          <t>Safe increase</t>
        </is>
      </c>
      <c r="B59" s="159">
        <f>C57-C55</f>
        <v/>
      </c>
      <c r="C59" s="170" t="inlineStr">
        <is>
          <t>proven safe by four rival brands</t>
        </is>
      </c>
    </row>
    <row r="60">
      <c r="A60" t="inlineStr">
        <is>
          <t>On Q3 volume (215 units)</t>
        </is>
      </c>
      <c r="B60" s="159">
        <f>C59*215</f>
        <v/>
      </c>
      <c r="C60" s="170" t="inlineStr">
        <is>
          <t>pure margin, no cost change</t>
        </is>
      </c>
    </row>
    <row r="61">
      <c r="A61" t="inlineStr">
        <is>
          <t>On a rebuilt Speed volume (400 units)</t>
        </is>
      </c>
      <c r="B61" s="159">
        <f>C59*400</f>
        <v/>
      </c>
      <c r="C61" s="170" t="n"/>
    </row>
    <row r="62">
      <c r="A62" t="inlineStr">
        <is>
          <t>Untested zone</t>
        </is>
      </c>
      <c r="B62" t="inlineStr">
        <is>
          <t>1,581 - 1,748</t>
        </is>
      </c>
      <c r="C62" s="170" t="inlineStr">
        <is>
          <t>nobody prices here, so resistance onset is unknown. $1,580 is the evidence-backed target.</t>
        </is>
      </c>
    </row>
    <row r="65">
      <c r="A65" s="166" t="inlineStr">
        <is>
          <t>HIKE BIKE — confirmed at the Mountain ceiling</t>
        </is>
      </c>
      <c r="B65" s="166" t="inlineStr">
        <is>
          <t>Price</t>
        </is>
      </c>
      <c r="C65" s="166" t="inlineStr">
        <is>
          <t>Mountain price judgment</t>
        </is>
      </c>
    </row>
    <row r="66">
      <c r="A66" t="inlineStr">
        <is>
          <t>LiteTrail Pro</t>
        </is>
      </c>
      <c r="B66" t="n">
        <v>1300</v>
      </c>
      <c r="C66" s="170" t="n">
        <v>100</v>
      </c>
    </row>
    <row r="67">
      <c r="A67" t="inlineStr">
        <is>
          <t>LiteSpeed+ (Speed brand)</t>
        </is>
      </c>
      <c r="B67" t="n">
        <v>1325</v>
      </c>
      <c r="C67" s="170" t="n">
        <v>100</v>
      </c>
    </row>
    <row r="68">
      <c r="A68" t="inlineStr">
        <is>
          <t>TERRAMean</t>
        </is>
      </c>
      <c r="B68" t="n">
        <v>1349</v>
      </c>
      <c r="C68" s="170" t="n">
        <v>100</v>
      </c>
    </row>
    <row r="69">
      <c r="A69" t="inlineStr">
        <is>
          <t>Hike Bike / Blu Ruged Ballz / Blu Tail Ballz</t>
        </is>
      </c>
      <c r="B69" s="159" t="n">
        <v>1365</v>
      </c>
      <c r="C69" s="181" t="n">
        <v>100</v>
      </c>
    </row>
    <row r="70">
      <c r="A70" t="inlineStr">
        <is>
          <t>Swift Bike / Skim MILC (tier above)</t>
        </is>
      </c>
      <c r="B70" t="n">
        <v>1450</v>
      </c>
      <c r="C70" s="185" t="n">
        <v>94</v>
      </c>
    </row>
    <row r="71">
      <c r="A71" t="inlineStr">
        <is>
          <t>TERRAMAX</t>
        </is>
      </c>
      <c r="B71" t="n">
        <v>1499</v>
      </c>
      <c r="C71" s="170" t="n">
        <v>91</v>
      </c>
    </row>
    <row r="72">
      <c r="A72" t="inlineStr">
        <is>
          <t>Read</t>
        </is>
      </c>
      <c r="C72" s="170" t="inlineStr">
        <is>
          <t>Mountain resistance begins somewhere between $1,365 and $1,450. We sit at the top of the clean band. HOLD $1,365 - the $85 of untested space is not worth risking a judgment drop.</t>
        </is>
      </c>
    </row>
    <row r="75">
      <c r="A75" s="166" t="inlineStr">
        <is>
          <t>CONTRIBUTION PER UNIT — matters now that capacity binds</t>
        </is>
      </c>
      <c r="B75" s="166" t="inlineStr">
        <is>
          <t>Price</t>
        </is>
      </c>
      <c r="C75" s="166" t="inlineStr">
        <is>
          <t>Q3 unit cost</t>
        </is>
      </c>
      <c r="D75" s="166" t="inlineStr">
        <is>
          <t>Contribution</t>
        </is>
      </c>
    </row>
    <row r="76">
      <c r="A76" t="inlineStr">
        <is>
          <t>Hike Bike</t>
        </is>
      </c>
      <c r="B76" t="n">
        <v>1365</v>
      </c>
      <c r="C76" t="n">
        <v>618</v>
      </c>
      <c r="D76" s="170">
        <f>B76-C76</f>
        <v/>
      </c>
    </row>
    <row r="77">
      <c r="A77" t="inlineStr">
        <is>
          <t>Swift Bike (today)</t>
        </is>
      </c>
      <c r="B77" t="n">
        <v>1450</v>
      </c>
      <c r="C77" t="n">
        <v>694</v>
      </c>
      <c r="D77" s="170">
        <f>B77-C77</f>
        <v/>
      </c>
    </row>
    <row r="78">
      <c r="A78" t="inlineStr">
        <is>
          <t>Swift Bike at $1,580</t>
        </is>
      </c>
      <c r="B78" t="n">
        <v>1580</v>
      </c>
      <c r="C78" t="n">
        <v>694</v>
      </c>
      <c r="D78" s="181">
        <f>B78-C78</f>
        <v/>
      </c>
    </row>
    <row r="79">
      <c r="A79" t="inlineStr">
        <is>
          <t>Swift Bike at $1,580 with 14-speed gears</t>
        </is>
      </c>
      <c r="B79" t="n">
        <v>1580</v>
      </c>
      <c r="C79" t="inlineStr">
        <is>
          <t>lower</t>
        </is>
      </c>
      <c r="D79" s="170" t="inlineStr">
        <is>
          <t>higher still</t>
        </is>
      </c>
    </row>
    <row r="80">
      <c r="A80" t="inlineStr">
        <is>
          <t>Read</t>
        </is>
      </c>
      <c r="D80" s="174" t="inlineStr">
        <is>
          <t>At $1,580 Swift Bike becomes our MOST profitable unit ($886 vs Hike Bike's $747). Switching it to 14-speed (the design fix) should cut its cost too, widening the gap further.</t>
        </is>
      </c>
    </row>
    <row r="83">
      <c r="A83" s="166" t="inlineStr">
        <is>
          <t>PRIORITY FIELD — a lever we have not thought about</t>
        </is>
      </c>
      <c r="B83" s="166" t="inlineStr">
        <is>
          <t>Value</t>
        </is>
      </c>
      <c r="C83" s="166" t="inlineStr">
        <is>
          <t>Note</t>
        </is>
      </c>
    </row>
    <row r="84">
      <c r="A84" t="inlineStr">
        <is>
          <t>Our priority order</t>
        </is>
      </c>
      <c r="B84" t="inlineStr">
        <is>
          <t>1 Hike Bike, 2 Swift Bike</t>
        </is>
      </c>
      <c r="C84" s="170" t="n"/>
    </row>
    <row r="85">
      <c r="A85" t="inlineStr">
        <is>
          <t>Q3 stock-out by brand</t>
        </is>
      </c>
      <c r="B85" t="inlineStr">
        <is>
          <t>Hike Bike 134/412 = 32.5%</t>
        </is>
      </c>
      <c r="C85" s="170" t="inlineStr">
        <is>
          <t>Swift Bike 70/215 = 32.6%</t>
        </is>
      </c>
    </row>
    <row r="86">
      <c r="A86" t="inlineStr">
        <is>
          <t>Observation</t>
        </is>
      </c>
      <c r="C86" s="170" t="inlineStr">
        <is>
          <t>Both brands lost almost exactly the same percentage, so priority 1 did NOT shield Hike Bike in Q3. Treat the mechanism as unverified.</t>
        </is>
      </c>
    </row>
    <row r="87">
      <c r="A87" t="inlineStr">
        <is>
          <t>Why it matters in Q4</t>
        </is>
      </c>
      <c r="C87" s="174" t="inlineStr">
        <is>
          <t>Capacity is now binding (see Q4_Planner). If we cannot build all demand, the priority order decides the mix. After the price rise, Swift Bike earns $886/unit vs Hike Bike's $747 - so a pure margin view argues for promoting Swift Bike.</t>
        </is>
      </c>
    </row>
    <row r="88">
      <c r="A88" t="inlineStr">
        <is>
          <t>Counter-argument</t>
        </is>
      </c>
      <c r="C88" s="174" t="inlineStr">
        <is>
          <t>Mountain is our PRIMARY segment for the Balanced Scorecard's Market Performance, and we hold 22.1% there vs 7.5% in Speed. Starving Hike Bike would hurt the scorecard even if it helps the income statement. Decide deliberately - do not leave it on default.</t>
        </is>
      </c>
    </row>
    <row r="89">
      <c r="A89" t="inlineStr">
        <is>
          <t>Rebates</t>
        </is>
      </c>
      <c r="B89" t="inlineStr">
        <is>
          <t>we use 0</t>
        </is>
      </c>
      <c r="C89" s="170" t="inlineStr">
        <is>
          <t>Only the two Recreation leaders rebate: Mars Rover $50, Whole MILC $100. Rebates appear to be a Recreation/price-sensitive tool - no reason for us to start.</t>
        </is>
      </c>
    </row>
    <row r="92">
      <c r="A92" s="166" t="inlineStr">
        <is>
          <t>HOW RIVALS PRICE BY SEGMENT — the pattern to copy</t>
        </is>
      </c>
      <c r="B92" s="166" t="inlineStr">
        <is>
          <t>Mountain</t>
        </is>
      </c>
      <c r="C92" s="166" t="inlineStr">
        <is>
          <t>Speed</t>
        </is>
      </c>
      <c r="D92" s="166" t="inlineStr">
        <is>
          <t>Recreation</t>
        </is>
      </c>
    </row>
    <row r="93">
      <c r="A93" t="inlineStr">
        <is>
          <t>BB LLC</t>
        </is>
      </c>
      <c r="B93" t="inlineStr">
        <is>
          <t>$1,365</t>
        </is>
      </c>
      <c r="C93" t="inlineStr">
        <is>
          <t>$1,580</t>
        </is>
      </c>
      <c r="D93" s="170" t="inlineStr">
        <is>
          <t>n/a</t>
        </is>
      </c>
    </row>
    <row r="94">
      <c r="A94" t="inlineStr">
        <is>
          <t>SpaceBikes</t>
        </is>
      </c>
      <c r="B94" t="inlineStr">
        <is>
          <t>n/a</t>
        </is>
      </c>
      <c r="C94" t="inlineStr">
        <is>
          <t>$1,580</t>
        </is>
      </c>
      <c r="D94" s="170" t="inlineStr">
        <is>
          <t>$1,050 net</t>
        </is>
      </c>
    </row>
    <row r="95">
      <c r="A95" t="inlineStr">
        <is>
          <t>MILC Bikes</t>
        </is>
      </c>
      <c r="B95" t="inlineStr">
        <is>
          <t>n/a</t>
        </is>
      </c>
      <c r="C95" t="inlineStr">
        <is>
          <t>$1,450</t>
        </is>
      </c>
      <c r="D95" s="170" t="inlineStr">
        <is>
          <t>$950 net</t>
        </is>
      </c>
    </row>
    <row r="96">
      <c r="A96" t="inlineStr">
        <is>
          <t>LiteCycle</t>
        </is>
      </c>
      <c r="B96" t="inlineStr">
        <is>
          <t>$1,300</t>
        </is>
      </c>
      <c r="C96" t="inlineStr">
        <is>
          <t>$1,325 - $1,515</t>
        </is>
      </c>
      <c r="D96" s="170" t="inlineStr">
        <is>
          <t>n/a</t>
        </is>
      </c>
    </row>
    <row r="97">
      <c r="A97" t="inlineStr">
        <is>
          <t>Bike Bros</t>
        </is>
      </c>
      <c r="B97" t="inlineStr">
        <is>
          <t>$1,349 - $1,499</t>
        </is>
      </c>
      <c r="C97" t="inlineStr">
        <is>
          <t>$1,579 - $1,749</t>
        </is>
      </c>
      <c r="D97" s="170" t="inlineStr">
        <is>
          <t>$1,199</t>
        </is>
      </c>
    </row>
    <row r="98">
      <c r="A98" t="inlineStr">
        <is>
          <t>Spoke'd Up</t>
        </is>
      </c>
      <c r="B98" t="inlineStr">
        <is>
          <t>n/a</t>
        </is>
      </c>
      <c r="C98" t="inlineStr">
        <is>
          <t>$1,499</t>
        </is>
      </c>
      <c r="D98" s="170" t="inlineStr">
        <is>
          <t>$999</t>
        </is>
      </c>
    </row>
    <row r="99">
      <c r="A99" s="171" t="inlineStr">
        <is>
          <t>WeBike</t>
        </is>
      </c>
      <c r="B99" s="171" t="inlineStr">
        <is>
          <t>$1,365</t>
        </is>
      </c>
      <c r="C99" s="171" t="inlineStr">
        <is>
          <t>$1,450</t>
        </is>
      </c>
      <c r="D99" s="194" t="inlineStr">
        <is>
          <t>n/a</t>
        </is>
      </c>
    </row>
    <row r="100">
      <c r="A100" t="inlineStr">
        <is>
          <t>Read</t>
        </is>
      </c>
      <c r="D100" s="174" t="inlineStr">
        <is>
          <t>The strong firms price Speed $200+ above Mountain and Recreation far below. BB LLC is the cleanest example: identical Mountain price to ours, Speed $215 higher. We copied their Mountain price correctly and missed their Speed price entirely.</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127"/>
  <sheetViews>
    <sheetView workbookViewId="0">
      <selection activeCell="A1" sqref="A1"/>
    </sheetView>
  </sheetViews>
  <sheetFormatPr baseColWidth="8" defaultRowHeight="15"/>
  <cols>
    <col width="48" customWidth="1" style="146" min="1" max="1"/>
    <col width="22" customWidth="1" style="146" min="2" max="2"/>
    <col width="18" customWidth="1" style="146" min="3" max="3"/>
    <col width="16" customWidth="1" style="146" min="4" max="4"/>
    <col width="16" customWidth="1" style="146" min="5" max="5"/>
    <col width="18" customWidth="1" style="146" min="6" max="6"/>
    <col width="22" customWidth="1" style="146" min="7" max="7"/>
    <col width="18" customWidth="1" style="146" min="8" max="8"/>
    <col width="18" customWidth="1" style="146" min="9" max="9"/>
    <col width="18" customWidth="1" style="146" min="10" max="10"/>
    <col width="18" customWidth="1" style="146" min="11" max="11"/>
    <col width="18" customWidth="1" style="146" min="12" max="12"/>
    <col width="18" customWidth="1" style="146" min="13" max="13"/>
  </cols>
  <sheetData>
    <row r="1">
      <c r="A1" s="169" t="inlineStr">
        <is>
          <t>Competitors' Profiles by city — Q3 actual (measured store vs web)</t>
        </is>
      </c>
    </row>
    <row r="2" ht="48" customHeight="1" s="146">
      <c r="A2" s="170" t="inlineStr">
        <is>
          <t>Source: Detailed report for city, all four cities. Totals reconcile to 6,559. WeBike 627 / 507 store / 120 web. Firm store+web vs Q3_Channel is ±1 rounding; city figures are the ground truth. Bike Bros is N/A outside Amsterdam.</t>
        </is>
      </c>
    </row>
    <row r="4">
      <c r="A4" s="166" t="inlineStr">
        <is>
          <t>Company</t>
        </is>
      </c>
      <c r="B4" s="166" t="inlineStr">
        <is>
          <t>City</t>
        </is>
      </c>
      <c r="C4" s="166" t="inlineStr">
        <is>
          <t>Total</t>
        </is>
      </c>
      <c r="D4" s="166" t="inlineStr">
        <is>
          <t>Store</t>
        </is>
      </c>
      <c r="E4" s="166" t="inlineStr">
        <is>
          <t>Web</t>
        </is>
      </c>
      <c r="F4" s="166" t="inlineStr">
        <is>
          <t>Brands</t>
        </is>
      </c>
      <c r="G4" s="166" t="inlineStr">
        <is>
          <t>Avg price</t>
        </is>
      </c>
      <c r="H4" s="166" t="inlineStr">
        <is>
          <t>Inserts</t>
        </is>
      </c>
      <c r="I4" s="166" t="inlineStr">
        <is>
          <t>Store people</t>
        </is>
      </c>
      <c r="J4" s="166" t="inlineStr">
        <is>
          <t>Demand / store person</t>
        </is>
      </c>
      <c r="K4" s="166" t="inlineStr">
        <is>
          <t>Web people</t>
        </is>
      </c>
      <c r="L4" s="166" t="inlineStr">
        <is>
          <t>Demand / web person</t>
        </is>
      </c>
    </row>
    <row r="5">
      <c r="A5" t="inlineStr">
        <is>
          <t>LiteCycle</t>
        </is>
      </c>
      <c r="B5" t="inlineStr">
        <is>
          <t>New York City</t>
        </is>
      </c>
      <c r="C5" t="n">
        <v>143</v>
      </c>
      <c r="D5" t="n">
        <v>0</v>
      </c>
      <c r="E5" t="n">
        <v>143</v>
      </c>
      <c r="F5" t="n">
        <v>3</v>
      </c>
      <c r="G5" t="n">
        <v>1380</v>
      </c>
      <c r="H5" t="n">
        <v>12</v>
      </c>
      <c r="K5" t="n">
        <v>7</v>
      </c>
      <c r="L5" t="n">
        <v>20</v>
      </c>
    </row>
    <row r="6">
      <c r="A6" s="171" t="inlineStr">
        <is>
          <t>WeBike</t>
        </is>
      </c>
      <c r="B6" s="171" t="inlineStr">
        <is>
          <t>New York City</t>
        </is>
      </c>
      <c r="C6" s="171" t="n">
        <v>38</v>
      </c>
      <c r="D6" s="171" t="n">
        <v>0</v>
      </c>
      <c r="E6" s="171" t="n">
        <v>38</v>
      </c>
      <c r="F6" s="171" t="n">
        <v>2</v>
      </c>
      <c r="G6" s="171" t="n">
        <v>1408</v>
      </c>
      <c r="H6" s="171" t="n">
        <v>19</v>
      </c>
      <c r="I6" s="171" t="n"/>
      <c r="J6" s="171" t="n"/>
      <c r="K6" s="171" t="n">
        <v>3</v>
      </c>
      <c r="L6" s="171" t="n">
        <v>13</v>
      </c>
    </row>
    <row r="7">
      <c r="A7" t="inlineStr">
        <is>
          <t>BB LLC</t>
        </is>
      </c>
      <c r="B7" t="inlineStr">
        <is>
          <t>New York City</t>
        </is>
      </c>
      <c r="C7" t="n">
        <v>752</v>
      </c>
      <c r="D7" t="n">
        <v>567</v>
      </c>
      <c r="E7" t="n">
        <v>185</v>
      </c>
      <c r="F7" t="n">
        <v>4</v>
      </c>
      <c r="G7" t="n">
        <v>1473</v>
      </c>
      <c r="H7" t="n">
        <v>24</v>
      </c>
      <c r="I7" t="n">
        <v>7</v>
      </c>
      <c r="J7" t="n">
        <v>81</v>
      </c>
      <c r="K7" t="n">
        <v>7</v>
      </c>
      <c r="L7" t="n">
        <v>26</v>
      </c>
    </row>
    <row r="8">
      <c r="A8" t="inlineStr">
        <is>
          <t>Spoke'd Up</t>
        </is>
      </c>
      <c r="B8" t="inlineStr">
        <is>
          <t>New York City</t>
        </is>
      </c>
      <c r="C8" t="n">
        <v>412</v>
      </c>
      <c r="D8" t="n">
        <v>371</v>
      </c>
      <c r="E8" t="n">
        <v>41</v>
      </c>
      <c r="F8" t="n">
        <v>2</v>
      </c>
      <c r="G8" t="n">
        <v>1249</v>
      </c>
      <c r="H8" t="n">
        <v>12</v>
      </c>
      <c r="I8" t="n">
        <v>5</v>
      </c>
      <c r="J8" t="n">
        <v>74</v>
      </c>
      <c r="K8" t="n">
        <v>3</v>
      </c>
      <c r="L8" t="n">
        <v>14</v>
      </c>
    </row>
    <row r="9">
      <c r="A9" t="inlineStr">
        <is>
          <t>SpaceBikes</t>
        </is>
      </c>
      <c r="B9" t="inlineStr">
        <is>
          <t>New York City</t>
        </is>
      </c>
      <c r="C9" t="n">
        <v>574</v>
      </c>
      <c r="D9" t="n">
        <v>435</v>
      </c>
      <c r="E9" t="n">
        <v>139</v>
      </c>
      <c r="F9" t="n">
        <v>2</v>
      </c>
      <c r="G9" t="n">
        <v>1340</v>
      </c>
      <c r="H9" t="n">
        <v>17</v>
      </c>
      <c r="I9" t="n">
        <v>7</v>
      </c>
      <c r="J9" t="n">
        <v>62</v>
      </c>
      <c r="K9" t="n">
        <v>7</v>
      </c>
      <c r="L9" t="n">
        <v>20</v>
      </c>
    </row>
    <row r="10">
      <c r="A10" t="inlineStr">
        <is>
          <t>MILC Bikes</t>
        </is>
      </c>
      <c r="B10" t="inlineStr">
        <is>
          <t>New York City</t>
        </is>
      </c>
      <c r="C10" t="n">
        <v>120</v>
      </c>
      <c r="D10" t="n">
        <v>0</v>
      </c>
      <c r="E10" t="n">
        <v>120</v>
      </c>
      <c r="F10" t="n">
        <v>2</v>
      </c>
      <c r="G10" t="n">
        <v>1250</v>
      </c>
      <c r="H10" t="n">
        <v>12</v>
      </c>
      <c r="K10" t="n">
        <v>7</v>
      </c>
      <c r="L10" t="n">
        <v>17</v>
      </c>
    </row>
    <row r="11">
      <c r="A11" t="inlineStr">
        <is>
          <t>LiteCycle</t>
        </is>
      </c>
      <c r="B11" t="inlineStr">
        <is>
          <t>Rio de Janeiro</t>
        </is>
      </c>
      <c r="C11" t="n">
        <v>106</v>
      </c>
      <c r="D11" t="n">
        <v>0</v>
      </c>
      <c r="E11" t="n">
        <v>106</v>
      </c>
      <c r="F11" t="n">
        <v>3</v>
      </c>
      <c r="G11" t="n">
        <v>1380</v>
      </c>
      <c r="H11" t="n">
        <v>12</v>
      </c>
      <c r="K11" t="n">
        <v>7</v>
      </c>
      <c r="L11" t="n">
        <v>15</v>
      </c>
    </row>
    <row r="12">
      <c r="A12" s="171" t="inlineStr">
        <is>
          <t>WeBike</t>
        </is>
      </c>
      <c r="B12" s="171" t="inlineStr">
        <is>
          <t>Rio de Janeiro</t>
        </is>
      </c>
      <c r="C12" s="171" t="n">
        <v>270</v>
      </c>
      <c r="D12" s="171" t="n">
        <v>240</v>
      </c>
      <c r="E12" s="171" t="n">
        <v>30</v>
      </c>
      <c r="F12" s="171" t="n">
        <v>2</v>
      </c>
      <c r="G12" s="171" t="n">
        <v>1408</v>
      </c>
      <c r="H12" s="171" t="n">
        <v>19</v>
      </c>
      <c r="I12" s="171" t="n">
        <v>4</v>
      </c>
      <c r="J12" s="171" t="n">
        <v>60</v>
      </c>
      <c r="K12" s="171" t="n">
        <v>3</v>
      </c>
      <c r="L12" s="171" t="n">
        <v>10</v>
      </c>
    </row>
    <row r="13">
      <c r="A13" t="inlineStr">
        <is>
          <t>BB LLC</t>
        </is>
      </c>
      <c r="B13" t="inlineStr">
        <is>
          <t>Rio de Janeiro</t>
        </is>
      </c>
      <c r="C13" t="n">
        <v>139</v>
      </c>
      <c r="D13" t="n">
        <v>0</v>
      </c>
      <c r="E13" t="n">
        <v>139</v>
      </c>
      <c r="F13" t="n">
        <v>4</v>
      </c>
      <c r="G13" t="n">
        <v>1473</v>
      </c>
      <c r="H13" t="n">
        <v>24</v>
      </c>
      <c r="K13" t="n">
        <v>7</v>
      </c>
      <c r="L13" t="n">
        <v>20</v>
      </c>
    </row>
    <row r="14">
      <c r="A14" t="inlineStr">
        <is>
          <t>Spoke'd Up</t>
        </is>
      </c>
      <c r="B14" t="inlineStr">
        <is>
          <t>Rio de Janeiro</t>
        </is>
      </c>
      <c r="C14" t="n">
        <v>32</v>
      </c>
      <c r="D14" t="n">
        <v>0</v>
      </c>
      <c r="E14" t="n">
        <v>32</v>
      </c>
      <c r="F14" t="n">
        <v>2</v>
      </c>
      <c r="G14" t="n">
        <v>1249</v>
      </c>
      <c r="H14" t="n">
        <v>12</v>
      </c>
      <c r="K14" t="n">
        <v>3</v>
      </c>
      <c r="L14" t="n">
        <v>11</v>
      </c>
    </row>
    <row r="15">
      <c r="A15" t="inlineStr">
        <is>
          <t>SpaceBikes</t>
        </is>
      </c>
      <c r="B15" t="inlineStr">
        <is>
          <t>Rio de Janeiro</t>
        </is>
      </c>
      <c r="C15" t="n">
        <v>120</v>
      </c>
      <c r="D15" t="n">
        <v>0</v>
      </c>
      <c r="E15" t="n">
        <v>120</v>
      </c>
      <c r="F15" t="n">
        <v>2</v>
      </c>
      <c r="G15" t="n">
        <v>1340</v>
      </c>
      <c r="H15" t="n">
        <v>17</v>
      </c>
      <c r="K15" t="n">
        <v>7</v>
      </c>
      <c r="L15" t="n">
        <v>17</v>
      </c>
    </row>
    <row r="16">
      <c r="A16" t="inlineStr">
        <is>
          <t>MILC Bikes</t>
        </is>
      </c>
      <c r="B16" t="inlineStr">
        <is>
          <t>Rio de Janeiro</t>
        </is>
      </c>
      <c r="C16" t="n">
        <v>107</v>
      </c>
      <c r="D16" t="n">
        <v>0</v>
      </c>
      <c r="E16" t="n">
        <v>107</v>
      </c>
      <c r="F16" t="n">
        <v>2</v>
      </c>
      <c r="G16" t="n">
        <v>1250</v>
      </c>
      <c r="H16" t="n">
        <v>12</v>
      </c>
      <c r="K16" t="n">
        <v>7</v>
      </c>
      <c r="L16" t="n">
        <v>15</v>
      </c>
    </row>
    <row r="17">
      <c r="A17" t="inlineStr">
        <is>
          <t>Bike Bros</t>
        </is>
      </c>
      <c r="B17" t="inlineStr">
        <is>
          <t>Amsterdam</t>
        </is>
      </c>
      <c r="C17" t="n">
        <v>490</v>
      </c>
      <c r="D17" t="n">
        <v>490</v>
      </c>
      <c r="E17" t="n">
        <v>0</v>
      </c>
      <c r="F17" t="n">
        <v>5</v>
      </c>
      <c r="G17" t="n">
        <v>1475</v>
      </c>
      <c r="H17" t="n">
        <v>10</v>
      </c>
      <c r="I17" t="n">
        <v>7</v>
      </c>
      <c r="J17" t="n">
        <v>70</v>
      </c>
    </row>
    <row r="18">
      <c r="A18" t="inlineStr">
        <is>
          <t>LiteCycle</t>
        </is>
      </c>
      <c r="B18" t="inlineStr">
        <is>
          <t>Amsterdam</t>
        </is>
      </c>
      <c r="C18" t="n">
        <v>365</v>
      </c>
      <c r="D18" t="n">
        <v>272</v>
      </c>
      <c r="E18" t="n">
        <v>93</v>
      </c>
      <c r="F18" t="n">
        <v>3</v>
      </c>
      <c r="G18" t="n">
        <v>1380</v>
      </c>
      <c r="H18" t="n">
        <v>12</v>
      </c>
      <c r="I18" t="n">
        <v>5</v>
      </c>
      <c r="J18" t="n">
        <v>54</v>
      </c>
      <c r="K18" t="n">
        <v>7</v>
      </c>
      <c r="L18" t="n">
        <v>13</v>
      </c>
    </row>
    <row r="19">
      <c r="A19" s="171" t="inlineStr">
        <is>
          <t>WeBike</t>
        </is>
      </c>
      <c r="B19" s="171" t="inlineStr">
        <is>
          <t>Amsterdam</t>
        </is>
      </c>
      <c r="C19" s="171" t="n">
        <v>295</v>
      </c>
      <c r="D19" s="171" t="n">
        <v>267</v>
      </c>
      <c r="E19" s="171" t="n">
        <v>28</v>
      </c>
      <c r="F19" s="171" t="n">
        <v>2</v>
      </c>
      <c r="G19" s="171" t="n">
        <v>1408</v>
      </c>
      <c r="H19" s="171" t="n">
        <v>19</v>
      </c>
      <c r="I19" s="171" t="n">
        <v>7</v>
      </c>
      <c r="J19" s="171" t="n">
        <v>38</v>
      </c>
      <c r="K19" s="171" t="n">
        <v>3</v>
      </c>
      <c r="L19" s="171" t="n">
        <v>9</v>
      </c>
    </row>
    <row r="20">
      <c r="A20" t="inlineStr">
        <is>
          <t>BB LLC</t>
        </is>
      </c>
      <c r="B20" t="inlineStr">
        <is>
          <t>Amsterdam</t>
        </is>
      </c>
      <c r="C20" t="n">
        <v>493</v>
      </c>
      <c r="D20" t="n">
        <v>372</v>
      </c>
      <c r="E20" t="n">
        <v>121</v>
      </c>
      <c r="F20" t="n">
        <v>4</v>
      </c>
      <c r="G20" t="n">
        <v>1473</v>
      </c>
      <c r="H20" t="n">
        <v>24</v>
      </c>
      <c r="I20" t="n">
        <v>7</v>
      </c>
      <c r="J20" t="n">
        <v>53</v>
      </c>
      <c r="K20" t="n">
        <v>7</v>
      </c>
      <c r="L20" t="n">
        <v>17</v>
      </c>
    </row>
    <row r="21">
      <c r="A21" t="inlineStr">
        <is>
          <t>Spoke'd Up</t>
        </is>
      </c>
      <c r="B21" t="inlineStr">
        <is>
          <t>Amsterdam</t>
        </is>
      </c>
      <c r="C21" t="n">
        <v>380</v>
      </c>
      <c r="D21" t="n">
        <v>344</v>
      </c>
      <c r="E21" t="n">
        <v>36</v>
      </c>
      <c r="F21" t="n">
        <v>2</v>
      </c>
      <c r="G21" t="n">
        <v>1249</v>
      </c>
      <c r="H21" t="n">
        <v>12</v>
      </c>
      <c r="I21" t="n">
        <v>6</v>
      </c>
      <c r="J21" t="n">
        <v>57</v>
      </c>
      <c r="K21" t="n">
        <v>3</v>
      </c>
      <c r="L21" t="n">
        <v>12</v>
      </c>
    </row>
    <row r="22">
      <c r="A22" t="inlineStr">
        <is>
          <t>SpaceBikes</t>
        </is>
      </c>
      <c r="B22" t="inlineStr">
        <is>
          <t>Amsterdam</t>
        </is>
      </c>
      <c r="C22" t="n">
        <v>490</v>
      </c>
      <c r="D22" t="n">
        <v>371</v>
      </c>
      <c r="E22" t="n">
        <v>119</v>
      </c>
      <c r="F22" t="n">
        <v>2</v>
      </c>
      <c r="G22" t="n">
        <v>1340</v>
      </c>
      <c r="H22" t="n">
        <v>17</v>
      </c>
      <c r="I22" t="n">
        <v>7</v>
      </c>
      <c r="J22" t="n">
        <v>53</v>
      </c>
      <c r="K22" t="n">
        <v>7</v>
      </c>
      <c r="L22" t="n">
        <v>17</v>
      </c>
    </row>
    <row r="23">
      <c r="A23" t="inlineStr">
        <is>
          <t>MILC Bikes</t>
        </is>
      </c>
      <c r="B23" t="inlineStr">
        <is>
          <t>Amsterdam</t>
        </is>
      </c>
      <c r="C23" t="n">
        <v>472</v>
      </c>
      <c r="D23" t="n">
        <v>365</v>
      </c>
      <c r="E23" t="n">
        <v>107</v>
      </c>
      <c r="F23" t="n">
        <v>2</v>
      </c>
      <c r="G23" t="n">
        <v>1250</v>
      </c>
      <c r="H23" t="n">
        <v>12</v>
      </c>
      <c r="I23" t="n">
        <v>7</v>
      </c>
      <c r="J23" t="n">
        <v>52</v>
      </c>
      <c r="K23" t="n">
        <v>7</v>
      </c>
      <c r="L23" t="n">
        <v>15</v>
      </c>
    </row>
    <row r="24">
      <c r="A24" t="inlineStr">
        <is>
          <t>LiteCycle</t>
        </is>
      </c>
      <c r="B24" t="inlineStr">
        <is>
          <t>Bangalore</t>
        </is>
      </c>
      <c r="C24" t="n">
        <v>370</v>
      </c>
      <c r="D24" t="n">
        <v>277</v>
      </c>
      <c r="E24" t="n">
        <v>93</v>
      </c>
      <c r="F24" t="n">
        <v>3</v>
      </c>
      <c r="G24" t="n">
        <v>1380</v>
      </c>
      <c r="H24" t="n">
        <v>12</v>
      </c>
      <c r="I24" t="n">
        <v>5</v>
      </c>
      <c r="J24" t="n">
        <v>55</v>
      </c>
      <c r="K24" t="n">
        <v>7</v>
      </c>
      <c r="L24" t="n">
        <v>13</v>
      </c>
    </row>
    <row r="25">
      <c r="A25" s="171" t="inlineStr">
        <is>
          <t>WeBike</t>
        </is>
      </c>
      <c r="B25" s="171" t="inlineStr">
        <is>
          <t>Bangalore</t>
        </is>
      </c>
      <c r="C25" s="171" t="n">
        <v>24</v>
      </c>
      <c r="D25" s="171" t="n">
        <v>0</v>
      </c>
      <c r="E25" s="171" t="n">
        <v>24</v>
      </c>
      <c r="F25" s="171" t="n">
        <v>2</v>
      </c>
      <c r="G25" s="171" t="n">
        <v>1408</v>
      </c>
      <c r="H25" s="171" t="n">
        <v>19</v>
      </c>
      <c r="I25" s="171" t="n"/>
      <c r="J25" s="171" t="n"/>
      <c r="K25" s="171" t="n">
        <v>3</v>
      </c>
      <c r="L25" s="171" t="n">
        <v>8</v>
      </c>
    </row>
    <row r="26">
      <c r="A26" t="inlineStr">
        <is>
          <t>BB LLC</t>
        </is>
      </c>
      <c r="B26" t="inlineStr">
        <is>
          <t>Bangalore</t>
        </is>
      </c>
      <c r="C26" t="n">
        <v>123</v>
      </c>
      <c r="D26" t="n">
        <v>0</v>
      </c>
      <c r="E26" t="n">
        <v>123</v>
      </c>
      <c r="F26" t="n">
        <v>4</v>
      </c>
      <c r="G26" t="n">
        <v>1473</v>
      </c>
      <c r="H26" t="n">
        <v>24</v>
      </c>
      <c r="K26" t="n">
        <v>7</v>
      </c>
      <c r="L26" t="n">
        <v>18</v>
      </c>
    </row>
    <row r="27">
      <c r="A27" t="inlineStr">
        <is>
          <t>Spoke'd Up</t>
        </is>
      </c>
      <c r="B27" t="inlineStr">
        <is>
          <t>Bangalore</t>
        </is>
      </c>
      <c r="C27" t="n">
        <v>30</v>
      </c>
      <c r="D27" t="n">
        <v>0</v>
      </c>
      <c r="E27" t="n">
        <v>30</v>
      </c>
      <c r="F27" t="n">
        <v>2</v>
      </c>
      <c r="G27" t="n">
        <v>1249</v>
      </c>
      <c r="H27" t="n">
        <v>12</v>
      </c>
      <c r="K27" t="n">
        <v>3</v>
      </c>
      <c r="L27" t="n">
        <v>10</v>
      </c>
    </row>
    <row r="28">
      <c r="A28" t="inlineStr">
        <is>
          <t>SpaceBikes</t>
        </is>
      </c>
      <c r="B28" t="inlineStr">
        <is>
          <t>Bangalore</t>
        </is>
      </c>
      <c r="C28" t="n">
        <v>114</v>
      </c>
      <c r="D28" t="n">
        <v>0</v>
      </c>
      <c r="E28" t="n">
        <v>114</v>
      </c>
      <c r="F28" t="n">
        <v>2</v>
      </c>
      <c r="G28" t="n">
        <v>1340</v>
      </c>
      <c r="H28" t="n">
        <v>17</v>
      </c>
      <c r="K28" t="n">
        <v>7</v>
      </c>
      <c r="L28" t="n">
        <v>16</v>
      </c>
    </row>
    <row r="29">
      <c r="A29" t="inlineStr">
        <is>
          <t>MILC Bikes</t>
        </is>
      </c>
      <c r="B29" t="inlineStr">
        <is>
          <t>Bangalore</t>
        </is>
      </c>
      <c r="C29" t="n">
        <v>100</v>
      </c>
      <c r="D29" t="n">
        <v>0</v>
      </c>
      <c r="E29" t="n">
        <v>100</v>
      </c>
      <c r="F29" t="n">
        <v>2</v>
      </c>
      <c r="G29" t="n">
        <v>1250</v>
      </c>
      <c r="H29" t="n">
        <v>12</v>
      </c>
      <c r="K29" t="n">
        <v>7</v>
      </c>
      <c r="L29" t="n">
        <v>14</v>
      </c>
    </row>
    <row r="32">
      <c r="A32" s="166" t="inlineStr">
        <is>
          <t>CITY CHANNEL MIX (measured)</t>
        </is>
      </c>
      <c r="B32" s="166" t="inlineStr">
        <is>
          <t>Total</t>
        </is>
      </c>
      <c r="C32" s="166" t="inlineStr">
        <is>
          <t>Store units</t>
        </is>
      </c>
      <c r="D32" s="166" t="inlineStr">
        <is>
          <t>Store %</t>
        </is>
      </c>
      <c r="E32" s="166" t="inlineStr">
        <is>
          <t>Web units</t>
        </is>
      </c>
      <c r="F32" s="166" t="inlineStr">
        <is>
          <t>Web %</t>
        </is>
      </c>
      <c r="G32" s="166" t="inlineStr">
        <is>
          <t>Store firms</t>
        </is>
      </c>
      <c r="H32" s="166" t="inlineStr">
        <is>
          <t>Store people in city</t>
        </is>
      </c>
    </row>
    <row r="33">
      <c r="A33" t="inlineStr">
        <is>
          <t>Amsterdam</t>
        </is>
      </c>
      <c r="B33" t="n">
        <v>2985</v>
      </c>
      <c r="C33" t="n">
        <v>2481</v>
      </c>
      <c r="D33" s="10" t="n">
        <v>0.8311557788944723</v>
      </c>
      <c r="E33" t="n">
        <v>504</v>
      </c>
      <c r="F33" s="10" t="n">
        <v>0.1688442211055276</v>
      </c>
      <c r="G33" t="n">
        <v>7</v>
      </c>
      <c r="H33" t="n">
        <v>46</v>
      </c>
    </row>
    <row r="34">
      <c r="A34" t="inlineStr">
        <is>
          <t>New York City</t>
        </is>
      </c>
      <c r="B34" t="n">
        <v>2039</v>
      </c>
      <c r="C34" t="n">
        <v>1373</v>
      </c>
      <c r="D34" s="212" t="n">
        <v>0.6733692986758215</v>
      </c>
      <c r="E34" t="n">
        <v>666</v>
      </c>
      <c r="F34" s="10" t="n">
        <v>0.3266307013241785</v>
      </c>
      <c r="G34" t="n">
        <v>3</v>
      </c>
      <c r="H34" t="n">
        <v>19</v>
      </c>
    </row>
    <row r="35">
      <c r="A35" t="inlineStr">
        <is>
          <t>Rio de Janeiro</t>
        </is>
      </c>
      <c r="B35" t="n">
        <v>774</v>
      </c>
      <c r="C35" t="n">
        <v>240</v>
      </c>
      <c r="D35" s="179" t="n">
        <v>0.310077519379845</v>
      </c>
      <c r="E35" t="n">
        <v>534</v>
      </c>
      <c r="F35" s="10" t="n">
        <v>0.689922480620155</v>
      </c>
      <c r="G35" t="n">
        <v>1</v>
      </c>
      <c r="H35" t="n">
        <v>4</v>
      </c>
    </row>
    <row r="36">
      <c r="A36" t="inlineStr">
        <is>
          <t>Bangalore</t>
        </is>
      </c>
      <c r="B36" t="n">
        <v>761</v>
      </c>
      <c r="C36" t="n">
        <v>277</v>
      </c>
      <c r="D36" s="10" t="n">
        <v>0.3639947437582129</v>
      </c>
      <c r="E36" t="n">
        <v>484</v>
      </c>
      <c r="F36" s="10" t="n">
        <v>0.6360052562417872</v>
      </c>
      <c r="G36" t="n">
        <v>1</v>
      </c>
      <c r="H36" t="n">
        <v>5</v>
      </c>
    </row>
    <row r="39">
      <c r="A39" s="166" t="inlineStr">
        <is>
          <t>STORE PRODUCTIVITY (pure store units / store person)</t>
        </is>
      </c>
      <c r="B39" s="166" t="inlineStr">
        <is>
          <t>City</t>
        </is>
      </c>
      <c r="C39" s="166" t="inlineStr">
        <is>
          <t>Store units</t>
        </is>
      </c>
      <c r="D39" s="166" t="inlineStr">
        <is>
          <t>People</t>
        </is>
      </c>
      <c r="E39" s="166" t="inlineStr">
        <is>
          <t>Per person</t>
        </is>
      </c>
      <c r="F39" s="166" t="inlineStr">
        <is>
          <t>Note</t>
        </is>
      </c>
    </row>
    <row r="40">
      <c r="A40" t="inlineStr">
        <is>
          <t>BB LLC</t>
        </is>
      </c>
      <c r="B40" t="inlineStr">
        <is>
          <t>New York City</t>
        </is>
      </c>
      <c r="C40" t="n">
        <v>567</v>
      </c>
      <c r="D40" t="n">
        <v>7</v>
      </c>
      <c r="E40" s="159" t="n">
        <v>81</v>
      </c>
      <c r="F40" s="170" t="inlineStr">
        <is>
          <t>NYC ceiling analog (Mountain + Speed, 7 people)</t>
        </is>
      </c>
    </row>
    <row r="41">
      <c r="A41" t="inlineStr">
        <is>
          <t>Spoke'd Up</t>
        </is>
      </c>
      <c r="B41" t="inlineStr">
        <is>
          <t>New York City</t>
        </is>
      </c>
      <c r="C41" t="n">
        <v>371</v>
      </c>
      <c r="D41" t="n">
        <v>5</v>
      </c>
      <c r="E41" s="159" t="n">
        <v>74</v>
      </c>
      <c r="F41" s="170" t="inlineStr">
        <is>
          <t>5 people, NO Mountain brand — NYC floor analog</t>
        </is>
      </c>
    </row>
    <row r="42">
      <c r="A42" t="inlineStr">
        <is>
          <t>Bike Bros</t>
        </is>
      </c>
      <c r="B42" t="inlineStr">
        <is>
          <t>Amsterdam</t>
        </is>
      </c>
      <c r="C42" t="n">
        <v>490</v>
      </c>
      <c r="D42" t="n">
        <v>7</v>
      </c>
      <c r="E42" t="n">
        <v>70</v>
      </c>
      <c r="F42" s="170" t="inlineStr"/>
    </row>
    <row r="43">
      <c r="A43" t="inlineStr">
        <is>
          <t>SpaceBikes</t>
        </is>
      </c>
      <c r="B43" t="inlineStr">
        <is>
          <t>New York City</t>
        </is>
      </c>
      <c r="C43" t="n">
        <v>435</v>
      </c>
      <c r="D43" t="n">
        <v>7</v>
      </c>
      <c r="E43" s="159" t="n">
        <v>62</v>
      </c>
      <c r="F43" s="170" t="inlineStr"/>
    </row>
    <row r="44">
      <c r="A44" s="173" t="inlineStr">
        <is>
          <t>WeBike</t>
        </is>
      </c>
      <c r="B44" s="173" t="inlineStr">
        <is>
          <t>Rio de Janeiro</t>
        </is>
      </c>
      <c r="C44" s="173" t="n">
        <v>240</v>
      </c>
      <c r="D44" s="173" t="n">
        <v>4</v>
      </c>
      <c r="E44" s="159" t="n">
        <v>60</v>
      </c>
      <c r="F44" s="193" t="inlineStr">
        <is>
          <t>Already 1.6x our Amsterdam rate; 3 slots open</t>
        </is>
      </c>
    </row>
    <row r="45">
      <c r="A45" t="inlineStr">
        <is>
          <t>Spoke'd Up</t>
        </is>
      </c>
      <c r="B45" t="inlineStr">
        <is>
          <t>Amsterdam</t>
        </is>
      </c>
      <c r="C45" t="n">
        <v>344</v>
      </c>
      <c r="D45" t="n">
        <v>6</v>
      </c>
      <c r="E45" t="n">
        <v>57</v>
      </c>
      <c r="F45" s="170" t="inlineStr"/>
    </row>
    <row r="46">
      <c r="A46" t="inlineStr">
        <is>
          <t>LiteCycle</t>
        </is>
      </c>
      <c r="B46" t="inlineStr">
        <is>
          <t>Bangalore</t>
        </is>
      </c>
      <c r="C46" t="n">
        <v>277</v>
      </c>
      <c r="D46" t="n">
        <v>5</v>
      </c>
      <c r="E46" t="n">
        <v>55</v>
      </c>
      <c r="F46" s="170" t="inlineStr"/>
    </row>
    <row r="47">
      <c r="A47" t="inlineStr">
        <is>
          <t>LiteCycle</t>
        </is>
      </c>
      <c r="B47" t="inlineStr">
        <is>
          <t>Amsterdam</t>
        </is>
      </c>
      <c r="C47" t="n">
        <v>272</v>
      </c>
      <c r="D47" t="n">
        <v>5</v>
      </c>
      <c r="E47" t="n">
        <v>54</v>
      </c>
      <c r="F47" s="170" t="inlineStr"/>
    </row>
    <row r="48">
      <c r="A48" t="inlineStr">
        <is>
          <t>BB LLC</t>
        </is>
      </c>
      <c r="B48" t="inlineStr">
        <is>
          <t>Amsterdam</t>
        </is>
      </c>
      <c r="C48" t="n">
        <v>372</v>
      </c>
      <c r="D48" t="n">
        <v>7</v>
      </c>
      <c r="E48" t="n">
        <v>53</v>
      </c>
      <c r="F48" s="170" t="inlineStr"/>
    </row>
    <row r="49">
      <c r="A49" t="inlineStr">
        <is>
          <t>SpaceBikes</t>
        </is>
      </c>
      <c r="B49" t="inlineStr">
        <is>
          <t>Amsterdam</t>
        </is>
      </c>
      <c r="C49" t="n">
        <v>371</v>
      </c>
      <c r="D49" t="n">
        <v>7</v>
      </c>
      <c r="E49" t="n">
        <v>53</v>
      </c>
      <c r="F49" s="170" t="inlineStr"/>
    </row>
    <row r="50">
      <c r="A50" t="inlineStr">
        <is>
          <t>MILC Bikes</t>
        </is>
      </c>
      <c r="B50" t="inlineStr">
        <is>
          <t>Amsterdam</t>
        </is>
      </c>
      <c r="C50" t="n">
        <v>365</v>
      </c>
      <c r="D50" t="n">
        <v>7</v>
      </c>
      <c r="E50" t="n">
        <v>52</v>
      </c>
      <c r="F50" s="170" t="inlineStr"/>
    </row>
    <row r="51">
      <c r="A51" s="173" t="inlineStr">
        <is>
          <t>WeBike</t>
        </is>
      </c>
      <c r="B51" s="173" t="inlineStr">
        <is>
          <t>Amsterdam</t>
        </is>
      </c>
      <c r="C51" s="173" t="n">
        <v>267</v>
      </c>
      <c r="D51" s="173" t="n">
        <v>7</v>
      </c>
      <c r="E51" s="167" t="n">
        <v>38</v>
      </c>
      <c r="F51" s="193" t="inlineStr">
        <is>
          <t>LAST in our home city</t>
        </is>
      </c>
    </row>
    <row r="54">
      <c r="A54" s="166" t="inlineStr">
        <is>
          <t>NYC STORE PRIZE — retire the 10% = 204 estimate</t>
        </is>
      </c>
      <c r="B54" s="166" t="inlineStr">
        <is>
          <t>People</t>
        </is>
      </c>
      <c r="C54" s="166" t="inlineStr">
        <is>
          <t>Store units</t>
        </is>
      </c>
      <c r="D54" s="166" t="inlineStr">
        <is>
          <t>Web units</t>
        </is>
      </c>
      <c r="E54" s="166" t="inlineStr">
        <is>
          <t>Total</t>
        </is>
      </c>
      <c r="F54" s="166" t="inlineStr">
        <is>
          <t>Per store person</t>
        </is>
      </c>
      <c r="G54" s="166" t="inlineStr">
        <is>
          <t>Read</t>
        </is>
      </c>
    </row>
    <row r="55">
      <c r="A55" t="inlineStr">
        <is>
          <t>BB LLC (has store)</t>
        </is>
      </c>
      <c r="B55" t="n">
        <v>7</v>
      </c>
      <c r="C55" t="n">
        <v>567</v>
      </c>
      <c r="D55" t="n">
        <v>185</v>
      </c>
      <c r="E55" t="n">
        <v>752</v>
      </c>
      <c r="F55" t="n">
        <v>81</v>
      </c>
      <c r="G55" s="170" t="inlineStr">
        <is>
          <t>Mountain + Speed, 4 brands, 24 inserts</t>
        </is>
      </c>
    </row>
    <row r="56">
      <c r="A56" t="inlineStr">
        <is>
          <t>SpaceBikes (has store)</t>
        </is>
      </c>
      <c r="B56" t="n">
        <v>7</v>
      </c>
      <c r="C56" t="n">
        <v>435</v>
      </c>
      <c r="D56" t="n">
        <v>139</v>
      </c>
      <c r="E56" t="n">
        <v>574</v>
      </c>
      <c r="F56" t="n">
        <v>62</v>
      </c>
      <c r="G56" s="170" t="inlineStr">
        <is>
          <t>Recreation + Speed, worst NYC store rate</t>
        </is>
      </c>
    </row>
    <row r="57">
      <c r="A57" t="inlineStr">
        <is>
          <t>Spoke'd Up (has store)</t>
        </is>
      </c>
      <c r="B57" t="n">
        <v>5</v>
      </c>
      <c r="C57" s="168" t="n">
        <v>371</v>
      </c>
      <c r="D57" t="n">
        <v>41</v>
      </c>
      <c r="E57" t="n">
        <v>412</v>
      </c>
      <c r="F57" t="n">
        <v>74</v>
      </c>
      <c r="G57" s="170" t="inlineStr">
        <is>
          <t>Rec + Speed, NO Mountain, only 5 people</t>
        </is>
      </c>
    </row>
    <row r="58">
      <c r="A58" t="inlineStr">
        <is>
          <t>LiteCycle (web only)</t>
        </is>
      </c>
      <c r="C58" t="n">
        <v>0</v>
      </c>
      <c r="D58" t="n">
        <v>143</v>
      </c>
      <c r="E58" t="n">
        <v>143</v>
      </c>
      <c r="G58" s="170" t="inlineStr">
        <is>
          <t>Full web op, no store — web-only ceiling</t>
        </is>
      </c>
    </row>
    <row r="59">
      <c r="A59" t="inlineStr">
        <is>
          <t>MILC Bikes (web only)</t>
        </is>
      </c>
      <c r="C59" t="n">
        <v>0</v>
      </c>
      <c r="D59" t="n">
        <v>120</v>
      </c>
      <c r="E59" t="n">
        <v>120</v>
      </c>
      <c r="G59" s="170" t="inlineStr">
        <is>
          <t>Web-first firm</t>
        </is>
      </c>
    </row>
    <row r="60">
      <c r="A60" t="inlineStr">
        <is>
          <t>WeBike (web only)</t>
        </is>
      </c>
      <c r="C60" t="n">
        <v>0</v>
      </c>
      <c r="D60" t="n">
        <v>38</v>
      </c>
      <c r="E60" t="n">
        <v>38</v>
      </c>
      <c r="G60" s="170" t="inlineStr">
        <is>
          <t>Last among web-only firms</t>
        </is>
      </c>
    </row>
    <row r="61">
      <c r="A61" t="inlineStr">
        <is>
          <t>NYC physical store total</t>
        </is>
      </c>
      <c r="B61" t="n">
        <v>19</v>
      </c>
      <c r="C61" t="n">
        <v>1373</v>
      </c>
      <c r="D61" t="n">
        <v>365</v>
      </c>
      <c r="E61" t="n">
        <v>1738</v>
      </c>
      <c r="F61" t="n">
        <v>72</v>
      </c>
      <c r="G61" s="170" t="inlineStr">
        <is>
          <t>67.3% of city is store; 85.2% is store-firm (store+their web)</t>
        </is>
      </c>
    </row>
    <row r="62">
      <c r="A62" t="inlineStr">
        <is>
          <t>If we open as 4th store, floor</t>
        </is>
      </c>
      <c r="B62" t="n">
        <v>7</v>
      </c>
      <c r="C62" s="159" t="n">
        <v>371</v>
      </c>
      <c r="F62" t="n">
        <v>53</v>
      </c>
      <c r="G62" s="170" t="inlineStr">
        <is>
          <t>Match Spoke'd Up's STORE units (they have 5 people and no Mountain).</t>
        </is>
      </c>
    </row>
    <row r="63">
      <c r="A63" t="inlineStr">
        <is>
          <t>If we staff 7 at SpaceBikes rate</t>
        </is>
      </c>
      <c r="B63" t="n">
        <v>7</v>
      </c>
      <c r="C63" t="n">
        <v>434</v>
      </c>
      <c r="F63" t="n">
        <v>62</v>
      </c>
      <c r="G63" s="170" t="inlineStr">
        <is>
          <t>Worst incumbent NYC rate × our likely 7-cap staff.</t>
        </is>
      </c>
    </row>
    <row r="64">
      <c r="A64" t="inlineStr">
        <is>
          <t>If 4th store splits today's 1,373</t>
        </is>
      </c>
      <c r="B64" t="n">
        <v>7</v>
      </c>
      <c r="C64" t="n">
        <v>343</v>
      </c>
      <c r="F64" t="n">
        <v>49</v>
      </c>
      <c r="G64" s="170" t="inlineStr">
        <is>
          <t>Conservative: store pool unchanged, split 4 ways instead of 3.</t>
        </is>
      </c>
    </row>
    <row r="65">
      <c r="A65" t="inlineStr">
        <is>
          <t>VERDICT</t>
        </is>
      </c>
      <c r="G65" s="174" t="inlineStr">
        <is>
          <t>The 10% = 204 figure is retired. A NYC store is a 340–570 unit prize, not a 204 unit prize. Enter via Speed (Spoke'd Up's Speed ad is &lt;70). Stacked on Rio-fill + web rebuild this needs printers — see Q4_Planner scenario E.</t>
        </is>
      </c>
    </row>
    <row r="68">
      <c r="A68" s="166" t="inlineStr">
        <is>
          <t>AMSTERDAM — we are last in our own city</t>
        </is>
      </c>
      <c r="B68" s="166" t="inlineStr">
        <is>
          <t>Store units</t>
        </is>
      </c>
      <c r="C68" s="166" t="inlineStr">
        <is>
          <t>People</t>
        </is>
      </c>
      <c r="D68" s="166" t="inlineStr">
        <is>
          <t>Per person</t>
        </is>
      </c>
      <c r="E68" s="166" t="inlineStr">
        <is>
          <t>Web units</t>
        </is>
      </c>
      <c r="F68" s="166" t="inlineStr">
        <is>
          <t>Total</t>
        </is>
      </c>
    </row>
    <row r="69">
      <c r="A69" t="inlineStr">
        <is>
          <t>Bike Bros</t>
        </is>
      </c>
      <c r="B69" t="n">
        <v>490</v>
      </c>
      <c r="C69" t="n">
        <v>7</v>
      </c>
      <c r="D69" s="159" t="n">
        <v>70</v>
      </c>
      <c r="E69" t="n">
        <v>0</v>
      </c>
      <c r="F69" s="170" t="n">
        <v>490</v>
      </c>
    </row>
    <row r="70">
      <c r="A70" t="inlineStr">
        <is>
          <t>Spoke'd Up</t>
        </is>
      </c>
      <c r="B70" t="n">
        <v>344</v>
      </c>
      <c r="C70" t="n">
        <v>6</v>
      </c>
      <c r="D70" t="n">
        <v>57</v>
      </c>
      <c r="E70" t="n">
        <v>36</v>
      </c>
      <c r="F70" s="170" t="n">
        <v>380</v>
      </c>
    </row>
    <row r="71">
      <c r="A71" t="inlineStr">
        <is>
          <t>LiteCycle</t>
        </is>
      </c>
      <c r="B71" t="n">
        <v>272</v>
      </c>
      <c r="C71" t="n">
        <v>5</v>
      </c>
      <c r="D71" t="n">
        <v>54</v>
      </c>
      <c r="E71" t="n">
        <v>93</v>
      </c>
      <c r="F71" s="170" t="n">
        <v>365</v>
      </c>
    </row>
    <row r="72">
      <c r="A72" t="inlineStr">
        <is>
          <t>BB LLC</t>
        </is>
      </c>
      <c r="B72" t="n">
        <v>372</v>
      </c>
      <c r="C72" t="n">
        <v>7</v>
      </c>
      <c r="D72" t="n">
        <v>53</v>
      </c>
      <c r="E72" t="n">
        <v>121</v>
      </c>
      <c r="F72" s="170" t="n">
        <v>493</v>
      </c>
    </row>
    <row r="73">
      <c r="A73" t="inlineStr">
        <is>
          <t>SpaceBikes</t>
        </is>
      </c>
      <c r="B73" t="n">
        <v>371</v>
      </c>
      <c r="C73" t="n">
        <v>7</v>
      </c>
      <c r="D73" t="n">
        <v>53</v>
      </c>
      <c r="E73" t="n">
        <v>119</v>
      </c>
      <c r="F73" s="170" t="n">
        <v>490</v>
      </c>
    </row>
    <row r="74">
      <c r="A74" t="inlineStr">
        <is>
          <t>MILC Bikes</t>
        </is>
      </c>
      <c r="B74" t="n">
        <v>365</v>
      </c>
      <c r="C74" t="n">
        <v>7</v>
      </c>
      <c r="D74" t="n">
        <v>52</v>
      </c>
      <c r="E74" t="n">
        <v>107</v>
      </c>
      <c r="F74" s="170" t="n">
        <v>472</v>
      </c>
    </row>
    <row r="75">
      <c r="A75" s="173" t="inlineStr">
        <is>
          <t>WeBike</t>
        </is>
      </c>
      <c r="B75" t="n">
        <v>267</v>
      </c>
      <c r="C75" t="n">
        <v>7</v>
      </c>
      <c r="D75" s="167" t="n">
        <v>38</v>
      </c>
      <c r="E75" t="n">
        <v>28</v>
      </c>
      <c r="F75" s="170" t="n">
        <v>295</v>
      </c>
    </row>
    <row r="76">
      <c r="A76" t="inlineStr">
        <is>
          <t>Industry excl. us</t>
        </is>
      </c>
      <c r="B76" t="n">
        <v>2214</v>
      </c>
      <c r="C76" t="n">
        <v>39</v>
      </c>
      <c r="D76" t="n">
        <v>57</v>
      </c>
      <c r="E76" t="n">
        <v>476</v>
      </c>
      <c r="F76" s="170" t="n">
        <v>2690</v>
      </c>
    </row>
    <row r="77">
      <c r="A77" t="inlineStr">
        <is>
          <t>Read</t>
        </is>
      </c>
      <c r="F77" s="170" t="inlineStr">
        <is>
          <t>Same 7 people, same city: Bike Bros 70 vs WeBike 38. We cannot add a head (at cap). Closing the gap is training, filling stock-outs, and the Swift Bike fix — not hiring. Matching industry 57/head would be ~399 store units (+132) with the people we already have.</t>
        </is>
      </c>
    </row>
    <row r="80">
      <c r="A80" s="166" t="inlineStr">
        <is>
          <t>SOLE-STORE CITIES — store vs web split</t>
        </is>
      </c>
      <c r="B80" s="166" t="inlineStr">
        <is>
          <t>WeBike in Rio</t>
        </is>
      </c>
      <c r="C80" s="166" t="inlineStr">
        <is>
          <t>LiteCycle in Bangalore</t>
        </is>
      </c>
    </row>
    <row r="81">
      <c r="A81" t="inlineStr">
        <is>
          <t>City demand</t>
        </is>
      </c>
      <c r="B81" t="n">
        <v>774</v>
      </c>
      <c r="C81" t="n">
        <v>761</v>
      </c>
    </row>
    <row r="82">
      <c r="A82" t="inlineStr">
        <is>
          <t>Physical store units</t>
        </is>
      </c>
      <c r="B82" t="n">
        <v>240</v>
      </c>
      <c r="C82" t="n">
        <v>277</v>
      </c>
    </row>
    <row r="83">
      <c r="A83" t="inlineStr">
        <is>
          <t>Store people</t>
        </is>
      </c>
      <c r="B83" t="n">
        <v>4</v>
      </c>
      <c r="C83" t="n">
        <v>5</v>
      </c>
    </row>
    <row r="84">
      <c r="A84" t="inlineStr">
        <is>
          <t>Store units per person</t>
        </is>
      </c>
      <c r="B84" s="159" t="n">
        <v>60</v>
      </c>
      <c r="C84" t="n">
        <v>55</v>
      </c>
    </row>
    <row r="85">
      <c r="A85" t="inlineStr">
        <is>
          <t>Own web in the city</t>
        </is>
      </c>
      <c r="B85" t="n">
        <v>30</v>
      </c>
      <c r="C85" t="n">
        <v>93</v>
      </c>
    </row>
    <row r="86">
      <c r="A86" t="inlineStr">
        <is>
          <t>Total as sole store holder</t>
        </is>
      </c>
      <c r="B86" t="n">
        <v>270</v>
      </c>
      <c r="C86" t="n">
        <v>370</v>
      </c>
    </row>
    <row r="87">
      <c r="A87" t="inlineStr">
        <is>
          <t>Share of city</t>
        </is>
      </c>
      <c r="B87" s="10" t="n">
        <v>0.349</v>
      </c>
      <c r="C87" s="10" t="n">
        <v>0.486</v>
      </c>
    </row>
    <row r="88">
      <c r="A88" t="inlineStr">
        <is>
          <t>Rivals' web (no store)</t>
        </is>
      </c>
      <c r="B88" t="n">
        <v>504</v>
      </c>
      <c r="C88" t="n">
        <v>391</v>
      </c>
    </row>
    <row r="89">
      <c r="A89" t="inlineStr">
        <is>
          <t>Open store slots</t>
        </is>
      </c>
      <c r="B89" t="n">
        <v>3</v>
      </c>
      <c r="C89" t="n">
        <v>2</v>
      </c>
    </row>
    <row r="90">
      <c r="A90" t="inlineStr">
        <is>
          <t>Fill to 7 at current store rate</t>
        </is>
      </c>
      <c r="B90" s="159" t="n">
        <v>420</v>
      </c>
      <c r="C90" t="n">
        <v>385</v>
      </c>
    </row>
    <row r="91">
      <c r="A91" t="inlineStr">
        <is>
          <t>Read</t>
        </is>
      </c>
      <c r="B91" s="170" t="inlineStr">
        <is>
          <t>Filling 3 Rio slots at 60/head = +180 store units, no new lease. Our 30 web in our own city is 1/3 of LiteCycle's 93 in theirs — another web-rebuild tell. BB LLC takes 139 Rio units with no store.</t>
        </is>
      </c>
      <c r="C91" s="170" t="inlineStr">
        <is>
          <t>LiteCycle extracts more with 5 people than we do with 4, and still has 2 slots open. Their city web (93) is 3x ours in Rio (30).</t>
        </is>
      </c>
    </row>
    <row r="94">
      <c r="A94" s="166" t="inlineStr">
        <is>
          <t>WEB RAID BY CITY (web units, one shared web centre)</t>
        </is>
      </c>
      <c r="B94" s="166" t="inlineStr">
        <is>
          <t>Amsterdam</t>
        </is>
      </c>
      <c r="C94" s="166" t="inlineStr">
        <is>
          <t>New York City</t>
        </is>
      </c>
      <c r="D94" s="166" t="inlineStr">
        <is>
          <t>Rio de Janeiro</t>
        </is>
      </c>
      <c r="E94" s="166" t="inlineStr">
        <is>
          <t>Bangalore</t>
        </is>
      </c>
      <c r="F94" s="166" t="inlineStr">
        <is>
          <t>Total</t>
        </is>
      </c>
      <c r="G94" s="166" t="inlineStr">
        <is>
          <t>Web people</t>
        </is>
      </c>
      <c r="H94" s="166" t="inlineStr">
        <is>
          <t>Per head</t>
        </is>
      </c>
    </row>
    <row r="95">
      <c r="A95" t="inlineStr">
        <is>
          <t>BB LLC</t>
        </is>
      </c>
      <c r="B95" t="n">
        <v>121</v>
      </c>
      <c r="C95" t="n">
        <v>185</v>
      </c>
      <c r="D95" t="n">
        <v>139</v>
      </c>
      <c r="E95" t="n">
        <v>123</v>
      </c>
      <c r="F95" t="n">
        <v>568</v>
      </c>
      <c r="G95" t="n">
        <v>7</v>
      </c>
      <c r="H95" t="n">
        <v>81.09999999999999</v>
      </c>
    </row>
    <row r="96">
      <c r="A96" t="inlineStr">
        <is>
          <t>SpaceBikes</t>
        </is>
      </c>
      <c r="B96" t="n">
        <v>119</v>
      </c>
      <c r="C96" t="n">
        <v>139</v>
      </c>
      <c r="D96" t="n">
        <v>120</v>
      </c>
      <c r="E96" t="n">
        <v>114</v>
      </c>
      <c r="F96" t="n">
        <v>492</v>
      </c>
      <c r="G96" t="n">
        <v>7</v>
      </c>
      <c r="H96" t="n">
        <v>70.3</v>
      </c>
    </row>
    <row r="97">
      <c r="A97" t="inlineStr">
        <is>
          <t>LiteCycle</t>
        </is>
      </c>
      <c r="B97" t="n">
        <v>93</v>
      </c>
      <c r="C97" t="n">
        <v>143</v>
      </c>
      <c r="D97" t="n">
        <v>106</v>
      </c>
      <c r="E97" t="n">
        <v>93</v>
      </c>
      <c r="F97" t="n">
        <v>435</v>
      </c>
      <c r="G97" t="n">
        <v>7</v>
      </c>
      <c r="H97" t="n">
        <v>62.1</v>
      </c>
    </row>
    <row r="98">
      <c r="A98" t="inlineStr">
        <is>
          <t>MILC Bikes</t>
        </is>
      </c>
      <c r="B98" t="n">
        <v>107</v>
      </c>
      <c r="C98" t="n">
        <v>120</v>
      </c>
      <c r="D98" t="n">
        <v>107</v>
      </c>
      <c r="E98" t="n">
        <v>100</v>
      </c>
      <c r="F98" t="n">
        <v>434</v>
      </c>
      <c r="G98" t="n">
        <v>7</v>
      </c>
      <c r="H98" t="n">
        <v>62</v>
      </c>
    </row>
    <row r="99">
      <c r="A99" t="inlineStr">
        <is>
          <t>Spoke'd Up</t>
        </is>
      </c>
      <c r="B99" t="n">
        <v>36</v>
      </c>
      <c r="C99" t="n">
        <v>41</v>
      </c>
      <c r="D99" t="n">
        <v>32</v>
      </c>
      <c r="E99" t="n">
        <v>30</v>
      </c>
      <c r="F99" t="n">
        <v>139</v>
      </c>
      <c r="G99" t="n">
        <v>3</v>
      </c>
      <c r="H99" t="n">
        <v>46.3</v>
      </c>
    </row>
    <row r="100">
      <c r="A100" s="171" t="inlineStr">
        <is>
          <t>WeBike</t>
        </is>
      </c>
      <c r="B100" s="171" t="n">
        <v>28</v>
      </c>
      <c r="C100" s="171" t="n">
        <v>38</v>
      </c>
      <c r="D100" s="171" t="n">
        <v>30</v>
      </c>
      <c r="E100" s="171" t="n">
        <v>24</v>
      </c>
      <c r="F100" s="171" t="n">
        <v>120</v>
      </c>
      <c r="G100" s="171" t="n">
        <v>3</v>
      </c>
      <c r="H100" s="171" t="n">
        <v>40</v>
      </c>
    </row>
    <row r="103">
      <c r="A103" s="166" t="inlineStr">
        <is>
          <t>WHAT THE WEB RAID SHOWS</t>
        </is>
      </c>
      <c r="B103" s="166" t="inlineStr">
        <is>
          <t>Note</t>
        </is>
      </c>
    </row>
    <row r="104">
      <c r="A104" t="inlineStr">
        <is>
          <t>BB LLC is even across all 4 cities</t>
        </is>
      </c>
      <c r="B104" s="170" t="inlineStr">
        <is>
          <t>Amsterdam 121 · NYC 185 · Rio 139 · Bangalore 123. They raid cities they never entered at the same scale they sell online in cities they own.</t>
        </is>
      </c>
    </row>
    <row r="105">
      <c r="A105" t="inlineStr">
        <is>
          <t>We are even and tiny</t>
        </is>
      </c>
      <c r="B105" s="170" t="inlineStr">
        <is>
          <t>Amsterdam 28 · NYC 38 · Rio 30 · Bangalore 24. Same shape, ~1/5 the scale.</t>
        </is>
      </c>
    </row>
    <row r="106">
      <c r="A106" t="inlineStr">
        <is>
          <t>Even in Amsterdam, where we have a store</t>
        </is>
      </c>
      <c r="B106" s="185" t="inlineStr">
        <is>
          <t>BB LLC 121 web vs our 28. Store presence does not automatically produce web demand — the web operation does.</t>
        </is>
      </c>
    </row>
    <row r="107">
      <c r="A107" t="inlineStr">
        <is>
          <t>LiteCycle with no NYC store beats our NYC web 3.8x</t>
        </is>
      </c>
      <c r="B107" s="170" t="inlineStr">
        <is>
          <t>143 vs 38. That is the web-only NYC benchmark once we staff 7 and fund all 4 tactics.</t>
        </is>
      </c>
    </row>
    <row r="108">
      <c r="A108" t="inlineStr">
        <is>
          <t>Spoke'd Up is our twin</t>
        </is>
      </c>
      <c r="B108" s="174" t="inlineStr">
        <is>
          <t>Web staff 3, web total 139 vs our 120. Same failure mode. They still out-produce us in NYC store (371 with 5 people) because they showed up.</t>
        </is>
      </c>
    </row>
    <row r="111">
      <c r="A111" s="166" t="inlineStr">
        <is>
          <t>COMPANY BRAND / AD SCORES (repeated identically in every city report)</t>
        </is>
      </c>
      <c r="B111" s="166" t="inlineStr">
        <is>
          <t>Rec brand</t>
        </is>
      </c>
      <c r="C111" s="166" t="inlineStr">
        <is>
          <t>Mtn brand</t>
        </is>
      </c>
      <c r="D111" s="166" t="inlineStr">
        <is>
          <t>Speed brand</t>
        </is>
      </c>
      <c r="E111" s="166" t="inlineStr">
        <is>
          <t>Rec ad</t>
        </is>
      </c>
      <c r="F111" s="166" t="inlineStr">
        <is>
          <t>Mtn ad</t>
        </is>
      </c>
      <c r="G111" s="166" t="inlineStr">
        <is>
          <t>Speed ad</t>
        </is>
      </c>
      <c r="H111" s="166" t="inlineStr">
        <is>
          <t>Inserts</t>
        </is>
      </c>
    </row>
    <row r="112">
      <c r="A112" t="inlineStr">
        <is>
          <t>Bike Bros</t>
        </is>
      </c>
      <c r="B112" t="inlineStr">
        <is>
          <t>76 MountainCruise1</t>
        </is>
      </c>
      <c r="C112" t="inlineStr">
        <is>
          <t>73 TERRAMAX</t>
        </is>
      </c>
      <c r="D112" t="inlineStr">
        <is>
          <t>77 MACH I.I</t>
        </is>
      </c>
      <c r="E112" t="inlineStr">
        <is>
          <t>75 Easy Rider</t>
        </is>
      </c>
      <c r="F112" t="inlineStr">
        <is>
          <t>78 TerraTech</t>
        </is>
      </c>
      <c r="G112" t="inlineStr">
        <is>
          <t>78 AndStill</t>
        </is>
      </c>
      <c r="H112" t="n">
        <v>10</v>
      </c>
    </row>
    <row r="113">
      <c r="A113" t="inlineStr">
        <is>
          <t>LiteCycle</t>
        </is>
      </c>
      <c r="B113" t="inlineStr">
        <is>
          <t>—</t>
        </is>
      </c>
      <c r="C113" t="inlineStr">
        <is>
          <t>70 LiteTrail Pro</t>
        </is>
      </c>
      <c r="D113" t="inlineStr">
        <is>
          <t>77 LiteSpeed Pro+</t>
        </is>
      </c>
      <c r="E113" t="inlineStr">
        <is>
          <t>—</t>
        </is>
      </c>
      <c r="F113" t="inlineStr">
        <is>
          <t>79 Trail Blazing 1</t>
        </is>
      </c>
      <c r="G113" t="inlineStr">
        <is>
          <t>77 Speed of Lite 1</t>
        </is>
      </c>
      <c r="H113" t="n">
        <v>12</v>
      </c>
    </row>
    <row r="114">
      <c r="A114" s="173" t="inlineStr">
        <is>
          <t>WeBike</t>
        </is>
      </c>
      <c r="B114" s="173" t="inlineStr">
        <is>
          <t>—</t>
        </is>
      </c>
      <c r="C114" s="173" t="inlineStr">
        <is>
          <t>73 Hike Bike</t>
        </is>
      </c>
      <c r="D114" s="173" t="inlineStr">
        <is>
          <t>72 Swift Bike</t>
        </is>
      </c>
      <c r="E114" s="173" t="inlineStr">
        <is>
          <t>—</t>
        </is>
      </c>
      <c r="F114" s="173" t="inlineStr">
        <is>
          <t>80 HikeBike 1</t>
        </is>
      </c>
      <c r="G114" s="167" t="inlineStr">
        <is>
          <t>70 Swift Bike</t>
        </is>
      </c>
      <c r="H114" s="173" t="n">
        <v>19</v>
      </c>
    </row>
    <row r="115">
      <c r="A115" t="inlineStr">
        <is>
          <t>BB LLC</t>
        </is>
      </c>
      <c r="B115" t="inlineStr">
        <is>
          <t>—</t>
        </is>
      </c>
      <c r="C115" t="inlineStr">
        <is>
          <t>73 Blu Ruged Ballz</t>
        </is>
      </c>
      <c r="D115" t="inlineStr">
        <is>
          <t>76 Blu Tube Ballz</t>
        </is>
      </c>
      <c r="E115" t="inlineStr">
        <is>
          <t>—</t>
        </is>
      </c>
      <c r="F115" t="inlineStr">
        <is>
          <t>81 BB Big Momma</t>
        </is>
      </c>
      <c r="G115" t="inlineStr">
        <is>
          <t>76 Unleash lil pap</t>
        </is>
      </c>
      <c r="H115" t="n">
        <v>24</v>
      </c>
    </row>
    <row r="116">
      <c r="A116" t="inlineStr">
        <is>
          <t>Spoke'd Up</t>
        </is>
      </c>
      <c r="B116" t="inlineStr">
        <is>
          <t>73 Spoke'd Easy</t>
        </is>
      </c>
      <c r="C116" t="inlineStr">
        <is>
          <t>—</t>
        </is>
      </c>
      <c r="D116" t="inlineStr">
        <is>
          <t>75 Spoke'd Speed</t>
        </is>
      </c>
      <c r="E116" t="inlineStr">
        <is>
          <t>—</t>
        </is>
      </c>
      <c r="F116" t="inlineStr">
        <is>
          <t>—</t>
        </is>
      </c>
      <c r="G116" t="inlineStr">
        <is>
          <t>—</t>
        </is>
      </c>
      <c r="H116" t="n">
        <v>12</v>
      </c>
    </row>
    <row r="117">
      <c r="A117" t="inlineStr">
        <is>
          <t>SpaceBikes</t>
        </is>
      </c>
      <c r="B117" t="inlineStr">
        <is>
          <t>73 Mars Rover</t>
        </is>
      </c>
      <c r="C117" t="inlineStr">
        <is>
          <t>—</t>
        </is>
      </c>
      <c r="D117" t="inlineStr">
        <is>
          <t>76 The Armstrong</t>
        </is>
      </c>
      <c r="E117" t="inlineStr">
        <is>
          <t>79 Mars Rover 1</t>
        </is>
      </c>
      <c r="F117" t="inlineStr">
        <is>
          <t>—</t>
        </is>
      </c>
      <c r="G117" t="inlineStr">
        <is>
          <t>77 The Armstrong 1</t>
        </is>
      </c>
      <c r="H117" t="n">
        <v>17</v>
      </c>
    </row>
    <row r="118">
      <c r="A118" t="inlineStr">
        <is>
          <t>MILC Bikes</t>
        </is>
      </c>
      <c r="B118" t="inlineStr">
        <is>
          <t>74 Whole MILC MKII</t>
        </is>
      </c>
      <c r="C118" t="inlineStr">
        <is>
          <t>—</t>
        </is>
      </c>
      <c r="D118" t="inlineStr">
        <is>
          <t>76 Skim MILC MKII</t>
        </is>
      </c>
      <c r="E118" t="inlineStr">
        <is>
          <t>77 Whole MILC MKII</t>
        </is>
      </c>
      <c r="F118" t="inlineStr">
        <is>
          <t>—</t>
        </is>
      </c>
      <c r="G118" t="inlineStr">
        <is>
          <t>75 Skim MILC MKII</t>
        </is>
      </c>
      <c r="H118" t="n">
        <v>12</v>
      </c>
    </row>
    <row r="121">
      <c r="A121" s="166" t="inlineStr">
        <is>
          <t>Q4 IMPLICATIONS (this report)</t>
        </is>
      </c>
      <c r="B121" s="166" t="inlineStr">
        <is>
          <t>Decision</t>
        </is>
      </c>
    </row>
    <row r="122">
      <c r="A122" t="inlineStr">
        <is>
          <t>1. Train 2 untrained — $800</t>
        </is>
      </c>
      <c r="B122" s="174" t="inlineStr">
        <is>
          <t>Unchanged. Cheapest productivity in both cities we already occupy.</t>
        </is>
      </c>
    </row>
    <row r="123">
      <c r="A123" t="inlineStr">
        <is>
          <t>2. Fill Rio 4 → 7</t>
        </is>
      </c>
      <c r="B123" s="174" t="inlineStr">
        <is>
          <t>Revised: +180 store units at the measured 60/head (was ~+200 using total city demand / heads). Still the highest-return staffing move. Fits 24/day easily.</t>
        </is>
      </c>
    </row>
    <row r="124">
      <c r="A124" t="inlineStr">
        <is>
          <t>3. Full web rebuild 3 → 7 + 4 tactics</t>
        </is>
      </c>
      <c r="B124" s="174" t="inlineStr">
        <is>
          <t>Confirmed from a second direction: we are last in web units in every city, including the two we have stores in. Amsterdam 28 vs BB LLC 121.</t>
        </is>
      </c>
    </row>
    <row r="125">
      <c r="A125" t="inlineStr">
        <is>
          <t>4. NYC store sizing</t>
        </is>
      </c>
      <c r="B125" s="174" t="inlineStr">
        <is>
          <t>Floor ~340–370 store units (4-way split or Spoke'd Up match). Staff-7 at worst NYC rate ~434. BB LLC analog ~567. Retire 10% = 204. Enter via Speed; Spoke'd Up's Speed ad scores &lt;70.</t>
        </is>
      </c>
    </row>
    <row r="126">
      <c r="A126" t="inlineStr">
        <is>
          <t>5. Printers if NYC is in Q4</t>
        </is>
      </c>
      <c r="B126" s="174" t="inlineStr">
        <is>
          <t>Rio-fill + web rebuild already 24.3/day vs 24 owned. NYC at 340–570 on top needs ~2 more printers. Idle cash $1,010,838 funds it.</t>
        </is>
      </c>
    </row>
    <row r="127">
      <c r="A127" t="inlineStr">
        <is>
          <t>NOT a priority</t>
        </is>
      </c>
      <c r="B127" s="170" t="inlineStr">
        <is>
          <t>Adding Amsterdam heads (illegal — at cap). Bangalore vs LiteCycle's 48.6%. A 3rd brand.</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75"/>
  <sheetViews>
    <sheetView workbookViewId="0">
      <selection activeCell="A1" sqref="A1"/>
    </sheetView>
  </sheetViews>
  <sheetFormatPr baseColWidth="8" defaultRowHeight="15"/>
  <cols>
    <col width="42" customWidth="1" style="146" min="1" max="1"/>
    <col width="44" customWidth="1" style="146" min="2" max="2"/>
    <col width="28" customWidth="1" style="146" min="3" max="3"/>
    <col width="28" customWidth="1" style="146" min="4" max="4"/>
    <col width="22" customWidth="1" style="146" min="5" max="5"/>
    <col width="42" customWidth="1" style="146" min="6" max="6"/>
    <col width="48" customWidth="1" style="146" min="7" max="7"/>
    <col width="42" customWidth="1" style="146" min="8" max="8"/>
    <col width="14" customWidth="1" style="146" min="9" max="9"/>
    <col width="14" customWidth="1" style="146" min="10" max="10"/>
    <col width="14" customWidth="1" style="146" min="11" max="11"/>
    <col width="14" customWidth="1" style="146" min="12" max="12"/>
  </cols>
  <sheetData>
    <row r="1">
      <c r="A1" s="169" t="inlineStr">
        <is>
          <t>Organic SEM Results — Q3 actual</t>
        </is>
      </c>
    </row>
    <row r="2" ht="48" customHeight="1" s="146">
      <c r="A2" s="170" t="inlineStr">
        <is>
          <t>WeBike 144 clicks vs BB LLC 437. HikeBike 1 is #2 in Mountain (115 clicks, ad 80). Swift Bike is #5 in Speed (29 clicks, ad 70) with Rec/price copy. Organic is NOT why web sales are last: LiteCycle has 153 clicks and 435 web units; we have 144 and 120.</t>
        </is>
      </c>
    </row>
    <row r="4">
      <c r="A4" s="166" t="inlineStr">
        <is>
          <t>Segment</t>
        </is>
      </c>
      <c r="B4" s="166" t="inlineStr">
        <is>
          <t>Searches</t>
        </is>
      </c>
      <c r="C4" s="166" t="inlineStr">
        <is>
          <t>Listings</t>
        </is>
      </c>
      <c r="D4" s="166" t="inlineStr">
        <is>
          <t>Total clicks</t>
        </is>
      </c>
      <c r="E4" s="166" t="inlineStr">
        <is>
          <t>Clicks / searches</t>
        </is>
      </c>
    </row>
    <row r="5">
      <c r="A5" t="inlineStr">
        <is>
          <t>Recreation</t>
        </is>
      </c>
      <c r="B5" t="n">
        <v>1333</v>
      </c>
      <c r="C5" t="n">
        <v>4</v>
      </c>
      <c r="D5" t="n">
        <v>596</v>
      </c>
      <c r="E5" s="10" t="n">
        <v>0.4471117779444861</v>
      </c>
    </row>
    <row r="6">
      <c r="A6" t="inlineStr">
        <is>
          <t>Mountain</t>
        </is>
      </c>
      <c r="B6" t="n">
        <v>1027</v>
      </c>
      <c r="C6" t="n">
        <v>5</v>
      </c>
      <c r="D6" t="n">
        <v>500</v>
      </c>
      <c r="E6" s="10" t="n">
        <v>0.4868549172346641</v>
      </c>
    </row>
    <row r="7">
      <c r="A7" t="inlineStr">
        <is>
          <t>Speed</t>
        </is>
      </c>
      <c r="B7" t="n">
        <v>894</v>
      </c>
      <c r="C7" t="n">
        <v>9</v>
      </c>
      <c r="D7" t="n">
        <v>521</v>
      </c>
      <c r="E7" s="10" t="n">
        <v>0.5827740492170023</v>
      </c>
    </row>
    <row r="10">
      <c r="A10" s="166" t="inlineStr">
        <is>
          <t>Segment</t>
        </is>
      </c>
      <c r="B10" s="166" t="inlineStr">
        <is>
          <t>Pos</t>
        </is>
      </c>
      <c r="C10" s="166" t="inlineStr">
        <is>
          <t>Company</t>
        </is>
      </c>
      <c r="D10" s="166" t="inlineStr">
        <is>
          <t>Ad</t>
        </is>
      </c>
      <c r="E10" s="166" t="inlineStr">
        <is>
          <t>Brand</t>
        </is>
      </c>
      <c r="F10" s="166" t="inlineStr">
        <is>
          <t>SERP 1</t>
        </is>
      </c>
      <c r="G10" s="166" t="inlineStr">
        <is>
          <t>SERP 2</t>
        </is>
      </c>
      <c r="H10" s="166" t="inlineStr">
        <is>
          <t>SERP 3</t>
        </is>
      </c>
      <c r="I10" s="166" t="inlineStr">
        <is>
          <t>Clicks</t>
        </is>
      </c>
      <c r="J10" s="166" t="inlineStr">
        <is>
          <t>CTR</t>
        </is>
      </c>
      <c r="K10" s="166" t="inlineStr">
        <is>
          <t>Ad judgment</t>
        </is>
      </c>
      <c r="L10" s="166" t="inlineStr">
        <is>
          <t>Page $</t>
        </is>
      </c>
    </row>
    <row r="11">
      <c r="A11" t="inlineStr">
        <is>
          <t>Recreation</t>
        </is>
      </c>
      <c r="B11" t="n">
        <v>1</v>
      </c>
      <c r="C11" t="inlineStr">
        <is>
          <t>SpaceBikes</t>
        </is>
      </c>
      <c r="D11" t="inlineStr">
        <is>
          <t>Mars Rover 1</t>
        </is>
      </c>
      <c r="E11" t="inlineStr">
        <is>
          <t>Mars Rover</t>
        </is>
      </c>
      <c r="F11" t="inlineStr">
        <is>
          <t>Highest rated Recreation bike</t>
        </is>
      </c>
      <c r="G11" t="inlineStr">
        <is>
          <t>Lots of fun to ride</t>
        </is>
      </c>
      <c r="H11" t="inlineStr">
        <is>
          <t>Picture of riders on a greenway</t>
        </is>
      </c>
      <c r="I11" t="n">
        <v>303</v>
      </c>
      <c r="J11" s="213" t="n">
        <v>0.2273</v>
      </c>
      <c r="K11" t="n">
        <v>79</v>
      </c>
      <c r="L11" t="n">
        <v>1000</v>
      </c>
    </row>
    <row r="12">
      <c r="A12" t="inlineStr">
        <is>
          <t>Recreation</t>
        </is>
      </c>
      <c r="B12" t="n">
        <v>2</v>
      </c>
      <c r="C12" t="inlineStr">
        <is>
          <t>MILC Bikes</t>
        </is>
      </c>
      <c r="D12" t="inlineStr">
        <is>
          <t>Whole MILC MKII</t>
        </is>
      </c>
      <c r="E12" t="inlineStr">
        <is>
          <t>Whole MILC MKII</t>
        </is>
      </c>
      <c r="F12" t="inlineStr">
        <is>
          <t>Easy riding on a comfort seat</t>
        </is>
      </c>
      <c r="G12" t="inlineStr">
        <is>
          <t>Keep your head high - comfort straight handlebar</t>
        </is>
      </c>
      <c r="H12" t="inlineStr">
        <is>
          <t>Enjoy your ride - carbon fiber light</t>
        </is>
      </c>
      <c r="I12" t="n">
        <v>144</v>
      </c>
      <c r="J12" s="213" t="n">
        <v>0.108</v>
      </c>
      <c r="K12" t="n">
        <v>77</v>
      </c>
      <c r="L12" t="n">
        <v>1000</v>
      </c>
    </row>
    <row r="13">
      <c r="A13" t="inlineStr">
        <is>
          <t>Recreation</t>
        </is>
      </c>
      <c r="B13" t="n">
        <v>3</v>
      </c>
      <c r="C13" t="inlineStr">
        <is>
          <t>Bike Bros</t>
        </is>
      </c>
      <c r="D13" t="inlineStr">
        <is>
          <t>Easy Rider</t>
        </is>
      </c>
      <c r="E13" t="inlineStr">
        <is>
          <t>MountainCruise1</t>
        </is>
      </c>
      <c r="F13" t="inlineStr">
        <is>
          <t>Easy riding on a comfort seat</t>
        </is>
      </c>
      <c r="G13" t="inlineStr">
        <is>
          <t>Keep your head high - comfort straight handlebar</t>
        </is>
      </c>
      <c r="H13" t="inlineStr">
        <is>
          <t>Picture of riders on a greenway</t>
        </is>
      </c>
      <c r="I13" t="n">
        <v>88</v>
      </c>
      <c r="J13" s="213" t="n">
        <v>0.066</v>
      </c>
      <c r="K13" t="n">
        <v>75</v>
      </c>
      <c r="L13" t="n">
        <v>1000</v>
      </c>
    </row>
    <row r="14">
      <c r="A14" t="inlineStr">
        <is>
          <t>Recreation</t>
        </is>
      </c>
      <c r="B14" t="n">
        <v>4</v>
      </c>
      <c r="C14" t="inlineStr">
        <is>
          <t>Spoke'd Up</t>
        </is>
      </c>
      <c r="D14" t="inlineStr">
        <is>
          <t>Spoke'd Easy</t>
        </is>
      </c>
      <c r="E14" t="inlineStr">
        <is>
          <t>Spoke'd Easy</t>
        </is>
      </c>
      <c r="F14" t="inlineStr">
        <is>
          <t>Easy riding on a comfort seat</t>
        </is>
      </c>
      <c r="G14" t="inlineStr">
        <is>
          <t>Lots of fun to ride</t>
        </is>
      </c>
      <c r="H14" t="inlineStr">
        <is>
          <t>Keep your head high - comfort straight handlebar</t>
        </is>
      </c>
      <c r="I14" t="n">
        <v>61</v>
      </c>
      <c r="J14" s="213" t="n">
        <v>0.0458</v>
      </c>
      <c r="K14" t="n">
        <v>59</v>
      </c>
      <c r="L14" t="n">
        <v>1000</v>
      </c>
    </row>
    <row r="15">
      <c r="A15" t="inlineStr">
        <is>
          <t>Mountain</t>
        </is>
      </c>
      <c r="B15" t="n">
        <v>1</v>
      </c>
      <c r="C15" t="inlineStr">
        <is>
          <t>BB LLC</t>
        </is>
      </c>
      <c r="D15" t="inlineStr">
        <is>
          <t>BB Big Momma</t>
        </is>
      </c>
      <c r="E15" t="inlineStr">
        <is>
          <t>Blu Ruged Ballz</t>
        </is>
      </c>
      <c r="F15" t="inlineStr">
        <is>
          <t>Tackle steep climbs with more gears</t>
        </is>
      </c>
      <c r="G15" t="inlineStr">
        <is>
          <t>Grab the path with high tread tires</t>
        </is>
      </c>
      <c r="H15" t="inlineStr">
        <is>
          <t>Highest rated Mountain bike</t>
        </is>
      </c>
      <c r="I15" t="n">
        <v>237</v>
      </c>
      <c r="J15" s="213" t="n">
        <v>0.2308</v>
      </c>
      <c r="K15" t="n">
        <v>81</v>
      </c>
      <c r="L15" t="n">
        <v>1000</v>
      </c>
    </row>
    <row r="16">
      <c r="A16" s="171" t="inlineStr">
        <is>
          <t>Mountain</t>
        </is>
      </c>
      <c r="B16" s="171" t="n">
        <v>2</v>
      </c>
      <c r="C16" s="171" t="inlineStr">
        <is>
          <t>WeBike</t>
        </is>
      </c>
      <c r="D16" s="171" t="inlineStr">
        <is>
          <t>HikeBike 1</t>
        </is>
      </c>
      <c r="E16" s="171" t="inlineStr">
        <is>
          <t>Hike Bike</t>
        </is>
      </c>
      <c r="F16" s="171" t="inlineStr">
        <is>
          <t>Picture of a rider on a steep trail</t>
        </is>
      </c>
      <c r="G16" s="171" t="inlineStr">
        <is>
          <t>Tackle steep climbs with more gears</t>
        </is>
      </c>
      <c r="H16" s="171" t="inlineStr">
        <is>
          <t>Grab the path with high tread tires</t>
        </is>
      </c>
      <c r="I16" s="171" t="n">
        <v>115</v>
      </c>
      <c r="J16" s="214" t="n">
        <v>0.112</v>
      </c>
      <c r="K16" s="171" t="n">
        <v>80</v>
      </c>
      <c r="L16" s="171" t="n">
        <v>1000</v>
      </c>
    </row>
    <row r="17">
      <c r="A17" t="inlineStr">
        <is>
          <t>Mountain</t>
        </is>
      </c>
      <c r="B17" t="n">
        <v>3</v>
      </c>
      <c r="C17" t="inlineStr">
        <is>
          <t>LiteCycle</t>
        </is>
      </c>
      <c r="D17" t="inlineStr">
        <is>
          <t>Trail Blazing 1</t>
        </is>
      </c>
      <c r="E17" t="inlineStr">
        <is>
          <t>LiteTrail Pro</t>
        </is>
      </c>
      <c r="F17" t="inlineStr">
        <is>
          <t>Picture of a rider on a steep trail</t>
        </is>
      </c>
      <c r="G17" t="inlineStr">
        <is>
          <t>Mountains are no longer difficult</t>
        </is>
      </c>
      <c r="H17" t="inlineStr">
        <is>
          <t>Have an adventure on a carbon bike!</t>
        </is>
      </c>
      <c r="I17" t="n">
        <v>69</v>
      </c>
      <c r="J17" s="213" t="n">
        <v>0.0672</v>
      </c>
      <c r="K17" t="n">
        <v>79</v>
      </c>
      <c r="L17" t="n">
        <v>1000</v>
      </c>
    </row>
    <row r="18">
      <c r="A18" t="inlineStr">
        <is>
          <t>Mountain</t>
        </is>
      </c>
      <c r="B18" t="n">
        <v>4</v>
      </c>
      <c r="C18" t="inlineStr">
        <is>
          <t>Bike Bros</t>
        </is>
      </c>
      <c r="D18" t="inlineStr">
        <is>
          <t>TerraTech</t>
        </is>
      </c>
      <c r="E18" t="inlineStr">
        <is>
          <t>TERRAMAX</t>
        </is>
      </c>
      <c r="F18" t="inlineStr">
        <is>
          <t>Picture of a rider on a steep trail</t>
        </is>
      </c>
      <c r="G18" t="inlineStr">
        <is>
          <t>Go anywhere on a tough carbon bike</t>
        </is>
      </c>
      <c r="H18" t="inlineStr">
        <is>
          <t>Local sales &amp; service</t>
        </is>
      </c>
      <c r="I18" t="n">
        <v>46</v>
      </c>
      <c r="J18" s="213" t="n">
        <v>0.0448</v>
      </c>
      <c r="K18" t="n">
        <v>78</v>
      </c>
      <c r="L18" t="n">
        <v>1000</v>
      </c>
    </row>
    <row r="19">
      <c r="A19" t="inlineStr">
        <is>
          <t>Mountain</t>
        </is>
      </c>
      <c r="B19" t="n">
        <v>5</v>
      </c>
      <c r="C19" t="inlineStr">
        <is>
          <t>Bike Bros</t>
        </is>
      </c>
      <c r="D19" t="inlineStr">
        <is>
          <t>Mountainability</t>
        </is>
      </c>
      <c r="E19" t="inlineStr">
        <is>
          <t>TERRAMAX</t>
        </is>
      </c>
      <c r="F19" t="inlineStr">
        <is>
          <t>Picture of a rider on a steep trail</t>
        </is>
      </c>
      <c r="G19" t="inlineStr">
        <is>
          <t>Have an adventure on a carbon bike!</t>
        </is>
      </c>
      <c r="H19" t="inlineStr">
        <is>
          <t>Tackle steep climbs with more gears</t>
        </is>
      </c>
      <c r="I19" t="n">
        <v>33</v>
      </c>
      <c r="J19" s="213" t="n">
        <v>0.0321</v>
      </c>
      <c r="K19" t="n">
        <v>77</v>
      </c>
      <c r="L19" t="n">
        <v>1000</v>
      </c>
    </row>
    <row r="20">
      <c r="A20" t="inlineStr">
        <is>
          <t>Speed</t>
        </is>
      </c>
      <c r="B20" t="n">
        <v>1</v>
      </c>
      <c r="C20" t="inlineStr">
        <is>
          <t>BB LLC</t>
        </is>
      </c>
      <c r="D20" t="inlineStr">
        <is>
          <t>Unleash lil pap</t>
        </is>
      </c>
      <c r="E20" t="inlineStr">
        <is>
          <t>Blu Tube Ballz</t>
        </is>
      </c>
      <c r="F20" t="inlineStr">
        <is>
          <t>Ride a wind-cheater</t>
        </is>
      </c>
      <c r="G20" t="inlineStr">
        <is>
          <t>Roll fast with racing tires</t>
        </is>
      </c>
      <c r="H20" t="inlineStr">
        <is>
          <t>Elite look - a ride of distinction</t>
        </is>
      </c>
      <c r="I20" t="n">
        <v>200</v>
      </c>
      <c r="J20" s="213" t="n">
        <v>0.2237</v>
      </c>
      <c r="K20" t="n">
        <v>76</v>
      </c>
      <c r="L20" t="n">
        <v>1000</v>
      </c>
    </row>
    <row r="21">
      <c r="A21" t="inlineStr">
        <is>
          <t>Speed</t>
        </is>
      </c>
      <c r="B21" t="n">
        <v>2</v>
      </c>
      <c r="C21" t="inlineStr">
        <is>
          <t>SpaceBikes</t>
        </is>
      </c>
      <c r="D21" t="inlineStr">
        <is>
          <t>The Armstrong 1</t>
        </is>
      </c>
      <c r="E21" t="inlineStr">
        <is>
          <t>The Armstrong</t>
        </is>
      </c>
      <c r="F21" t="inlineStr">
        <is>
          <t>Highest rated Speed bike</t>
        </is>
      </c>
      <c r="G21" t="inlineStr">
        <is>
          <t>Picture of road race</t>
        </is>
      </c>
      <c r="H21" t="inlineStr">
        <is>
          <t>Fast and furious</t>
        </is>
      </c>
      <c r="I21" t="n">
        <v>98</v>
      </c>
      <c r="J21" s="213" t="n">
        <v>0.1096</v>
      </c>
      <c r="K21" t="n">
        <v>77</v>
      </c>
      <c r="L21" t="n">
        <v>1000</v>
      </c>
    </row>
    <row r="22">
      <c r="A22" t="inlineStr">
        <is>
          <t>Speed</t>
        </is>
      </c>
      <c r="B22" t="n">
        <v>3</v>
      </c>
      <c r="C22" t="inlineStr">
        <is>
          <t>LiteCycle</t>
        </is>
      </c>
      <c r="D22" t="inlineStr">
        <is>
          <t>Speed of Lite 1</t>
        </is>
      </c>
      <c r="E22" t="inlineStr">
        <is>
          <t>LiteSpeed Pro+</t>
        </is>
      </c>
      <c r="F22" t="inlineStr">
        <is>
          <t>Picture of road race</t>
        </is>
      </c>
      <c r="G22" t="inlineStr">
        <is>
          <t>Ride a wind-cheater</t>
        </is>
      </c>
      <c r="H22" t="inlineStr">
        <is>
          <t>Elite look - a ride of distinction</t>
        </is>
      </c>
      <c r="I22" t="n">
        <v>61</v>
      </c>
      <c r="J22" s="213" t="n">
        <v>0.0682</v>
      </c>
      <c r="K22" t="n">
        <v>77</v>
      </c>
      <c r="L22" t="n">
        <v>1000</v>
      </c>
    </row>
    <row r="23">
      <c r="A23" t="inlineStr">
        <is>
          <t>Speed</t>
        </is>
      </c>
      <c r="B23" t="n">
        <v>4</v>
      </c>
      <c r="C23" t="inlineStr">
        <is>
          <t>MILC Bikes</t>
        </is>
      </c>
      <c r="D23" t="inlineStr">
        <is>
          <t>Skim MILC MKII</t>
        </is>
      </c>
      <c r="E23" t="inlineStr">
        <is>
          <t>Skim MILC MKII</t>
        </is>
      </c>
      <c r="F23" t="inlineStr">
        <is>
          <t>Picture of road race</t>
        </is>
      </c>
      <c r="G23" t="inlineStr">
        <is>
          <t>Ride a wind-cheater</t>
        </is>
      </c>
      <c r="H23" t="inlineStr">
        <is>
          <t>Elite look - a ride of distinction</t>
        </is>
      </c>
      <c r="I23" t="n">
        <v>43</v>
      </c>
      <c r="J23" s="213" t="n">
        <v>0.0481</v>
      </c>
      <c r="K23" t="n">
        <v>75</v>
      </c>
      <c r="L23" t="n">
        <v>1000</v>
      </c>
    </row>
    <row r="24">
      <c r="A24" s="171" t="inlineStr">
        <is>
          <t>Speed</t>
        </is>
      </c>
      <c r="B24" s="171" t="n">
        <v>5</v>
      </c>
      <c r="C24" s="171" t="inlineStr">
        <is>
          <t>WeBike</t>
        </is>
      </c>
      <c r="D24" s="171" t="inlineStr">
        <is>
          <t>Swift Bike</t>
        </is>
      </c>
      <c r="E24" s="171" t="inlineStr">
        <is>
          <t>Swift Bike</t>
        </is>
      </c>
      <c r="F24" s="171" t="inlineStr">
        <is>
          <t>Picture of road race</t>
        </is>
      </c>
      <c r="G24" s="171" t="inlineStr">
        <is>
          <t>Enjoy your ride - carbon fiber light</t>
        </is>
      </c>
      <c r="H24" s="171" t="inlineStr">
        <is>
          <t>Carbon fiber quality at a great price</t>
        </is>
      </c>
      <c r="I24" s="171" t="n">
        <v>29</v>
      </c>
      <c r="J24" s="214" t="n">
        <v>0.0324</v>
      </c>
      <c r="K24" s="171" t="n">
        <v>70</v>
      </c>
      <c r="L24" s="171" t="n">
        <v>1000</v>
      </c>
    </row>
    <row r="25">
      <c r="A25" t="inlineStr">
        <is>
          <t>Speed</t>
        </is>
      </c>
      <c r="B25" t="n">
        <v>6</v>
      </c>
      <c r="C25" t="inlineStr">
        <is>
          <t>LiteCycle</t>
        </is>
      </c>
      <c r="D25" t="inlineStr">
        <is>
          <t>Speed of Lite 2</t>
        </is>
      </c>
      <c r="E25" t="inlineStr">
        <is>
          <t>LiteSpeed+</t>
        </is>
      </c>
      <c r="F25" t="inlineStr">
        <is>
          <t>Picture of road race</t>
        </is>
      </c>
      <c r="G25" t="inlineStr">
        <is>
          <t>Enjoy your ride - carbon fiber light</t>
        </is>
      </c>
      <c r="H25" t="inlineStr">
        <is>
          <t>Ride a wind-cheater</t>
        </is>
      </c>
      <c r="I25" t="n">
        <v>23</v>
      </c>
      <c r="J25" s="213" t="n">
        <v>0.0257</v>
      </c>
      <c r="K25" t="n">
        <v>73</v>
      </c>
      <c r="L25" t="n">
        <v>1000</v>
      </c>
    </row>
    <row r="26">
      <c r="A26" t="inlineStr">
        <is>
          <t>Speed</t>
        </is>
      </c>
      <c r="B26" t="n">
        <v>7</v>
      </c>
      <c r="C26" t="inlineStr">
        <is>
          <t>Bike Bros</t>
        </is>
      </c>
      <c r="D26" t="inlineStr">
        <is>
          <t>AndStill</t>
        </is>
      </c>
      <c r="E26" t="inlineStr">
        <is>
          <t>MACH I.I</t>
        </is>
      </c>
      <c r="F26" t="inlineStr">
        <is>
          <t>Picture of road race</t>
        </is>
      </c>
      <c r="G26" t="inlineStr">
        <is>
          <t>Ride a wind-cheater</t>
        </is>
      </c>
      <c r="H26" t="inlineStr">
        <is>
          <t>Elite look - a ride of distinction</t>
        </is>
      </c>
      <c r="I26" t="n">
        <v>23</v>
      </c>
      <c r="J26" s="213" t="n">
        <v>0.0257</v>
      </c>
      <c r="K26" t="n">
        <v>78</v>
      </c>
      <c r="L26" t="n">
        <v>1000</v>
      </c>
    </row>
    <row r="27">
      <c r="A27" t="inlineStr">
        <is>
          <t>Speed</t>
        </is>
      </c>
      <c r="B27" t="n">
        <v>8</v>
      </c>
      <c r="C27" t="inlineStr">
        <is>
          <t>Bike Bros</t>
        </is>
      </c>
      <c r="D27" t="inlineStr">
        <is>
          <t>Excluspeedity</t>
        </is>
      </c>
      <c r="E27" t="inlineStr">
        <is>
          <t>MACH I.I</t>
        </is>
      </c>
      <c r="F27" t="inlineStr">
        <is>
          <t>Picture of road race</t>
        </is>
      </c>
      <c r="G27" t="inlineStr">
        <is>
          <t>Ride a wind-cheater</t>
        </is>
      </c>
      <c r="H27" t="inlineStr">
        <is>
          <t>Fast and furious</t>
        </is>
      </c>
      <c r="I27" t="n">
        <v>23</v>
      </c>
      <c r="J27" s="213" t="n">
        <v>0.0257</v>
      </c>
      <c r="K27" t="n">
        <v>72</v>
      </c>
      <c r="L27" t="n">
        <v>1000</v>
      </c>
    </row>
    <row r="28">
      <c r="A28" t="inlineStr">
        <is>
          <t>Speed</t>
        </is>
      </c>
      <c r="B28" t="n">
        <v>9</v>
      </c>
      <c r="C28" t="inlineStr">
        <is>
          <t>Spoke'd Up</t>
        </is>
      </c>
      <c r="D28" t="inlineStr">
        <is>
          <t>Spoke'd Speed</t>
        </is>
      </c>
      <c r="E28" t="inlineStr">
        <is>
          <t>Spoke'd Speed</t>
        </is>
      </c>
      <c r="F28" t="inlineStr">
        <is>
          <t>Fast and furious</t>
        </is>
      </c>
      <c r="G28" t="inlineStr">
        <is>
          <t>Ride a wind-cheater</t>
        </is>
      </c>
      <c r="H28" t="inlineStr">
        <is>
          <t>Roll fast with racing tires</t>
        </is>
      </c>
      <c r="I28" t="n">
        <v>21</v>
      </c>
      <c r="J28" s="213" t="n">
        <v>0.0235</v>
      </c>
      <c r="K28" t="n">
        <v>57</v>
      </c>
      <c r="L28" t="n">
        <v>1000</v>
      </c>
    </row>
    <row r="31">
      <c r="A31" s="166" t="inlineStr">
        <is>
          <t>COMPANY TOTALS</t>
        </is>
      </c>
      <c r="B31" s="166" t="inlineStr">
        <is>
          <t>Organic clicks</t>
        </is>
      </c>
      <c r="C31" s="166" t="inlineStr">
        <is>
          <t>Web demand</t>
        </is>
      </c>
      <c r="D31" s="166" t="inlineStr">
        <is>
          <t>Web units per click</t>
        </is>
      </c>
      <c r="E31" s="166" t="inlineStr">
        <is>
          <t>Note</t>
        </is>
      </c>
    </row>
    <row r="32">
      <c r="A32" t="inlineStr">
        <is>
          <t>BB LLC</t>
        </is>
      </c>
      <c r="B32" t="n">
        <v>437</v>
      </c>
      <c r="C32" t="n">
        <v>569</v>
      </c>
      <c r="D32" s="102" t="n">
        <v>1.302059496567506</v>
      </c>
      <c r="E32" s="170" t="inlineStr">
        <is>
          <t>best; #1 Mountain + #1 Speed, no Rec page</t>
        </is>
      </c>
    </row>
    <row r="33">
      <c r="A33" t="inlineStr">
        <is>
          <t>SpaceBikes</t>
        </is>
      </c>
      <c r="B33" t="n">
        <v>401</v>
      </c>
      <c r="C33" t="n">
        <v>491</v>
      </c>
      <c r="D33" s="102" t="n">
        <v>1.224438902743142</v>
      </c>
      <c r="E33" s="170" t="inlineStr"/>
    </row>
    <row r="34">
      <c r="A34" t="inlineStr">
        <is>
          <t>Bike Bros</t>
        </is>
      </c>
      <c r="B34" t="n">
        <v>213</v>
      </c>
      <c r="C34" t="n">
        <v>0</v>
      </c>
      <c r="D34" s="102" t="n">
        <v>0</v>
      </c>
      <c r="E34" s="170" t="inlineStr">
        <is>
          <t>213 clicks, 0 web centre -&gt; organic without ops captures nothing online</t>
        </is>
      </c>
    </row>
    <row r="35">
      <c r="A35" t="inlineStr">
        <is>
          <t>MILC Bikes</t>
        </is>
      </c>
      <c r="B35" t="n">
        <v>187</v>
      </c>
      <c r="C35" t="n">
        <v>435</v>
      </c>
      <c r="D35" s="102" t="n">
        <v>2.32620320855615</v>
      </c>
      <c r="E35" s="170" t="inlineStr"/>
    </row>
    <row r="36">
      <c r="A36" t="inlineStr">
        <is>
          <t>LiteCycle</t>
        </is>
      </c>
      <c r="B36" t="n">
        <v>153</v>
      </c>
      <c r="C36" t="n">
        <v>435</v>
      </c>
      <c r="D36" s="215" t="n">
        <v>2.843137254901961</v>
      </c>
      <c r="E36" s="170" t="inlineStr">
        <is>
          <t>almost our traffic, 3.6x our web sales</t>
        </is>
      </c>
    </row>
    <row r="37">
      <c r="A37" s="171" t="inlineStr">
        <is>
          <t>WeBike</t>
        </is>
      </c>
      <c r="B37" s="188" t="n">
        <v>144</v>
      </c>
      <c r="C37" s="171" t="n">
        <v>120</v>
      </c>
      <c r="D37" s="216" t="n">
        <v>0.8333333333333334</v>
      </c>
      <c r="E37" s="194" t="inlineStr">
        <is>
          <t>6th of 7; 115 Mountain + 29 Speed + 0 Rec</t>
        </is>
      </c>
    </row>
    <row r="38">
      <c r="A38" t="inlineStr">
        <is>
          <t>Spoke'd Up</t>
        </is>
      </c>
      <c r="B38" t="n">
        <v>82</v>
      </c>
      <c r="C38" t="n">
        <v>138</v>
      </c>
      <c r="D38" s="102" t="n">
        <v>1.682926829268293</v>
      </c>
      <c r="E38" s="170" t="inlineStr"/>
    </row>
    <row r="41">
      <c r="A41" s="166" t="inlineStr">
        <is>
          <t>CTR BY POSITION (clicks / searches) — almost identical across segments</t>
        </is>
      </c>
      <c r="B41" s="166" t="inlineStr">
        <is>
          <t>Recreation</t>
        </is>
      </c>
      <c r="C41" s="166" t="inlineStr">
        <is>
          <t>Mountain</t>
        </is>
      </c>
      <c r="D41" s="166" t="inlineStr">
        <is>
          <t>Speed</t>
        </is>
      </c>
    </row>
    <row r="42">
      <c r="A42" t="inlineStr">
        <is>
          <t>Position 1</t>
        </is>
      </c>
      <c r="B42" s="213" t="n">
        <v>0.2273</v>
      </c>
      <c r="C42" s="213" t="n">
        <v>0.2308</v>
      </c>
      <c r="D42" s="217" t="n">
        <v>0.2237</v>
      </c>
    </row>
    <row r="43">
      <c r="A43" t="inlineStr">
        <is>
          <t>Position 2</t>
        </is>
      </c>
      <c r="B43" s="213" t="n">
        <v>0.108</v>
      </c>
      <c r="C43" s="213" t="n">
        <v>0.112</v>
      </c>
      <c r="D43" s="217" t="n">
        <v>0.1096</v>
      </c>
    </row>
    <row r="44">
      <c r="A44" t="inlineStr">
        <is>
          <t>Position 3</t>
        </is>
      </c>
      <c r="B44" s="213" t="n">
        <v>0.066</v>
      </c>
      <c r="C44" s="213" t="n">
        <v>0.0672</v>
      </c>
      <c r="D44" s="217" t="n">
        <v>0.0682</v>
      </c>
    </row>
    <row r="45">
      <c r="A45" t="inlineStr">
        <is>
          <t>Position 4</t>
        </is>
      </c>
      <c r="B45" s="213" t="n">
        <v>0.0458</v>
      </c>
      <c r="C45" s="213" t="n">
        <v>0.0448</v>
      </c>
      <c r="D45" s="217" t="n">
        <v>0.0481</v>
      </c>
    </row>
    <row r="46">
      <c r="A46" t="inlineStr">
        <is>
          <t>Position 5</t>
        </is>
      </c>
      <c r="B46" s="213" t="n"/>
      <c r="C46" s="213" t="n">
        <v>0.0321</v>
      </c>
      <c r="D46" s="217" t="n">
        <v>0.0324</v>
      </c>
    </row>
    <row r="47">
      <c r="A47" t="inlineStr">
        <is>
          <t>Position 6</t>
        </is>
      </c>
      <c r="B47" s="213" t="n"/>
      <c r="C47" s="213" t="n"/>
      <c r="D47" s="217" t="n">
        <v>0.0257</v>
      </c>
    </row>
    <row r="48">
      <c r="A48" t="inlineStr">
        <is>
          <t>Position 7</t>
        </is>
      </c>
      <c r="B48" s="213" t="n"/>
      <c r="C48" s="213" t="n"/>
      <c r="D48" s="217" t="n">
        <v>0.0257</v>
      </c>
    </row>
    <row r="49">
      <c r="A49" t="inlineStr">
        <is>
          <t>Position 8</t>
        </is>
      </c>
      <c r="B49" s="213" t="n"/>
      <c r="C49" s="213" t="n"/>
      <c r="D49" s="217" t="n">
        <v>0.0257</v>
      </c>
    </row>
    <row r="50">
      <c r="A50" t="inlineStr">
        <is>
          <t>Position 9</t>
        </is>
      </c>
      <c r="B50" s="213" t="n"/>
      <c r="C50" s="213" t="n"/>
      <c r="D50" s="217" t="n">
        <v>0.0235</v>
      </c>
    </row>
    <row r="51">
      <c r="A51" t="inlineStr">
        <is>
          <t>Read</t>
        </is>
      </c>
      <c r="D51" s="170" t="inlineStr">
        <is>
          <t>Position 1 always takes ~22-23% of searches, position 2 ~11%, position 3 ~6.7%. CTR is a function of RANK, not ad judgment. Ad judgment sets rank in Rec and Mountain (monotonic) but NOT in Speed (AndStill 78 sits at #7).</t>
        </is>
      </c>
    </row>
    <row r="54">
      <c r="A54" s="166" t="inlineStr">
        <is>
          <t>SERP MECHANICS</t>
        </is>
      </c>
      <c r="B54" s="166" t="inlineStr">
        <is>
          <t>Finding</t>
        </is>
      </c>
    </row>
    <row r="55">
      <c r="A55" t="inlineStr">
        <is>
          <t>Web page investment</t>
        </is>
      </c>
      <c r="B55" s="170" t="inlineStr">
        <is>
          <t>Every listing is $1,000. No one spent more. Page $ is not a Q3 lever.</t>
        </is>
      </c>
    </row>
    <row r="56">
      <c r="A56" t="inlineStr">
        <is>
          <t>Brand name on SERP</t>
        </is>
      </c>
      <c r="B56" s="170" t="inlineStr">
        <is>
          <t>HikeBike 1 locked rank 1 = Mention brand name, but the snippet is picture / gears / tires (locked ranks 2-4). Brand fills the Ad/Brand columns; it does NOT consume a content slot. SERP shows the next three benefits.</t>
        </is>
      </c>
    </row>
    <row r="57">
      <c r="A57" t="inlineStr">
        <is>
          <t>Picture-first underperforms</t>
        </is>
      </c>
      <c r="B57" s="170" t="inlineStr">
        <is>
          <t>Rec #1 and Mountain #1 lead with a CLAIM (Highest rated / gears). Our Mountain page leads with a picture and sits #2. Speed positions 3-8 almost all lead with the road-race picture; positions 1-2 do not.</t>
        </is>
      </c>
    </row>
    <row r="58">
      <c r="A58" t="inlineStr">
        <is>
          <t>Two pages in one segment cannibalize</t>
        </is>
      </c>
      <c r="B58" s="170" t="inlineStr">
        <is>
          <t>Bike Bros 2 Mountain ads = 79 clicks vs our one page at 115. Their 2 Speed ads both stall at 23 clicks. Do not add a second page.</t>
        </is>
      </c>
    </row>
    <row r="61">
      <c r="A61" s="166" t="inlineStr">
        <is>
          <t>COPY vs WINNERS</t>
        </is>
      </c>
      <c r="B61" s="166" t="inlineStr">
        <is>
          <t>SERP 1</t>
        </is>
      </c>
      <c r="C61" s="166" t="inlineStr">
        <is>
          <t>SERP 2</t>
        </is>
      </c>
      <c r="D61" s="166" t="inlineStr">
        <is>
          <t>SERP 3</t>
        </is>
      </c>
      <c r="E61" s="166" t="inlineStr">
        <is>
          <t>Ad j</t>
        </is>
      </c>
      <c r="F61" s="166" t="inlineStr">
        <is>
          <t>Pos</t>
        </is>
      </c>
      <c r="G61" s="166" t="inlineStr">
        <is>
          <t>Clicks</t>
        </is>
      </c>
    </row>
    <row r="62">
      <c r="A62" t="inlineStr">
        <is>
          <t>BB LLC Mountain (best)</t>
        </is>
      </c>
      <c r="B62" t="inlineStr">
        <is>
          <t>Tackle steep climbs with more gears</t>
        </is>
      </c>
      <c r="C62" t="inlineStr">
        <is>
          <t>Grab the path with high tread tires</t>
        </is>
      </c>
      <c r="D62" t="inlineStr">
        <is>
          <t>Highest rated Mountain bike</t>
        </is>
      </c>
      <c r="E62" t="n">
        <v>81</v>
      </c>
      <c r="F62" t="n">
        <v>1</v>
      </c>
      <c r="G62" s="170" t="n">
        <v>237</v>
      </c>
    </row>
    <row r="63">
      <c r="A63" s="173" t="inlineStr">
        <is>
          <t>WeBike HikeBike 1</t>
        </is>
      </c>
      <c r="B63" t="inlineStr">
        <is>
          <t>Picture of a rider on a steep trail</t>
        </is>
      </c>
      <c r="C63" t="inlineStr">
        <is>
          <t>Tackle steep climbs with more gears</t>
        </is>
      </c>
      <c r="D63" t="inlineStr">
        <is>
          <t>Grab the path with high tread tires</t>
        </is>
      </c>
      <c r="E63" t="n">
        <v>80</v>
      </c>
      <c r="F63" t="n">
        <v>2</v>
      </c>
      <c r="G63" s="170" t="n">
        <v>115</v>
      </c>
    </row>
    <row r="64">
      <c r="A64" t="inlineStr">
        <is>
          <t>BB LLC Speed (best)</t>
        </is>
      </c>
      <c r="B64" t="inlineStr">
        <is>
          <t>Ride a wind-cheater</t>
        </is>
      </c>
      <c r="C64" t="inlineStr">
        <is>
          <t>Roll fast with racing tires</t>
        </is>
      </c>
      <c r="D64" t="inlineStr">
        <is>
          <t>Elite look - a ride of distinction</t>
        </is>
      </c>
      <c r="E64" t="n">
        <v>76</v>
      </c>
      <c r="F64" t="n">
        <v>1</v>
      </c>
      <c r="G64" s="170" t="n">
        <v>200</v>
      </c>
    </row>
    <row r="65">
      <c r="A65" s="173" t="inlineStr">
        <is>
          <t>WeBike Swift Bike</t>
        </is>
      </c>
      <c r="B65" t="inlineStr">
        <is>
          <t>Picture of road race</t>
        </is>
      </c>
      <c r="C65" t="inlineStr">
        <is>
          <t>Enjoy your ride - carbon fiber light</t>
        </is>
      </c>
      <c r="D65" t="inlineStr">
        <is>
          <t>Carbon fiber quality at a great price</t>
        </is>
      </c>
      <c r="E65" s="167" t="n">
        <v>70</v>
      </c>
      <c r="F65" t="n">
        <v>5</v>
      </c>
      <c r="G65" s="170" t="n">
        <v>29</v>
      </c>
    </row>
    <row r="66">
      <c r="A66" t="inlineStr">
        <is>
          <t>Read</t>
        </is>
      </c>
      <c r="G66" s="174" t="inlineStr">
        <is>
          <t>HikeBike 1 is one point and one picture away from the #1 recipe; Hike Bike IS tied for highest-rated Mountain so we can claim it. Swift Bike SERP is Rec-coded (enjoy your ride) plus HikeBike 1's price claim. Speed is the least price-sensitive segment. This CONFIRMS the Q3_Ad_Judgment clone hypothesis with the actual copy.</t>
        </is>
      </c>
    </row>
    <row r="69">
      <c r="A69" s="166" t="inlineStr">
        <is>
          <t>Q4 SEM ACTIONS (not locked)</t>
        </is>
      </c>
      <c r="B69" s="166" t="inlineStr">
        <is>
          <t>Decision</t>
        </is>
      </c>
    </row>
    <row r="70">
      <c r="A70" t="inlineStr">
        <is>
          <t>Organic is not the web problem</t>
        </is>
      </c>
      <c r="B70" s="174" t="inlineStr">
        <is>
          <t>144 vs LiteCycle 153 clicks, 120 vs 435 web units. Rebuild web staff 3-&gt;7 and fund all 4 tactics. That is the +315 unit / +$189,800 case.</t>
        </is>
      </c>
    </row>
    <row r="71">
      <c r="A71" t="inlineStr">
        <is>
          <t>Swift Bike ad</t>
        </is>
      </c>
      <c r="B71" s="174" t="inlineStr">
        <is>
          <t>REDESIGN SERP around Speed cues. Target top 3 after brand: wind-cheater / racing tires / elite look (or Highest rated Speed bike once design hits 77). Drop 'great price' and 'enjoy your ride'. Already required for Marketing Effectiveness 0.7675.</t>
        </is>
      </c>
    </row>
    <row r="72">
      <c r="A72" t="inlineStr">
        <is>
          <t>HikeBike 1</t>
        </is>
      </c>
      <c r="B72" s="174" t="inlineStr">
        <is>
          <t>KEEP as the default. 80 vs 81, position 2 of 5. Optional cheap tweak if we are already in Ad Design: rank gears / tires / Highest rated Mountain bike so the snippet matches BB LLC. Do not pay a full redesign fee for one point.</t>
        </is>
      </c>
    </row>
    <row r="73">
      <c r="A73" t="inlineStr">
        <is>
          <t>Recreation page</t>
        </is>
      </c>
      <c r="B73" s="174" t="inlineStr">
        <is>
          <t>Do not add. No Rec brand; Rec winners all lead with comfort-seat copy we cannot truthfully run on Hike Bike.</t>
        </is>
      </c>
    </row>
    <row r="74">
      <c r="A74" t="inlineStr">
        <is>
          <t>Second page in a segment</t>
        </is>
      </c>
      <c r="B74" s="174" t="inlineStr">
        <is>
          <t>Do not. Bike Bros split themselves and finished last.</t>
        </is>
      </c>
    </row>
    <row r="75">
      <c r="A75" t="inlineStr">
        <is>
          <t>Page investment</t>
        </is>
      </c>
      <c r="B75" s="174" t="inlineStr">
        <is>
          <t>Leave at $1,000 until a rival demonstrates that spending more moves rank.</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cols>
    <col width="58" customWidth="1" style="146" min="1" max="1"/>
    <col width="22" customWidth="1" style="146" min="2" max="2"/>
    <col width="22" customWidth="1" style="146" min="3" max="3"/>
    <col width="28" customWidth="1" style="146" min="4" max="4"/>
    <col width="22" customWidth="1" style="146" min="5" max="5"/>
    <col width="22" customWidth="1" style="146" min="6" max="6"/>
    <col width="22" customWidth="1" style="146" min="7" max="7"/>
    <col width="22" customWidth="1" style="146" min="8" max="8"/>
  </cols>
  <sheetData>
    <row r="1">
      <c r="A1" s="169" t="inlineStr">
        <is>
          <t>Competitors' Profiles — Q3 actual (EXACT from Workspace report)</t>
        </is>
      </c>
    </row>
    <row r="2" ht="48" customHeight="1" s="146">
      <c r="A2" s="170" t="inlineStr">
        <is>
          <t>Source: Competitors' Profiles, results of previous quarter (Quarter 3). These numbers SUPERSEDE chart-read approximations in Q3_Industry_Graphs. Biggest correction: BB LLC fixed capacity is 24, not 16; they schedule all 24 plus 6.90 overtime. WeBike / BB LLC / MILC are tied at 24 printers; SpaceBikes owns 32.</t>
        </is>
      </c>
    </row>
    <row r="4">
      <c r="A4" s="199" t="inlineStr">
        <is>
          <t>Metric</t>
        </is>
      </c>
      <c r="B4" s="199" t="inlineStr">
        <is>
          <t>Bike Bros</t>
        </is>
      </c>
      <c r="C4" s="199" t="inlineStr">
        <is>
          <t>LiteCycle</t>
        </is>
      </c>
      <c r="D4" s="199" t="inlineStr">
        <is>
          <t>WeBike</t>
        </is>
      </c>
      <c r="E4" s="199" t="inlineStr">
        <is>
          <t>BB LLC</t>
        </is>
      </c>
      <c r="F4" s="199" t="inlineStr">
        <is>
          <t>Spoke'd Up</t>
        </is>
      </c>
      <c r="G4" s="199" t="inlineStr">
        <is>
          <t>SpaceBikes</t>
        </is>
      </c>
      <c r="H4" s="199" t="inlineStr">
        <is>
          <t>MILC Bikes</t>
        </is>
      </c>
    </row>
    <row r="5">
      <c r="A5" s="200" t="inlineStr">
        <is>
          <t>BSC (Q3 quarterly, rounded)</t>
        </is>
      </c>
      <c r="B5" s="200" t="n">
        <v>1</v>
      </c>
      <c r="C5" s="200" t="n">
        <v>3</v>
      </c>
      <c r="D5" s="219" t="n">
        <v>0</v>
      </c>
      <c r="E5" s="200" t="n">
        <v>22</v>
      </c>
      <c r="F5" s="200" t="n">
        <v>2</v>
      </c>
      <c r="G5" s="200" t="n">
        <v>11</v>
      </c>
      <c r="H5" s="200" t="n">
        <v>3</v>
      </c>
    </row>
    <row r="6">
      <c r="A6" s="200" t="inlineStr">
        <is>
          <t>Total demand</t>
        </is>
      </c>
      <c r="B6" s="220" t="n">
        <v>490</v>
      </c>
      <c r="C6" s="220" t="n">
        <v>984</v>
      </c>
      <c r="D6" s="221" t="n">
        <v>627</v>
      </c>
      <c r="E6" s="220" t="n">
        <v>1507</v>
      </c>
      <c r="F6" s="220" t="n">
        <v>854</v>
      </c>
      <c r="G6" s="220" t="n">
        <v>1298</v>
      </c>
      <c r="H6" s="220" t="n">
        <v>799</v>
      </c>
    </row>
    <row r="7">
      <c r="A7" s="200" t="inlineStr">
        <is>
          <t>Number of brands</t>
        </is>
      </c>
      <c r="B7" s="200" t="n">
        <v>5</v>
      </c>
      <c r="C7" s="200" t="n">
        <v>3</v>
      </c>
      <c r="D7" s="209" t="n">
        <v>2</v>
      </c>
      <c r="E7" s="200" t="n">
        <v>4</v>
      </c>
      <c r="F7" s="200" t="n">
        <v>2</v>
      </c>
      <c r="G7" s="200" t="n">
        <v>2</v>
      </c>
      <c r="H7" s="200" t="n">
        <v>2</v>
      </c>
    </row>
    <row r="8">
      <c r="A8" s="200" t="inlineStr">
        <is>
          <t>Average price</t>
        </is>
      </c>
      <c r="B8" s="220" t="n">
        <v>1475</v>
      </c>
      <c r="C8" s="220" t="n">
        <v>1380</v>
      </c>
      <c r="D8" s="221" t="n">
        <v>1408</v>
      </c>
      <c r="E8" s="220" t="n">
        <v>1473</v>
      </c>
      <c r="F8" s="220" t="n">
        <v>1249</v>
      </c>
      <c r="G8" s="220" t="n">
        <v>1340</v>
      </c>
      <c r="H8" s="220" t="n">
        <v>1250</v>
      </c>
    </row>
    <row r="9">
      <c r="A9" s="200" t="inlineStr">
        <is>
          <t>Best Rec brand (&gt;=70)</t>
        </is>
      </c>
      <c r="B9" s="200" t="inlineStr">
        <is>
          <t>76 MountainCruise1</t>
        </is>
      </c>
      <c r="C9" s="200" t="inlineStr">
        <is>
          <t>N/A</t>
        </is>
      </c>
      <c r="D9" s="209" t="inlineStr">
        <is>
          <t>N/A</t>
        </is>
      </c>
      <c r="E9" s="200" t="inlineStr">
        <is>
          <t>N/A</t>
        </is>
      </c>
      <c r="F9" s="200" t="inlineStr">
        <is>
          <t>73 Spoke'd Easy</t>
        </is>
      </c>
      <c r="G9" s="200" t="inlineStr">
        <is>
          <t>73 Mars Rover</t>
        </is>
      </c>
      <c r="H9" s="200" t="inlineStr">
        <is>
          <t>74 Whole MILC MKII</t>
        </is>
      </c>
    </row>
    <row r="10">
      <c r="A10" s="200" t="inlineStr">
        <is>
          <t>Best Mountain brand (&gt;=70)</t>
        </is>
      </c>
      <c r="B10" s="200" t="inlineStr">
        <is>
          <t>73 TERRAMAX</t>
        </is>
      </c>
      <c r="C10" s="200" t="inlineStr">
        <is>
          <t>70 LiteTrail Pro</t>
        </is>
      </c>
      <c r="D10" s="222" t="inlineStr">
        <is>
          <t>73 Hike Bike</t>
        </is>
      </c>
      <c r="E10" s="200" t="inlineStr">
        <is>
          <t>73 Blu Ruged Ballz</t>
        </is>
      </c>
      <c r="F10" s="200" t="inlineStr">
        <is>
          <t>N/A</t>
        </is>
      </c>
      <c r="G10" s="200" t="inlineStr">
        <is>
          <t>N/A</t>
        </is>
      </c>
      <c r="H10" s="200" t="inlineStr">
        <is>
          <t>N/A</t>
        </is>
      </c>
    </row>
    <row r="11">
      <c r="A11" s="200" t="inlineStr">
        <is>
          <t>Best Speed brand (&gt;=70)</t>
        </is>
      </c>
      <c r="B11" s="200" t="inlineStr">
        <is>
          <t>77 MACH I.I</t>
        </is>
      </c>
      <c r="C11" s="200" t="inlineStr">
        <is>
          <t>77 LiteSpeed Pro+</t>
        </is>
      </c>
      <c r="D11" s="223" t="inlineStr">
        <is>
          <t>72 Swift Bike</t>
        </is>
      </c>
      <c r="E11" s="200" t="inlineStr">
        <is>
          <t>76 Blu Tube Ballz</t>
        </is>
      </c>
      <c r="F11" s="200" t="inlineStr">
        <is>
          <t>75 Spoke'd Speed</t>
        </is>
      </c>
      <c r="G11" s="200" t="inlineStr">
        <is>
          <t>76 The Armstrong</t>
        </is>
      </c>
      <c r="H11" s="200" t="inlineStr">
        <is>
          <t>76 Skim MILC MKII</t>
        </is>
      </c>
    </row>
    <row r="12">
      <c r="A12" s="200" t="inlineStr">
        <is>
          <t>Regional inserts</t>
        </is>
      </c>
      <c r="B12" s="200" t="n">
        <v>10</v>
      </c>
      <c r="C12" s="200" t="n">
        <v>12</v>
      </c>
      <c r="D12" s="209" t="n">
        <v>19</v>
      </c>
      <c r="E12" s="200" t="n">
        <v>24</v>
      </c>
      <c r="F12" s="200" t="n">
        <v>12</v>
      </c>
      <c r="G12" s="200" t="n">
        <v>17</v>
      </c>
      <c r="H12" s="200" t="n">
        <v>12</v>
      </c>
    </row>
    <row r="13">
      <c r="A13" s="200" t="inlineStr">
        <is>
          <t>Web pages</t>
        </is>
      </c>
      <c r="B13" s="200" t="n">
        <v>5</v>
      </c>
      <c r="C13" s="200" t="n">
        <v>3</v>
      </c>
      <c r="D13" s="209" t="n">
        <v>2</v>
      </c>
      <c r="E13" s="200" t="n">
        <v>2</v>
      </c>
      <c r="F13" s="200" t="n">
        <v>2</v>
      </c>
      <c r="G13" s="200" t="n">
        <v>2</v>
      </c>
      <c r="H13" s="200" t="n">
        <v>2</v>
      </c>
    </row>
    <row r="14">
      <c r="A14" s="200" t="inlineStr">
        <is>
          <t>Organic SEM clicks</t>
        </is>
      </c>
      <c r="B14" s="220" t="n">
        <v>213</v>
      </c>
      <c r="C14" s="220" t="n">
        <v>153</v>
      </c>
      <c r="D14" s="224" t="n">
        <v>144</v>
      </c>
      <c r="E14" s="220" t="n">
        <v>437</v>
      </c>
      <c r="F14" s="220" t="n">
        <v>82</v>
      </c>
      <c r="G14" s="220" t="n">
        <v>401</v>
      </c>
      <c r="H14" s="220" t="n">
        <v>187</v>
      </c>
    </row>
    <row r="15">
      <c r="A15" s="200" t="inlineStr">
        <is>
          <t>Organic SEM expenses</t>
        </is>
      </c>
      <c r="B15" s="220" t="n">
        <v>5000</v>
      </c>
      <c r="C15" s="220" t="n">
        <v>3000</v>
      </c>
      <c r="D15" s="221" t="n">
        <v>2000</v>
      </c>
      <c r="E15" s="220" t="n">
        <v>2000</v>
      </c>
      <c r="F15" s="220" t="n">
        <v>2000</v>
      </c>
      <c r="G15" s="220" t="n">
        <v>2000</v>
      </c>
      <c r="H15" s="220" t="n">
        <v>2000</v>
      </c>
    </row>
    <row r="16">
      <c r="A16" s="200" t="inlineStr">
        <is>
          <t>Best Rec ad (&gt;=70)</t>
        </is>
      </c>
      <c r="B16" s="200" t="inlineStr">
        <is>
          <t>75 Easy Rider</t>
        </is>
      </c>
      <c r="C16" s="200" t="inlineStr">
        <is>
          <t>N/A</t>
        </is>
      </c>
      <c r="D16" s="209" t="inlineStr">
        <is>
          <t>N/A</t>
        </is>
      </c>
      <c r="E16" s="200" t="inlineStr">
        <is>
          <t>N/A</t>
        </is>
      </c>
      <c r="F16" s="200" t="inlineStr">
        <is>
          <t>N/A</t>
        </is>
      </c>
      <c r="G16" s="200" t="inlineStr">
        <is>
          <t>79 Mars Rover 1</t>
        </is>
      </c>
      <c r="H16" s="200" t="inlineStr">
        <is>
          <t>77 Whole MILC MKII</t>
        </is>
      </c>
    </row>
    <row r="17">
      <c r="A17" s="200" t="inlineStr">
        <is>
          <t>Best Mountain ad (&gt;=70)</t>
        </is>
      </c>
      <c r="B17" s="200" t="inlineStr">
        <is>
          <t>78 TerraTech</t>
        </is>
      </c>
      <c r="C17" s="200" t="inlineStr">
        <is>
          <t>79 Trail Blazing 1</t>
        </is>
      </c>
      <c r="D17" s="222" t="inlineStr">
        <is>
          <t>80 HikeBike 1</t>
        </is>
      </c>
      <c r="E17" s="200" t="inlineStr">
        <is>
          <t>81 BB Big Momma</t>
        </is>
      </c>
      <c r="F17" s="200" t="inlineStr">
        <is>
          <t>N/A</t>
        </is>
      </c>
      <c r="G17" s="200" t="inlineStr">
        <is>
          <t>N/A</t>
        </is>
      </c>
      <c r="H17" s="200" t="inlineStr">
        <is>
          <t>N/A</t>
        </is>
      </c>
    </row>
    <row r="18">
      <c r="A18" s="200" t="inlineStr">
        <is>
          <t>Best Speed ad (&gt;=70)</t>
        </is>
      </c>
      <c r="B18" s="200" t="inlineStr">
        <is>
          <t>78 AndStill</t>
        </is>
      </c>
      <c r="C18" s="200" t="inlineStr">
        <is>
          <t>77 Speed of Lite 1</t>
        </is>
      </c>
      <c r="D18" s="223" t="inlineStr">
        <is>
          <t>70 Swift Bike</t>
        </is>
      </c>
      <c r="E18" s="200" t="inlineStr">
        <is>
          <t>76 Unleash lil pap</t>
        </is>
      </c>
      <c r="F18" s="200" t="inlineStr">
        <is>
          <t>N/A</t>
        </is>
      </c>
      <c r="G18" s="200" t="inlineStr">
        <is>
          <t>77 The Armstrong 1</t>
        </is>
      </c>
      <c r="H18" s="200" t="inlineStr">
        <is>
          <t>75 Skim MILC MKII</t>
        </is>
      </c>
    </row>
    <row r="19">
      <c r="A19" s="200" t="inlineStr">
        <is>
          <t>Stores</t>
        </is>
      </c>
      <c r="B19" s="200" t="n">
        <v>1</v>
      </c>
      <c r="C19" s="200" t="n">
        <v>2</v>
      </c>
      <c r="D19" s="209" t="n">
        <v>2</v>
      </c>
      <c r="E19" s="200" t="n">
        <v>2</v>
      </c>
      <c r="F19" s="200" t="n">
        <v>2</v>
      </c>
      <c r="G19" s="200" t="n">
        <v>2</v>
      </c>
      <c r="H19" s="200" t="n">
        <v>1</v>
      </c>
    </row>
    <row r="20">
      <c r="A20" s="200" t="inlineStr">
        <is>
          <t>Store sales force</t>
        </is>
      </c>
      <c r="B20" s="200" t="n">
        <v>7</v>
      </c>
      <c r="C20" s="200" t="n">
        <v>10</v>
      </c>
      <c r="D20" s="209" t="n">
        <v>11</v>
      </c>
      <c r="E20" s="200" t="n">
        <v>14</v>
      </c>
      <c r="F20" s="200" t="n">
        <v>11</v>
      </c>
      <c r="G20" s="200" t="n">
        <v>14</v>
      </c>
      <c r="H20" s="200" t="n">
        <v>7</v>
      </c>
    </row>
    <row r="21">
      <c r="A21" s="200" t="inlineStr">
        <is>
          <t>Web sales centers</t>
        </is>
      </c>
      <c r="B21" s="200" t="n">
        <v>0</v>
      </c>
      <c r="C21" s="200" t="n">
        <v>1</v>
      </c>
      <c r="D21" s="209" t="n">
        <v>1</v>
      </c>
      <c r="E21" s="200" t="n">
        <v>1</v>
      </c>
      <c r="F21" s="200" t="n">
        <v>1</v>
      </c>
      <c r="G21" s="200" t="n">
        <v>1</v>
      </c>
      <c r="H21" s="200" t="n">
        <v>1</v>
      </c>
    </row>
    <row r="22">
      <c r="A22" s="200" t="inlineStr">
        <is>
          <t>Web sales force</t>
        </is>
      </c>
      <c r="B22" s="200" t="n">
        <v>0</v>
      </c>
      <c r="C22" s="200" t="n">
        <v>7</v>
      </c>
      <c r="D22" s="209" t="n">
        <v>3</v>
      </c>
      <c r="E22" s="200" t="n">
        <v>7</v>
      </c>
      <c r="F22" s="200" t="n">
        <v>3</v>
      </c>
      <c r="G22" s="200" t="n">
        <v>7</v>
      </c>
      <c r="H22" s="200" t="n">
        <v>7</v>
      </c>
    </row>
    <row r="23">
      <c r="A23" s="200" t="inlineStr">
        <is>
          <t>Web productivity features</t>
        </is>
      </c>
      <c r="B23" s="200" t="n">
        <v>0</v>
      </c>
      <c r="C23" s="200" t="n">
        <v>4</v>
      </c>
      <c r="D23" s="219" t="n">
        <v>1</v>
      </c>
      <c r="E23" s="200" t="n">
        <v>4</v>
      </c>
      <c r="F23" s="200" t="n">
        <v>2</v>
      </c>
      <c r="G23" s="200" t="n">
        <v>4</v>
      </c>
      <c r="H23" s="200" t="n">
        <v>4</v>
      </c>
    </row>
    <row r="24">
      <c r="A24" s="200" t="inlineStr">
        <is>
          <t>Sales compensation</t>
        </is>
      </c>
      <c r="B24" s="220" t="n">
        <v>22060</v>
      </c>
      <c r="C24" s="220" t="n">
        <v>25736</v>
      </c>
      <c r="D24" s="221" t="n">
        <v>24425</v>
      </c>
      <c r="E24" s="220" t="n">
        <v>27402</v>
      </c>
      <c r="F24" s="220" t="n">
        <v>24511</v>
      </c>
      <c r="G24" s="220" t="n">
        <v>24711</v>
      </c>
      <c r="H24" s="220" t="n">
        <v>27630</v>
      </c>
    </row>
    <row r="25">
      <c r="A25" s="200" t="inlineStr">
        <is>
          <t>Sales productivity [%]</t>
        </is>
      </c>
      <c r="B25" s="200" t="n">
        <v>68</v>
      </c>
      <c r="C25" s="200" t="n">
        <v>73</v>
      </c>
      <c r="D25" s="209" t="n">
        <v>70</v>
      </c>
      <c r="E25" s="200" t="n">
        <v>78</v>
      </c>
      <c r="F25" s="200" t="n">
        <v>71</v>
      </c>
      <c r="G25" s="200" t="n">
        <v>74</v>
      </c>
      <c r="H25" s="200" t="n">
        <v>70</v>
      </c>
    </row>
    <row r="26">
      <c r="A26" s="200" t="inlineStr">
        <is>
          <t>Fixed capacity / day</t>
        </is>
      </c>
      <c r="B26" s="200" t="n">
        <v>16</v>
      </c>
      <c r="C26" s="200" t="n">
        <v>16</v>
      </c>
      <c r="D26" s="209" t="n">
        <v>24</v>
      </c>
      <c r="E26" s="200" t="n">
        <v>24</v>
      </c>
      <c r="F26" s="200" t="n">
        <v>16</v>
      </c>
      <c r="G26" s="200" t="n">
        <v>32</v>
      </c>
      <c r="H26" s="200" t="n">
        <v>24</v>
      </c>
    </row>
    <row r="27">
      <c r="A27" s="200" t="inlineStr">
        <is>
          <t>Operating capacity / day</t>
        </is>
      </c>
      <c r="B27" s="200" t="n">
        <v>15</v>
      </c>
      <c r="C27" s="200" t="n">
        <v>14</v>
      </c>
      <c r="D27" s="219" t="n">
        <v>8</v>
      </c>
      <c r="E27" s="200" t="n">
        <v>24</v>
      </c>
      <c r="F27" s="200" t="n">
        <v>15</v>
      </c>
      <c r="G27" s="200" t="n">
        <v>30</v>
      </c>
      <c r="H27" s="200" t="n">
        <v>17</v>
      </c>
    </row>
    <row r="28">
      <c r="A28" s="200" t="inlineStr">
        <is>
          <t>Overtime capacity / day</t>
        </is>
      </c>
      <c r="B28" s="225" t="n">
        <v>0</v>
      </c>
      <c r="C28" s="225" t="n">
        <v>1.75</v>
      </c>
      <c r="D28" s="226" t="n">
        <v>1</v>
      </c>
      <c r="E28" s="225" t="n">
        <v>6.9</v>
      </c>
      <c r="F28" s="225" t="n">
        <v>1.88</v>
      </c>
      <c r="G28" s="225" t="n">
        <v>0</v>
      </c>
      <c r="H28" s="225" t="n">
        <v>0</v>
      </c>
    </row>
    <row r="29">
      <c r="A29" s="200" t="inlineStr">
        <is>
          <t>Worker compensation</t>
        </is>
      </c>
      <c r="B29" s="220" t="n">
        <v>19609</v>
      </c>
      <c r="C29" s="220" t="n">
        <v>21622</v>
      </c>
      <c r="D29" s="221" t="n">
        <v>20757</v>
      </c>
      <c r="E29" s="220" t="n">
        <v>23042</v>
      </c>
      <c r="F29" s="220" t="n">
        <v>20757</v>
      </c>
      <c r="G29" s="220" t="n">
        <v>21004</v>
      </c>
      <c r="H29" s="220" t="n">
        <v>23293</v>
      </c>
    </row>
    <row r="30">
      <c r="A30" s="200" t="inlineStr">
        <is>
          <t>Worker productivity [%]</t>
        </is>
      </c>
      <c r="B30" s="200" t="n">
        <v>70</v>
      </c>
      <c r="C30" s="200" t="n">
        <v>74</v>
      </c>
      <c r="D30" s="209" t="n">
        <v>72</v>
      </c>
      <c r="E30" s="200" t="n">
        <v>75</v>
      </c>
      <c r="F30" s="200" t="n">
        <v>72</v>
      </c>
      <c r="G30" s="200" t="n">
        <v>73</v>
      </c>
      <c r="H30" s="200" t="n">
        <v>73</v>
      </c>
    </row>
    <row r="33">
      <c r="A33" s="199" t="inlineStr">
        <is>
          <t>CAPACITY — derived (exact)</t>
        </is>
      </c>
      <c r="B33" s="199" t="inlineStr">
        <is>
          <t>Fixed / day</t>
        </is>
      </c>
      <c r="C33" s="199" t="inlineStr">
        <is>
          <t>Scheduled OC / day</t>
        </is>
      </c>
      <c r="D33" s="199" t="inlineStr">
        <is>
          <t>OT / day</t>
        </is>
      </c>
      <c r="E33" s="199" t="inlineStr">
        <is>
          <t>Effective (OC+OT)</t>
        </is>
      </c>
      <c r="F33" s="199" t="inlineStr">
        <is>
          <t>OC / fixed</t>
        </is>
      </c>
      <c r="G33" s="199" t="inlineStr">
        <is>
          <t>Demand</t>
        </is>
      </c>
    </row>
    <row r="34">
      <c r="A34" s="200" t="inlineStr">
        <is>
          <t>BB LLC</t>
        </is>
      </c>
      <c r="B34" s="211" t="n">
        <v>24</v>
      </c>
      <c r="C34" s="200" t="n">
        <v>24</v>
      </c>
      <c r="D34" s="225" t="n">
        <v>6.9</v>
      </c>
      <c r="E34" s="227" t="n">
        <v>30.9</v>
      </c>
      <c r="F34" s="228" t="n">
        <v>1</v>
      </c>
      <c r="G34" s="220" t="n">
        <v>1507</v>
      </c>
    </row>
    <row r="35">
      <c r="A35" s="200" t="inlineStr">
        <is>
          <t>SpaceBikes</t>
        </is>
      </c>
      <c r="B35" s="200" t="n">
        <v>32</v>
      </c>
      <c r="C35" s="200" t="n">
        <v>30</v>
      </c>
      <c r="D35" s="225" t="n">
        <v>0</v>
      </c>
      <c r="E35" s="225" t="n">
        <v>30</v>
      </c>
      <c r="F35" s="228" t="n">
        <v>0.9375</v>
      </c>
      <c r="G35" s="220" t="n">
        <v>1298</v>
      </c>
    </row>
    <row r="36">
      <c r="A36" s="200" t="inlineStr">
        <is>
          <t>MILC Bikes</t>
        </is>
      </c>
      <c r="B36" s="200" t="n">
        <v>24</v>
      </c>
      <c r="C36" s="200" t="n">
        <v>17</v>
      </c>
      <c r="D36" s="225" t="n">
        <v>0</v>
      </c>
      <c r="E36" s="225" t="n">
        <v>17</v>
      </c>
      <c r="F36" s="228" t="n">
        <v>0.7083333333333334</v>
      </c>
      <c r="G36" s="220" t="n">
        <v>799</v>
      </c>
    </row>
    <row r="37">
      <c r="A37" s="200" t="inlineStr">
        <is>
          <t>Spoke'd Up</t>
        </is>
      </c>
      <c r="B37" s="200" t="n">
        <v>16</v>
      </c>
      <c r="C37" s="200" t="n">
        <v>15</v>
      </c>
      <c r="D37" s="225" t="n">
        <v>1.88</v>
      </c>
      <c r="E37" s="225" t="n">
        <v>16.88</v>
      </c>
      <c r="F37" s="228" t="n">
        <v>0.9375</v>
      </c>
      <c r="G37" s="220" t="n">
        <v>854</v>
      </c>
    </row>
    <row r="38">
      <c r="A38" s="200" t="inlineStr">
        <is>
          <t>LiteCycle</t>
        </is>
      </c>
      <c r="B38" s="200" t="n">
        <v>16</v>
      </c>
      <c r="C38" s="200" t="n">
        <v>14</v>
      </c>
      <c r="D38" s="225" t="n">
        <v>1.75</v>
      </c>
      <c r="E38" s="225" t="n">
        <v>15.75</v>
      </c>
      <c r="F38" s="228" t="n">
        <v>0.875</v>
      </c>
      <c r="G38" s="220" t="n">
        <v>984</v>
      </c>
    </row>
    <row r="39">
      <c r="A39" s="200" t="inlineStr">
        <is>
          <t>Bike Bros</t>
        </is>
      </c>
      <c r="B39" s="200" t="n">
        <v>16</v>
      </c>
      <c r="C39" s="200" t="n">
        <v>15</v>
      </c>
      <c r="D39" s="225" t="n">
        <v>0</v>
      </c>
      <c r="E39" s="225" t="n">
        <v>15</v>
      </c>
      <c r="F39" s="228" t="n">
        <v>0.9375</v>
      </c>
      <c r="G39" s="220" t="n">
        <v>490</v>
      </c>
    </row>
    <row r="40">
      <c r="A40" s="209" t="inlineStr">
        <is>
          <t>WeBike</t>
        </is>
      </c>
      <c r="B40" s="209" t="n">
        <v>24</v>
      </c>
      <c r="C40" s="219" t="n">
        <v>8</v>
      </c>
      <c r="D40" s="226" t="n">
        <v>1</v>
      </c>
      <c r="E40" s="229" t="n">
        <v>9</v>
      </c>
      <c r="F40" s="230" t="n">
        <v>0.3333333333333333</v>
      </c>
      <c r="G40" s="221" t="n">
        <v>627</v>
      </c>
    </row>
    <row r="43">
      <c r="A43" s="199" t="inlineStr">
        <is>
          <t>CHART-READ CORRECTIONS (Strategic Graphs were off)</t>
        </is>
      </c>
      <c r="B43" s="199" t="inlineStr">
        <is>
          <t>Chart-read</t>
        </is>
      </c>
      <c r="C43" s="199" t="inlineStr">
        <is>
          <t>Exact</t>
        </is>
      </c>
      <c r="D43" s="199" t="inlineStr">
        <is>
          <t>What changes</t>
        </is>
      </c>
    </row>
    <row r="44">
      <c r="A44" s="200" t="inlineStr">
        <is>
          <t>BB LLC fixed capacity</t>
        </is>
      </c>
      <c r="B44" s="200" t="n">
        <v>16</v>
      </c>
      <c r="C44" s="211" t="n">
        <v>24</v>
      </c>
      <c r="D44" s="231" t="inlineStr">
        <is>
          <t>They bought the SAME 3 printers we did. 'Buys flexibility not printers' is FALSE.</t>
        </is>
      </c>
    </row>
    <row r="45">
      <c r="A45" s="200" t="inlineStr">
        <is>
          <t>BB LLC scheduled OC</t>
        </is>
      </c>
      <c r="B45" s="200" t="n">
        <v>15</v>
      </c>
      <c r="C45" s="211" t="n">
        <v>24</v>
      </c>
      <c r="D45" s="208" t="inlineStr">
        <is>
          <t>They schedule 100% of owned capacity, then add 6.90 OT on top.</t>
        </is>
      </c>
    </row>
    <row r="46">
      <c r="A46" s="200" t="inlineStr">
        <is>
          <t>MILC scheduled OC</t>
        </is>
      </c>
      <c r="B46" s="200" t="n">
        <v>24</v>
      </c>
      <c r="C46" s="211" t="n">
        <v>17</v>
      </c>
      <c r="D46" s="208" t="inlineStr">
        <is>
          <t>MILC owns 24 but schedules only 17 (70.8% of owned). Still well above us.</t>
        </is>
      </c>
    </row>
    <row r="47">
      <c r="A47" s="200" t="inlineStr">
        <is>
          <t>LiteCycle scheduled OC</t>
        </is>
      </c>
      <c r="B47" s="200" t="n">
        <v>15</v>
      </c>
      <c r="C47" s="200" t="n">
        <v>14</v>
      </c>
      <c r="D47" s="208" t="inlineStr">
        <is>
          <t>Off by 1; rank unchanged.</t>
        </is>
      </c>
    </row>
    <row r="48">
      <c r="A48" s="200" t="inlineStr">
        <is>
          <t>Spoke'd Up scheduled OC</t>
        </is>
      </c>
      <c r="B48" s="200" t="n">
        <v>14</v>
      </c>
      <c r="C48" s="200" t="n">
        <v>15</v>
      </c>
      <c r="D48" s="208" t="inlineStr">
        <is>
          <t>Off by 1; rank unchanged.</t>
        </is>
      </c>
    </row>
    <row r="49">
      <c r="A49" s="200" t="inlineStr">
        <is>
          <t>WeBike OC / OT / fixed</t>
        </is>
      </c>
      <c r="B49" s="200" t="inlineStr">
        <is>
          <t>8 / 1 / 24</t>
        </is>
      </c>
      <c r="C49" s="200" t="inlineStr">
        <is>
          <t>8 / 1.00 / 24</t>
        </is>
      </c>
      <c r="D49" s="208" t="inlineStr">
        <is>
          <t>Confirmed. Last on OC. Only firm that reduced OC in Q3 (from graphs).</t>
        </is>
      </c>
    </row>
    <row r="50">
      <c r="A50" s="200" t="inlineStr">
        <is>
          <t>Fixed-capacity ranking</t>
        </is>
      </c>
      <c r="B50" s="200" t="inlineStr">
        <is>
          <t>SpaceBikes 32, WeBike/MILC 24, rest 16</t>
        </is>
      </c>
      <c r="C50" s="200" t="inlineStr">
        <is>
          <t>SpaceBikes 32; WeBike = BB LLC = MILC 24; rest 16</t>
        </is>
      </c>
      <c r="D50" s="208" t="inlineStr">
        <is>
          <t>Three firms own 24, not two. We are tied for 2nd, and we used the least.</t>
        </is>
      </c>
    </row>
    <row r="53">
      <c r="A53" s="199" t="inlineStr">
        <is>
          <t>BB LLC IS THE CAPACITY GOLD STANDARD</t>
        </is>
      </c>
      <c r="B53" s="199" t="inlineStr">
        <is>
          <t>Value</t>
        </is>
      </c>
      <c r="C53" s="199" t="inlineStr">
        <is>
          <t>Note</t>
        </is>
      </c>
    </row>
    <row r="54">
      <c r="A54" s="200" t="inlineStr">
        <is>
          <t>BB LLC effective capacity (OC+OT)</t>
        </is>
      </c>
      <c r="B54" s="206" t="n">
        <v>30.9</v>
      </c>
      <c r="C54" s="208" t="inlineStr">
        <is>
          <t>Highest in the industry, slightly above SpaceBikes' 30</t>
        </is>
      </c>
    </row>
    <row r="55">
      <c r="A55" s="200" t="inlineStr">
        <is>
          <t>Implied output at 75% x 65 days</t>
        </is>
      </c>
      <c r="B55" s="200" t="n">
        <v>1506.4</v>
      </c>
      <c r="C55" s="208" t="inlineStr">
        <is>
          <t>Matches their 1,507 demand almost exactly — they scheduled TO demand</t>
        </is>
      </c>
    </row>
    <row r="56">
      <c r="A56" s="200" t="inlineStr">
        <is>
          <t>WeBike implied output at 72% x 65 days</t>
        </is>
      </c>
      <c r="B56" s="204" t="n">
        <v>421.2</v>
      </c>
      <c r="C56" s="208" t="inlineStr">
        <is>
          <t>Matches the 423 units we actually produced; 204 demand went unfilled</t>
        </is>
      </c>
    </row>
    <row r="57">
      <c r="A57" s="200" t="inlineStr">
        <is>
          <t>SpaceBikes model</t>
        </is>
      </c>
      <c r="B57" s="200" t="inlineStr">
        <is>
          <t>32 owned, 30 scheduled, 0 OT</t>
        </is>
      </c>
      <c r="C57" s="208" t="inlineStr">
        <is>
          <t>Own more printers, no overtime. Served 1,298 with slack.</t>
        </is>
      </c>
    </row>
    <row r="58">
      <c r="A58" s="200" t="inlineStr">
        <is>
          <t>BB LLC model</t>
        </is>
      </c>
      <c r="B58" s="200" t="inlineStr">
        <is>
          <t>24 owned, 24 scheduled, 6.90 OT</t>
        </is>
      </c>
      <c r="C58" s="208" t="inlineStr">
        <is>
          <t>Same printers as us, sweat them with OT + 75% worker productivity.</t>
        </is>
      </c>
    </row>
    <row r="59">
      <c r="A59" s="200" t="inlineStr">
        <is>
          <t>WeBike model</t>
        </is>
      </c>
      <c r="B59" s="200" t="inlineStr">
        <is>
          <t>24 owned, 8 scheduled, 1.00 OT</t>
        </is>
      </c>
      <c r="C59" s="208" t="inlineStr">
        <is>
          <t>Same printers as the leader, used one-third of them.</t>
        </is>
      </c>
    </row>
    <row r="60">
      <c r="A60" s="200" t="inlineStr">
        <is>
          <t>Q4 read</t>
        </is>
      </c>
      <c r="B60" s="200" t="n"/>
      <c r="C60" s="208" t="inlineStr">
        <is>
          <t>Matching BB LLC's 1,507 units on 24 printers is possible (full OC + ~7 OT + 75% productivity). Rio+web (scenario D, 1,171) fits inside 24 with a little OT. New York (scenario E, 1,571) still needs a 4th printer.</t>
        </is>
      </c>
    </row>
    <row r="61">
      <c r="C61" s="174" t="n"/>
    </row>
    <row r="63">
      <c r="A63" s="199" t="inlineStr">
        <is>
          <t>COMPENSATION vs PRODUCTIVITY (exact)</t>
        </is>
      </c>
      <c r="B63" s="199" t="inlineStr">
        <is>
          <t>Sales pay</t>
        </is>
      </c>
      <c r="C63" s="199" t="inlineStr">
        <is>
          <t>Sales prod %</t>
        </is>
      </c>
      <c r="D63" s="199" t="inlineStr">
        <is>
          <t>vs sales avg</t>
        </is>
      </c>
      <c r="E63" s="199" t="inlineStr">
        <is>
          <t>Worker pay</t>
        </is>
      </c>
      <c r="F63" s="199" t="inlineStr">
        <is>
          <t>Worker prod %</t>
        </is>
      </c>
      <c r="G63" s="199" t="inlineStr">
        <is>
          <t>vs worker avg</t>
        </is>
      </c>
    </row>
    <row r="64">
      <c r="A64" s="200" t="inlineStr">
        <is>
          <t>BB LLC</t>
        </is>
      </c>
      <c r="B64" s="232" t="n">
        <v>27402</v>
      </c>
      <c r="C64" s="200" t="n">
        <v>78</v>
      </c>
      <c r="D64" s="233" t="n">
        <v>2191.285714285714</v>
      </c>
      <c r="E64" s="232" t="n">
        <v>23042</v>
      </c>
      <c r="F64" s="200" t="n">
        <v>75</v>
      </c>
      <c r="G64" s="233" t="n">
        <v>1601.428571428572</v>
      </c>
    </row>
    <row r="65">
      <c r="A65" s="200" t="inlineStr">
        <is>
          <t>SpaceBikes</t>
        </is>
      </c>
      <c r="B65" s="232" t="n">
        <v>24711</v>
      </c>
      <c r="C65" s="200" t="n">
        <v>74</v>
      </c>
      <c r="D65" s="233" t="n">
        <v>-499.7142857142862</v>
      </c>
      <c r="E65" s="232" t="n">
        <v>21004</v>
      </c>
      <c r="F65" s="200" t="n">
        <v>73</v>
      </c>
      <c r="G65" s="233" t="n">
        <v>-436.5714285714275</v>
      </c>
    </row>
    <row r="66">
      <c r="A66" s="200" t="inlineStr">
        <is>
          <t>LiteCycle</t>
        </is>
      </c>
      <c r="B66" s="232" t="n">
        <v>25736</v>
      </c>
      <c r="C66" s="200" t="n">
        <v>73</v>
      </c>
      <c r="D66" s="233" t="n">
        <v>525.2857142857138</v>
      </c>
      <c r="E66" s="232" t="n">
        <v>21622</v>
      </c>
      <c r="F66" s="200" t="n">
        <v>74</v>
      </c>
      <c r="G66" s="233" t="n">
        <v>181.4285714285725</v>
      </c>
    </row>
    <row r="67">
      <c r="A67" s="200" t="inlineStr">
        <is>
          <t>Spoke'd Up</t>
        </is>
      </c>
      <c r="B67" s="232" t="n">
        <v>24511</v>
      </c>
      <c r="C67" s="200" t="n">
        <v>71</v>
      </c>
      <c r="D67" s="233" t="n">
        <v>-699.7142857142862</v>
      </c>
      <c r="E67" s="232" t="n">
        <v>20757</v>
      </c>
      <c r="F67" s="200" t="n">
        <v>72</v>
      </c>
      <c r="G67" s="233" t="n">
        <v>-683.5714285714275</v>
      </c>
    </row>
    <row r="68">
      <c r="A68" s="209" t="inlineStr">
        <is>
          <t>WeBike</t>
        </is>
      </c>
      <c r="B68" s="234" t="n">
        <v>24425</v>
      </c>
      <c r="C68" s="209" t="n">
        <v>70</v>
      </c>
      <c r="D68" s="235" t="n">
        <v>-785.7142857142862</v>
      </c>
      <c r="E68" s="234" t="n">
        <v>20757</v>
      </c>
      <c r="F68" s="209" t="n">
        <v>72</v>
      </c>
      <c r="G68" s="235" t="n">
        <v>-683.5714285714275</v>
      </c>
    </row>
    <row r="69">
      <c r="A69" s="200" t="inlineStr">
        <is>
          <t>MILC Bikes</t>
        </is>
      </c>
      <c r="B69" s="232" t="n">
        <v>27630</v>
      </c>
      <c r="C69" s="200" t="n">
        <v>70</v>
      </c>
      <c r="D69" s="233" t="n">
        <v>2419.285714285714</v>
      </c>
      <c r="E69" s="232" t="n">
        <v>23293</v>
      </c>
      <c r="F69" s="200" t="n">
        <v>73</v>
      </c>
      <c r="G69" s="233" t="n">
        <v>1852.428571428572</v>
      </c>
    </row>
    <row r="70">
      <c r="A70" s="200" t="inlineStr">
        <is>
          <t>Bike Bros</t>
        </is>
      </c>
      <c r="B70" s="232" t="n">
        <v>22060</v>
      </c>
      <c r="C70" s="200" t="n">
        <v>68</v>
      </c>
      <c r="D70" s="233" t="n">
        <v>-3150.714285714286</v>
      </c>
      <c r="E70" s="232" t="n">
        <v>19609</v>
      </c>
      <c r="F70" s="200" t="n">
        <v>70</v>
      </c>
      <c r="G70" s="233" t="n">
        <v>-1831.571428571428</v>
      </c>
    </row>
    <row r="73">
      <c r="A73" s="199" t="inlineStr">
        <is>
          <t>PAY FINDINGS</t>
        </is>
      </c>
      <c r="B73" s="199" t="inlineStr">
        <is>
          <t>Value</t>
        </is>
      </c>
      <c r="C73" s="199" t="inlineStr">
        <is>
          <t>Note</t>
        </is>
      </c>
    </row>
    <row r="74">
      <c r="A74" s="200" t="inlineStr">
        <is>
          <t>Industry sales-pay average</t>
        </is>
      </c>
      <c r="B74" s="204" t="n">
        <v>25211</v>
      </c>
      <c r="C74" s="208" t="inlineStr">
        <is>
          <t>WeBike $24,425 is BELOW average — team goal 'pay &gt; average' is currently failing</t>
        </is>
      </c>
    </row>
    <row r="75">
      <c r="A75" s="200" t="inlineStr">
        <is>
          <t>Industry worker-pay average</t>
        </is>
      </c>
      <c r="B75" s="204" t="n">
        <v>21441</v>
      </c>
      <c r="C75" s="208" t="inlineStr">
        <is>
          <t>WeBike $20,757 is BELOW average (tied with Spoke'd Up; only Bike Bros lower)</t>
        </is>
      </c>
    </row>
    <row r="76">
      <c r="A76" s="200" t="inlineStr">
        <is>
          <t>Sales productivity range</t>
        </is>
      </c>
      <c r="B76" s="211" t="inlineStr">
        <is>
          <t>68 – 78</t>
        </is>
      </c>
      <c r="C76" s="208" t="inlineStr">
        <is>
          <t>Ceiling is 78 (BB LLC), not ~75. Still nowhere near the 85% we planned on.</t>
        </is>
      </c>
    </row>
    <row r="77">
      <c r="A77" s="200" t="inlineStr">
        <is>
          <t>Worker productivity range</t>
        </is>
      </c>
      <c r="B77" s="200" t="inlineStr">
        <is>
          <t>70 – 75</t>
        </is>
      </c>
      <c r="C77" s="208" t="inlineStr">
        <is>
          <t>Ceiling is 75 (BB LLC). Industry is tight; 85% remains unreachable.</t>
        </is>
      </c>
    </row>
    <row r="78">
      <c r="A78" s="200" t="inlineStr">
        <is>
          <t>Highest sales pay</t>
        </is>
      </c>
      <c r="B78" s="200" t="inlineStr">
        <is>
          <t>MILC $27,630 at 70% prod</t>
        </is>
      </c>
      <c r="C78" s="208" t="inlineStr">
        <is>
          <t>Highest pay does NOT equal highest productivity. BB LLC $27,402 → 78%.</t>
        </is>
      </c>
    </row>
    <row r="79">
      <c r="A79" s="200" t="inlineStr">
        <is>
          <t>Highest worker pay</t>
        </is>
      </c>
      <c r="B79" s="200" t="inlineStr">
        <is>
          <t>MILC $23,293 at 73% prod</t>
        </is>
      </c>
      <c r="C79" s="208" t="inlineStr">
        <is>
          <t>BB LLC $23,042 → 75% (best productivity). LiteCycle $21,622 → 74%.</t>
        </is>
      </c>
    </row>
    <row r="80">
      <c r="A80" s="200" t="inlineStr">
        <is>
          <t>Q4 target to meet team goal</t>
        </is>
      </c>
      <c r="B80" s="200" t="inlineStr">
        <is>
          <t>Sales &gt; $25,211 · Worker &gt; $21,441</t>
        </is>
      </c>
      <c r="C80" s="208" t="inlineStr">
        <is>
          <t>Upper quartile is sales ~$27.4k (BB LLC/MILC) and worker ~$23.0k. Plan capacity on 73–75% workers, mid-70s sales — never 85%.</t>
        </is>
      </c>
    </row>
    <row r="83">
      <c r="A83" s="199" t="inlineStr">
        <is>
          <t>CHANNEL (exact)</t>
        </is>
      </c>
      <c r="B83" s="199" t="inlineStr">
        <is>
          <t>Stores</t>
        </is>
      </c>
      <c r="C83" s="199" t="inlineStr">
        <is>
          <t>Store SF</t>
        </is>
      </c>
      <c r="D83" s="199" t="inlineStr">
        <is>
          <t>Web centres</t>
        </is>
      </c>
      <c r="E83" s="199" t="inlineStr">
        <is>
          <t>Web SF</t>
        </is>
      </c>
      <c r="F83" s="199" t="inlineStr">
        <is>
          <t>Web features / 4</t>
        </is>
      </c>
      <c r="G83" s="199" t="inlineStr">
        <is>
          <t>Total SF</t>
        </is>
      </c>
      <c r="H83" s="199" t="inlineStr">
        <is>
          <t>Demand</t>
        </is>
      </c>
      <c r="I83" s="199" t="inlineStr">
        <is>
          <t>Demand / SF</t>
        </is>
      </c>
    </row>
    <row r="84">
      <c r="A84" s="200" t="inlineStr">
        <is>
          <t>BB LLC</t>
        </is>
      </c>
      <c r="B84" s="200" t="n">
        <v>2</v>
      </c>
      <c r="C84" s="200" t="n">
        <v>14</v>
      </c>
      <c r="D84" s="200" t="n">
        <v>1</v>
      </c>
      <c r="E84" s="200" t="n">
        <v>7</v>
      </c>
      <c r="F84" s="200" t="n">
        <v>4</v>
      </c>
      <c r="G84" s="200" t="n">
        <v>21</v>
      </c>
      <c r="H84" s="220" t="n">
        <v>1507</v>
      </c>
      <c r="I84" s="236" t="n">
        <v>71.8</v>
      </c>
    </row>
    <row r="85">
      <c r="A85" s="200" t="inlineStr">
        <is>
          <t>SpaceBikes</t>
        </is>
      </c>
      <c r="B85" s="200" t="n">
        <v>2</v>
      </c>
      <c r="C85" s="200" t="n">
        <v>14</v>
      </c>
      <c r="D85" s="200" t="n">
        <v>1</v>
      </c>
      <c r="E85" s="200" t="n">
        <v>7</v>
      </c>
      <c r="F85" s="200" t="n">
        <v>4</v>
      </c>
      <c r="G85" s="200" t="n">
        <v>21</v>
      </c>
      <c r="H85" s="220" t="n">
        <v>1298</v>
      </c>
      <c r="I85" s="236" t="n">
        <v>61.8</v>
      </c>
    </row>
    <row r="86">
      <c r="A86" s="200" t="inlineStr">
        <is>
          <t>LiteCycle</t>
        </is>
      </c>
      <c r="B86" s="200" t="n">
        <v>2</v>
      </c>
      <c r="C86" s="200" t="n">
        <v>10</v>
      </c>
      <c r="D86" s="200" t="n">
        <v>1</v>
      </c>
      <c r="E86" s="200" t="n">
        <v>7</v>
      </c>
      <c r="F86" s="200" t="n">
        <v>4</v>
      </c>
      <c r="G86" s="200" t="n">
        <v>17</v>
      </c>
      <c r="H86" s="220" t="n">
        <v>984</v>
      </c>
      <c r="I86" s="236" t="n">
        <v>57.9</v>
      </c>
    </row>
    <row r="87">
      <c r="A87" s="200" t="inlineStr">
        <is>
          <t>Spoke'd Up</t>
        </is>
      </c>
      <c r="B87" s="200" t="n">
        <v>2</v>
      </c>
      <c r="C87" s="200" t="n">
        <v>11</v>
      </c>
      <c r="D87" s="200" t="n">
        <v>1</v>
      </c>
      <c r="E87" s="200" t="n">
        <v>3</v>
      </c>
      <c r="F87" s="200" t="n">
        <v>2</v>
      </c>
      <c r="G87" s="200" t="n">
        <v>14</v>
      </c>
      <c r="H87" s="220" t="n">
        <v>854</v>
      </c>
      <c r="I87" s="236" t="n">
        <v>61</v>
      </c>
    </row>
    <row r="88">
      <c r="A88" s="200" t="inlineStr">
        <is>
          <t>MILC Bikes</t>
        </is>
      </c>
      <c r="B88" s="200" t="n">
        <v>1</v>
      </c>
      <c r="C88" s="200" t="n">
        <v>7</v>
      </c>
      <c r="D88" s="200" t="n">
        <v>1</v>
      </c>
      <c r="E88" s="200" t="n">
        <v>7</v>
      </c>
      <c r="F88" s="200" t="n">
        <v>4</v>
      </c>
      <c r="G88" s="200" t="n">
        <v>14</v>
      </c>
      <c r="H88" s="220" t="n">
        <v>799</v>
      </c>
      <c r="I88" s="236" t="n">
        <v>57.1</v>
      </c>
    </row>
    <row r="89">
      <c r="A89" s="209" t="inlineStr">
        <is>
          <t>WeBike</t>
        </is>
      </c>
      <c r="B89" s="209" t="n">
        <v>2</v>
      </c>
      <c r="C89" s="209" t="n">
        <v>11</v>
      </c>
      <c r="D89" s="209" t="n">
        <v>1</v>
      </c>
      <c r="E89" s="209" t="n">
        <v>3</v>
      </c>
      <c r="F89" s="219" t="n">
        <v>1</v>
      </c>
      <c r="G89" s="209" t="n">
        <v>14</v>
      </c>
      <c r="H89" s="221" t="n">
        <v>627</v>
      </c>
      <c r="I89" s="237" t="n">
        <v>44.8</v>
      </c>
    </row>
    <row r="90">
      <c r="A90" s="200" t="inlineStr">
        <is>
          <t>Bike Bros</t>
        </is>
      </c>
      <c r="B90" s="200" t="n">
        <v>1</v>
      </c>
      <c r="C90" s="200" t="n">
        <v>7</v>
      </c>
      <c r="D90" s="200" t="n">
        <v>0</v>
      </c>
      <c r="E90" s="200" t="n">
        <v>0</v>
      </c>
      <c r="F90" s="200" t="n">
        <v>0</v>
      </c>
      <c r="G90" s="200" t="n">
        <v>7</v>
      </c>
      <c r="H90" s="220" t="n">
        <v>490</v>
      </c>
      <c r="I90" s="236" t="n">
        <v>70</v>
      </c>
    </row>
    <row r="93">
      <c r="A93" s="199" t="inlineStr">
        <is>
          <t>CHANNEL FINDINGS</t>
        </is>
      </c>
      <c r="B93" s="199" t="inlineStr">
        <is>
          <t>Value</t>
        </is>
      </c>
      <c r="C93" s="199" t="inlineStr">
        <is>
          <t>Note</t>
        </is>
      </c>
    </row>
    <row r="94">
      <c r="A94" s="200" t="inlineStr">
        <is>
          <t>Store counts</t>
        </is>
      </c>
      <c r="B94" s="200" t="inlineStr">
        <is>
          <t>5 firms have 2; Bike Bros AND MILC have 1</t>
        </is>
      </c>
      <c r="C94" s="208" t="inlineStr">
        <is>
          <t>City #3 is still unclaimed. MILC is web-first (confirmed 1 store + 7 web staff + 4 features).</t>
        </is>
      </c>
    </row>
    <row r="95">
      <c r="A95" s="200" t="inlineStr">
        <is>
          <t>Web feature pattern</t>
        </is>
      </c>
      <c r="B95" s="200" t="inlineStr">
        <is>
          <t>4 tactics → 7 web staff; 1–2 tactics → 3 web staff</t>
        </is>
      </c>
      <c r="C95" s="208" t="inlineStr">
        <is>
          <t>Confirmed. WeBike 1 feature / 3 staff; Spoke'd Up 2 / 3; leaders 4 / 7.</t>
        </is>
      </c>
    </row>
    <row r="96">
      <c r="A96" s="200" t="inlineStr">
        <is>
          <t>Demand per sales person</t>
        </is>
      </c>
      <c r="B96" s="204" t="inlineStr">
        <is>
          <t>WeBike 44.8 = LAST</t>
        </is>
      </c>
      <c r="C96" s="208" t="inlineStr">
        <is>
          <t>BB LLC 71.8 · Bike Bros 70.0 (one store!) · SpaceBikes 61.8 · Spoke'd Up 61.0</t>
        </is>
      </c>
    </row>
    <row r="97">
      <c r="A97" s="200" t="inlineStr">
        <is>
          <t>Headcount is NOT at parity</t>
        </is>
      </c>
      <c r="B97" s="200" t="inlineStr">
        <is>
          <t>Leaders have 21 (BB LLC, SpaceBikes)</t>
        </is>
      </c>
      <c r="C97" s="238" t="inlineStr">
        <is>
          <t>WeBike / Spoke'd Up / MILC = 14. LiteCycle 17. The 'parity at 14' line was wrong — leaders run 50% more people.</t>
        </is>
      </c>
    </row>
    <row r="100">
      <c r="A100" s="199" t="inlineStr">
        <is>
          <t>MARKETING (exact)</t>
        </is>
      </c>
      <c r="B100" s="199" t="inlineStr">
        <is>
          <t>Inserts</t>
        </is>
      </c>
      <c r="C100" s="199" t="inlineStr">
        <is>
          <t>SEM clicks</t>
        </is>
      </c>
      <c r="D100" s="199" t="inlineStr">
        <is>
          <t>SEM $</t>
        </is>
      </c>
      <c r="E100" s="199" t="inlineStr">
        <is>
          <t>Clicks / $1k</t>
        </is>
      </c>
      <c r="F100" s="199" t="inlineStr">
        <is>
          <t>Web pages</t>
        </is>
      </c>
      <c r="G100" s="199" t="inlineStr">
        <is>
          <t>Best Mtn ad</t>
        </is>
      </c>
      <c r="H100" s="199" t="inlineStr">
        <is>
          <t>Best Speed ad</t>
        </is>
      </c>
    </row>
    <row r="101">
      <c r="A101" s="200" t="inlineStr">
        <is>
          <t>BB LLC</t>
        </is>
      </c>
      <c r="B101" s="200" t="n">
        <v>24</v>
      </c>
      <c r="C101" s="220" t="n">
        <v>437</v>
      </c>
      <c r="D101" s="232" t="n">
        <v>2000</v>
      </c>
      <c r="E101" s="236" t="n">
        <v>218.5</v>
      </c>
      <c r="F101" s="200" t="n">
        <v>2</v>
      </c>
      <c r="G101" s="200" t="inlineStr">
        <is>
          <t>81 BB Big Momma</t>
        </is>
      </c>
      <c r="H101" s="200" t="inlineStr">
        <is>
          <t>76 Unleash lil pap</t>
        </is>
      </c>
    </row>
    <row r="102">
      <c r="A102" s="200" t="inlineStr">
        <is>
          <t>SpaceBikes</t>
        </is>
      </c>
      <c r="B102" s="200" t="n">
        <v>17</v>
      </c>
      <c r="C102" s="220" t="n">
        <v>401</v>
      </c>
      <c r="D102" s="232" t="n">
        <v>2000</v>
      </c>
      <c r="E102" s="236" t="n">
        <v>200.5</v>
      </c>
      <c r="F102" s="200" t="n">
        <v>2</v>
      </c>
      <c r="G102" s="200" t="inlineStr">
        <is>
          <t>N/A</t>
        </is>
      </c>
      <c r="H102" s="200" t="inlineStr">
        <is>
          <t>77 The Armstrong 1</t>
        </is>
      </c>
    </row>
    <row r="103">
      <c r="A103" s="200" t="inlineStr">
        <is>
          <t>Bike Bros</t>
        </is>
      </c>
      <c r="B103" s="200" t="n">
        <v>10</v>
      </c>
      <c r="C103" s="220" t="n">
        <v>213</v>
      </c>
      <c r="D103" s="232" t="n">
        <v>5000</v>
      </c>
      <c r="E103" s="236" t="n">
        <v>42.6</v>
      </c>
      <c r="F103" s="200" t="n">
        <v>5</v>
      </c>
      <c r="G103" s="200" t="inlineStr">
        <is>
          <t>78 TerraTech</t>
        </is>
      </c>
      <c r="H103" s="200" t="inlineStr">
        <is>
          <t>78 AndStill</t>
        </is>
      </c>
    </row>
    <row r="104">
      <c r="A104" s="200" t="inlineStr">
        <is>
          <t>MILC Bikes</t>
        </is>
      </c>
      <c r="B104" s="200" t="n">
        <v>12</v>
      </c>
      <c r="C104" s="220" t="n">
        <v>187</v>
      </c>
      <c r="D104" s="232" t="n">
        <v>2000</v>
      </c>
      <c r="E104" s="236" t="n">
        <v>93.5</v>
      </c>
      <c r="F104" s="200" t="n">
        <v>2</v>
      </c>
      <c r="G104" s="200" t="inlineStr">
        <is>
          <t>N/A</t>
        </is>
      </c>
      <c r="H104" s="200" t="inlineStr">
        <is>
          <t>75 Skim MILC MKII</t>
        </is>
      </c>
    </row>
    <row r="105">
      <c r="A105" s="200" t="inlineStr">
        <is>
          <t>LiteCycle</t>
        </is>
      </c>
      <c r="B105" s="200" t="n">
        <v>12</v>
      </c>
      <c r="C105" s="220" t="n">
        <v>153</v>
      </c>
      <c r="D105" s="232" t="n">
        <v>3000</v>
      </c>
      <c r="E105" s="236" t="n">
        <v>51</v>
      </c>
      <c r="F105" s="200" t="n">
        <v>3</v>
      </c>
      <c r="G105" s="200" t="inlineStr">
        <is>
          <t>79 Trail Blazing 1</t>
        </is>
      </c>
      <c r="H105" s="200" t="inlineStr">
        <is>
          <t>77 Speed of Lite 1</t>
        </is>
      </c>
    </row>
    <row r="106">
      <c r="A106" s="209" t="inlineStr">
        <is>
          <t>WeBike</t>
        </is>
      </c>
      <c r="B106" s="209" t="n">
        <v>19</v>
      </c>
      <c r="C106" s="221" t="n">
        <v>144</v>
      </c>
      <c r="D106" s="234" t="n">
        <v>2000</v>
      </c>
      <c r="E106" s="239" t="n">
        <v>72</v>
      </c>
      <c r="F106" s="209" t="n">
        <v>2</v>
      </c>
      <c r="G106" s="209" t="inlineStr">
        <is>
          <t>80 HikeBike 1</t>
        </is>
      </c>
      <c r="H106" s="209" t="inlineStr">
        <is>
          <t>70 Swift Bike</t>
        </is>
      </c>
    </row>
    <row r="107">
      <c r="A107" s="200" t="inlineStr">
        <is>
          <t>Spoke'd Up</t>
        </is>
      </c>
      <c r="B107" s="200" t="n">
        <v>12</v>
      </c>
      <c r="C107" s="220" t="n">
        <v>82</v>
      </c>
      <c r="D107" s="232" t="n">
        <v>2000</v>
      </c>
      <c r="E107" s="236" t="n">
        <v>41</v>
      </c>
      <c r="F107" s="200" t="n">
        <v>2</v>
      </c>
      <c r="G107" s="200" t="inlineStr">
        <is>
          <t>N/A</t>
        </is>
      </c>
      <c r="H107" s="200" t="inlineStr">
        <is>
          <t>N/A</t>
        </is>
      </c>
    </row>
    <row r="110">
      <c r="A110" s="199" t="inlineStr">
        <is>
          <t>MARKETING FINDINGS</t>
        </is>
      </c>
      <c r="B110" s="199" t="inlineStr">
        <is>
          <t>Value</t>
        </is>
      </c>
      <c r="C110" s="199" t="inlineStr">
        <is>
          <t>Note</t>
        </is>
      </c>
    </row>
    <row r="111">
      <c r="A111" s="200" t="inlineStr">
        <is>
          <t>SEM is a quality game, not a budget game</t>
        </is>
      </c>
      <c r="B111" s="200" t="inlineStr">
        <is>
          <t>5 of 7 firms spend $2,000</t>
        </is>
      </c>
      <c r="C111" s="238" t="inlineStr">
        <is>
          <t>BB LLC 437 clicks and SpaceBikes 401 clicks on the SAME $2,000 we spent for 144. Bike Bros spent $5,000 for 213 clicks — worse ROI. Pages don't explain it (BB LLC has 2 pages, we have 2).</t>
        </is>
      </c>
    </row>
    <row r="112">
      <c r="A112" s="200" t="inlineStr">
        <is>
          <t>Mountain ad</t>
        </is>
      </c>
      <c r="B112" s="200" t="inlineStr">
        <is>
          <t>HikeBike 1 = 80, 2nd of 4</t>
        </is>
      </c>
      <c r="C112" s="208" t="inlineStr">
        <is>
          <t>BB Big Momma 81. One point off the top. Do not redesign.</t>
        </is>
      </c>
    </row>
    <row r="113">
      <c r="A113" s="200" t="inlineStr">
        <is>
          <t>Speed ad</t>
        </is>
      </c>
      <c r="B113" s="204" t="inlineStr">
        <is>
          <t>Swift Bike = 70, last of scored ads</t>
        </is>
      </c>
      <c r="C113" s="208" t="inlineStr">
        <is>
          <t>Spoke'd Up Speed ad is below 70 (N/A). We are last among anyone who cleared the bar. Redesign.</t>
        </is>
      </c>
    </row>
    <row r="114">
      <c r="A114" s="200" t="inlineStr">
        <is>
          <t>Average price</t>
        </is>
      </c>
      <c r="B114" s="200" t="inlineStr">
        <is>
          <t>WeBike $1,408 = 3rd</t>
        </is>
      </c>
      <c r="C114" s="208" t="inlineStr">
        <is>
          <t>Bike Bros $1,475 edges BB LLC $1,473. 'BB LLC highest price' was a $2 rounding error. Rec specialists (Spoke'd Up $1,249, MILC $1,250) sit ~$160 below us.</t>
        </is>
      </c>
    </row>
    <row r="115">
      <c r="A115" s="200" t="inlineStr">
        <is>
          <t>Brand count ≠ share</t>
        </is>
      </c>
      <c r="B115" s="200" t="inlineStr">
        <is>
          <t>Bike Bros 5 brands, 490 demand, BSC 1</t>
        </is>
      </c>
      <c r="C115" s="208" t="inlineStr">
        <is>
          <t>SpaceBikes 2 brands, 1,298 demand, BSC 11. BB LLC 4 brands (2 Mtn + 2 Speed, no Rec &gt;=70). A 3rd brand is still not a Q4 priority.</t>
        </is>
      </c>
    </row>
    <row r="116">
      <c r="A116" s="200" t="inlineStr">
        <is>
          <t>BB LLC Rec = N/A</t>
        </is>
      </c>
      <c r="B116" s="200" t="inlineStr">
        <is>
          <t>No Rec brand or ad &gt;= 70</t>
        </is>
      </c>
      <c r="C116" s="208" t="inlineStr">
        <is>
          <t>'All 3 segments' is spillover (99 Rec units), not a Rec franchise. They win Mountain + Speed only.</t>
        </is>
      </c>
    </row>
    <row r="119">
      <c r="A119" s="199" t="inlineStr">
        <is>
          <t>Q3 QUARTERLY BSC (this report, integer)</t>
        </is>
      </c>
      <c r="B119" s="199" t="inlineStr">
        <is>
          <t>Score</t>
        </is>
      </c>
      <c r="C119" s="199" t="inlineStr">
        <is>
          <t>Demand</t>
        </is>
      </c>
      <c r="D119" s="199" t="inlineStr">
        <is>
          <t>Read</t>
        </is>
      </c>
    </row>
    <row r="120">
      <c r="A120" s="200" t="inlineStr">
        <is>
          <t>BB LLC</t>
        </is>
      </c>
      <c r="B120" s="206" t="n">
        <v>22</v>
      </c>
      <c r="C120" s="220" t="n">
        <v>1507</v>
      </c>
      <c r="D120" s="208" t="inlineStr">
        <is>
          <t>Q3 single-quarter leader by a mile</t>
        </is>
      </c>
    </row>
    <row r="121">
      <c r="A121" s="200" t="inlineStr">
        <is>
          <t>SpaceBikes</t>
        </is>
      </c>
      <c r="B121" s="200" t="n">
        <v>11</v>
      </c>
      <c r="C121" s="220" t="n">
        <v>1298</v>
      </c>
      <c r="D121" s="208" t="inlineStr">
        <is>
          <t>Strong Q3 too — cumulative lead plus a double-digit quarter</t>
        </is>
      </c>
    </row>
    <row r="122">
      <c r="A122" s="200" t="inlineStr">
        <is>
          <t>LiteCycle</t>
        </is>
      </c>
      <c r="B122" s="200" t="n">
        <v>3</v>
      </c>
      <c r="C122" s="220" t="n">
        <v>984</v>
      </c>
      <c r="D122" s="208" t="inlineStr">
        <is>
          <t>Tied third</t>
        </is>
      </c>
    </row>
    <row r="123">
      <c r="A123" s="200" t="inlineStr">
        <is>
          <t>MILC Bikes</t>
        </is>
      </c>
      <c r="B123" s="200" t="n">
        <v>3</v>
      </c>
      <c r="C123" s="220" t="n">
        <v>799</v>
      </c>
      <c r="D123" s="208" t="inlineStr">
        <is>
          <t>Tied third</t>
        </is>
      </c>
    </row>
    <row r="124">
      <c r="A124" s="200" t="inlineStr">
        <is>
          <t>Spoke'd Up</t>
        </is>
      </c>
      <c r="B124" s="200" t="n">
        <v>2</v>
      </c>
      <c r="C124" s="220" t="n">
        <v>854</v>
      </c>
      <c r="D124" s="208" t="n"/>
    </row>
    <row r="125">
      <c r="A125" s="200" t="inlineStr">
        <is>
          <t>Bike Bros</t>
        </is>
      </c>
      <c r="B125" s="200" t="n">
        <v>1</v>
      </c>
      <c r="C125" s="220" t="n">
        <v>490</v>
      </c>
      <c r="D125" s="208" t="inlineStr">
        <is>
          <t>5 brands, 1 store, 0 web — last among firms that sold anything much</t>
        </is>
      </c>
    </row>
    <row r="126">
      <c r="A126" s="209" t="inlineStr">
        <is>
          <t>WeBike</t>
        </is>
      </c>
      <c r="B126" s="219" t="n">
        <v>0</v>
      </c>
      <c r="C126" s="221" t="n">
        <v>627</v>
      </c>
      <c r="D126" s="210" t="inlineStr">
        <is>
          <t>0.411 Total Performance rounds to 0 on this report. Last.</t>
        </is>
      </c>
    </row>
  </sheetData>
  <mergeCells count="1">
    <mergeCell ref="A2:H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134"/>
  <sheetViews>
    <sheetView workbookViewId="0">
      <selection activeCell="A1" sqref="A1"/>
    </sheetView>
  </sheetViews>
  <sheetFormatPr baseColWidth="8" defaultRowHeight="15"/>
  <cols>
    <col width="62" customWidth="1" style="146" min="1" max="1"/>
    <col width="42" customWidth="1" style="146" min="2" max="2"/>
    <col width="28" customWidth="1" style="146" min="3" max="3"/>
    <col width="22" customWidth="1" style="146" min="4" max="4"/>
    <col width="22" customWidth="1" style="146" min="5" max="5"/>
    <col width="22" customWidth="1" style="146" min="6" max="6"/>
    <col width="72" customWidth="1" style="146" min="7" max="7"/>
    <col width="16" customWidth="1" style="146" min="8" max="8"/>
    <col width="14" customWidth="1" style="146" min="9" max="9"/>
  </cols>
  <sheetData>
    <row r="1">
      <c r="A1" s="169" t="inlineStr">
        <is>
          <t>Major Media Inserts — World Market, Q3 actual (all 106 industry inserts)</t>
        </is>
      </c>
    </row>
    <row r="2" ht="48" customHeight="1" s="146">
      <c r="A2" s="170" t="inlineStr">
        <is>
          <t>World Market rows sum exactly to the company insert totals, so this IS the whole Major Media Inserts report (not a subset). BB LLC put all 24 inserts in Biking Magazines ($4,500, highest Mountain AND Speed preference) and spent LESS than we did. We cut HikeBike 1 Biking from 12 (Q2) to 6 (Q3) to 'diversify' — that was the mistake.</t>
        </is>
      </c>
    </row>
    <row r="4">
      <c r="A4" s="166" t="inlineStr">
        <is>
          <t>Company</t>
        </is>
      </c>
      <c r="B4" s="166" t="inlineStr">
        <is>
          <t>Inserts</t>
        </is>
      </c>
      <c r="C4" s="166" t="inlineStr">
        <is>
          <t>Rank</t>
        </is>
      </c>
      <c r="D4" s="166" t="inlineStr">
        <is>
          <t>Insert spend [$]</t>
        </is>
      </c>
      <c r="E4" s="166" t="inlineStr">
        <is>
          <t>$ / insert</t>
        </is>
      </c>
      <c r="F4" s="166" t="inlineStr">
        <is>
          <t>Biking inserts</t>
        </is>
      </c>
      <c r="G4" s="166" t="inlineStr">
        <is>
          <t>Biking % of own buy</t>
        </is>
      </c>
      <c r="H4" s="166" t="inlineStr">
        <is>
          <t>Other inserts</t>
        </is>
      </c>
    </row>
    <row r="5">
      <c r="A5" t="inlineStr">
        <is>
          <t>BB LLC</t>
        </is>
      </c>
      <c r="B5" t="n">
        <v>24</v>
      </c>
      <c r="C5" t="n">
        <v>1</v>
      </c>
      <c r="D5" s="240" t="n">
        <v>108000</v>
      </c>
      <c r="E5" s="240" t="n">
        <v>4500</v>
      </c>
      <c r="F5" s="159" t="n">
        <v>24</v>
      </c>
      <c r="G5" s="161" t="n">
        <v>1</v>
      </c>
      <c r="H5" t="n">
        <v>0</v>
      </c>
    </row>
    <row r="6">
      <c r="A6" s="171" t="inlineStr">
        <is>
          <t>WeBike</t>
        </is>
      </c>
      <c r="B6" s="171" t="n">
        <v>19</v>
      </c>
      <c r="C6" s="171" t="n">
        <v>2</v>
      </c>
      <c r="D6" s="241" t="n">
        <v>116000</v>
      </c>
      <c r="E6" s="241" t="n">
        <v>6105</v>
      </c>
      <c r="F6" s="171" t="n">
        <v>10</v>
      </c>
      <c r="G6" s="183" t="n">
        <v>0.5263157894736842</v>
      </c>
      <c r="H6" s="171" t="n">
        <v>9</v>
      </c>
    </row>
    <row r="7">
      <c r="A7" t="inlineStr">
        <is>
          <t>SpaceBikes</t>
        </is>
      </c>
      <c r="B7" t="n">
        <v>17</v>
      </c>
      <c r="C7" t="n">
        <v>3</v>
      </c>
      <c r="D7" s="240" t="n">
        <v>132000</v>
      </c>
      <c r="E7" s="240" t="n">
        <v>7765</v>
      </c>
      <c r="F7" t="n">
        <v>2</v>
      </c>
      <c r="G7" s="10" t="n">
        <v>0.1176470588235294</v>
      </c>
      <c r="H7" t="n">
        <v>15</v>
      </c>
    </row>
    <row r="8">
      <c r="A8" t="inlineStr">
        <is>
          <t>LiteCycle</t>
        </is>
      </c>
      <c r="B8" t="n">
        <v>12</v>
      </c>
      <c r="C8" t="n">
        <v>4</v>
      </c>
      <c r="D8" s="240" t="n">
        <v>75000</v>
      </c>
      <c r="E8" s="240" t="n">
        <v>6250</v>
      </c>
      <c r="F8" t="n">
        <v>6</v>
      </c>
      <c r="G8" s="10" t="n">
        <v>0.5</v>
      </c>
      <c r="H8" t="n">
        <v>6</v>
      </c>
    </row>
    <row r="9">
      <c r="A9" t="inlineStr">
        <is>
          <t>Spoke'd Up</t>
        </is>
      </c>
      <c r="B9" t="n">
        <v>12</v>
      </c>
      <c r="C9" t="n">
        <v>5</v>
      </c>
      <c r="D9" s="240" t="n">
        <v>96000</v>
      </c>
      <c r="E9" s="240" t="n">
        <v>8000</v>
      </c>
      <c r="F9" t="n">
        <v>2</v>
      </c>
      <c r="G9" s="10" t="n">
        <v>0.1666666666666667</v>
      </c>
      <c r="H9" t="n">
        <v>10</v>
      </c>
    </row>
    <row r="10">
      <c r="A10" t="inlineStr">
        <is>
          <t>MILC Bikes</t>
        </is>
      </c>
      <c r="B10" t="n">
        <v>12</v>
      </c>
      <c r="C10" t="n">
        <v>6</v>
      </c>
      <c r="D10" s="240" t="n">
        <v>68500</v>
      </c>
      <c r="E10" s="240" t="n">
        <v>5708</v>
      </c>
      <c r="F10" t="n">
        <v>5</v>
      </c>
      <c r="G10" s="10" t="n">
        <v>0.4166666666666667</v>
      </c>
      <c r="H10" t="n">
        <v>7</v>
      </c>
    </row>
    <row r="11">
      <c r="A11" t="inlineStr">
        <is>
          <t>Bike Bros</t>
        </is>
      </c>
      <c r="B11" t="n">
        <v>10</v>
      </c>
      <c r="C11" t="n">
        <v>7</v>
      </c>
      <c r="D11" s="240" t="n">
        <v>76000</v>
      </c>
      <c r="E11" s="240" t="n">
        <v>7600</v>
      </c>
      <c r="F11" t="n">
        <v>2</v>
      </c>
      <c r="G11" s="10" t="n">
        <v>0.2</v>
      </c>
      <c r="H11" t="n">
        <v>8</v>
      </c>
    </row>
    <row r="14">
      <c r="A14" s="166" t="inlineStr">
        <is>
          <t>THE EFFICIENCY FINDING</t>
        </is>
      </c>
      <c r="B14" s="166" t="inlineStr">
        <is>
          <t>Value</t>
        </is>
      </c>
      <c r="C14" s="166" t="inlineStr">
        <is>
          <t>Note</t>
        </is>
      </c>
    </row>
    <row r="15">
      <c r="A15" t="inlineStr">
        <is>
          <t>BB LLC inserts</t>
        </is>
      </c>
      <c r="B15" t="n">
        <v>24</v>
      </c>
      <c r="C15" s="170" t="inlineStr">
        <is>
          <t>industry high — 100% Biking Magazines</t>
        </is>
      </c>
    </row>
    <row r="16">
      <c r="A16" t="inlineStr">
        <is>
          <t>WeBike inserts</t>
        </is>
      </c>
      <c r="B16" t="n">
        <v>19</v>
      </c>
      <c r="C16" s="170" t="inlineStr">
        <is>
          <t>2nd — but spread across 5 media</t>
        </is>
      </c>
    </row>
    <row r="17">
      <c r="A17" t="inlineStr">
        <is>
          <t>BB LLC insert spend [$]</t>
        </is>
      </c>
      <c r="B17" t="n">
        <v>108000</v>
      </c>
      <c r="C17" s="170" t="inlineStr">
        <is>
          <t>24 x $4,500</t>
        </is>
      </c>
    </row>
    <row r="18">
      <c r="A18" t="inlineStr">
        <is>
          <t>WeBike insert spend [$]</t>
        </is>
      </c>
      <c r="B18" t="n">
        <v>116000</v>
      </c>
      <c r="C18" s="170" t="inlineStr">
        <is>
          <t>Health+Biking+Sport+Business+NV+News</t>
        </is>
      </c>
    </row>
    <row r="19">
      <c r="A19" t="inlineStr">
        <is>
          <t>WeBike reported ad expense [$]</t>
        </is>
      </c>
      <c r="B19" t="n">
        <v>119165</v>
      </c>
      <c r="C19" s="170" t="inlineStr">
        <is>
          <t>inserts $116k + ~$3,165 web/design</t>
        </is>
      </c>
    </row>
    <row r="20">
      <c r="A20" t="inlineStr">
        <is>
          <t>WeBike $ / insert</t>
        </is>
      </c>
      <c r="B20" s="159" t="n">
        <v>6105</v>
      </c>
      <c r="C20" s="170" t="inlineStr">
        <is>
          <t>we pay 36% more per insert than BB LLC</t>
        </is>
      </c>
    </row>
    <row r="21">
      <c r="A21" t="inlineStr">
        <is>
          <t>BB LLC $ / insert</t>
        </is>
      </c>
      <c r="B21" s="168" t="n">
        <v>4500</v>
      </c>
      <c r="C21" s="170" t="inlineStr">
        <is>
          <t>the Biking rate — cheapest medium, best Mtn+Speed pref</t>
        </is>
      </c>
    </row>
    <row r="22">
      <c r="A22" t="inlineStr">
        <is>
          <t>Inserts we could have bought at $4,500 with our $116k</t>
        </is>
      </c>
      <c r="B22" t="n">
        <v>25</v>
      </c>
      <c r="C22" s="170" t="inlineStr">
        <is>
          <t>25 Biking inserts vs the 10 we actually bought</t>
        </is>
      </c>
    </row>
    <row r="24">
      <c r="B24" s="168" t="n"/>
    </row>
    <row r="25">
      <c r="A25" s="166" t="inlineStr">
        <is>
          <t>Inserts by medium (industry)</t>
        </is>
      </c>
      <c r="B25" s="166" t="inlineStr">
        <is>
          <t>Bike Bros</t>
        </is>
      </c>
      <c r="C25" s="166" t="inlineStr">
        <is>
          <t>LiteCycle</t>
        </is>
      </c>
      <c r="D25" s="166" t="inlineStr">
        <is>
          <t>WeBike</t>
        </is>
      </c>
      <c r="E25" s="166" t="inlineStr">
        <is>
          <t>BB LLC</t>
        </is>
      </c>
      <c r="F25" s="166" t="inlineStr">
        <is>
          <t>Spoke'd Up</t>
        </is>
      </c>
      <c r="G25" s="166" t="inlineStr">
        <is>
          <t>SpaceBikes</t>
        </is>
      </c>
      <c r="H25" s="166" t="inlineStr">
        <is>
          <t>MILC Bikes</t>
        </is>
      </c>
      <c r="I25" s="166" t="inlineStr">
        <is>
          <t>Industry</t>
        </is>
      </c>
    </row>
    <row r="26">
      <c r="A26" t="inlineStr">
        <is>
          <t>Leisure &amp; Entertainment</t>
        </is>
      </c>
      <c r="B26" t="n">
        <v>1</v>
      </c>
      <c r="C26" t="n">
        <v>0</v>
      </c>
      <c r="D26" t="n">
        <v>0</v>
      </c>
      <c r="E26" t="n">
        <v>0</v>
      </c>
      <c r="F26" t="n">
        <v>3</v>
      </c>
      <c r="G26" t="n">
        <v>2</v>
      </c>
      <c r="H26" t="n">
        <v>0</v>
      </c>
      <c r="I26" t="n">
        <v>6</v>
      </c>
    </row>
    <row r="27">
      <c r="A27" t="inlineStr">
        <is>
          <t>Health &amp; Fitness Magazines</t>
        </is>
      </c>
      <c r="B27" t="n">
        <v>2</v>
      </c>
      <c r="C27" t="n">
        <v>0</v>
      </c>
      <c r="D27" t="n">
        <v>1</v>
      </c>
      <c r="E27" t="n">
        <v>0</v>
      </c>
      <c r="F27" t="n">
        <v>2</v>
      </c>
      <c r="G27" t="n">
        <v>3</v>
      </c>
      <c r="H27" t="n">
        <v>5</v>
      </c>
      <c r="I27" t="n">
        <v>13</v>
      </c>
    </row>
    <row r="28">
      <c r="A28" t="inlineStr">
        <is>
          <t>Biking Magazines</t>
        </is>
      </c>
      <c r="B28" t="n">
        <v>2</v>
      </c>
      <c r="C28" t="n">
        <v>6</v>
      </c>
      <c r="D28" s="173" t="n">
        <v>10</v>
      </c>
      <c r="E28" t="n">
        <v>24</v>
      </c>
      <c r="F28" t="n">
        <v>2</v>
      </c>
      <c r="G28" t="n">
        <v>2</v>
      </c>
      <c r="H28" t="n">
        <v>5</v>
      </c>
      <c r="I28" t="n">
        <v>51</v>
      </c>
    </row>
    <row r="29">
      <c r="A29" t="inlineStr">
        <is>
          <t>Sport Magazines</t>
        </is>
      </c>
      <c r="B29" t="n">
        <v>2</v>
      </c>
      <c r="C29" t="n">
        <v>1</v>
      </c>
      <c r="D29" s="173" t="n">
        <v>3</v>
      </c>
      <c r="E29" t="n">
        <v>0</v>
      </c>
      <c r="F29" t="n">
        <v>2</v>
      </c>
      <c r="G29" t="n">
        <v>2</v>
      </c>
      <c r="H29" t="n">
        <v>0</v>
      </c>
      <c r="I29" t="n">
        <v>10</v>
      </c>
    </row>
    <row r="30">
      <c r="A30" t="inlineStr">
        <is>
          <t>Business Magazines</t>
        </is>
      </c>
      <c r="B30" t="n">
        <v>1</v>
      </c>
      <c r="C30" t="n">
        <v>2</v>
      </c>
      <c r="D30" s="173" t="n">
        <v>1</v>
      </c>
      <c r="E30" s="159" t="n">
        <v>0</v>
      </c>
      <c r="F30" t="n">
        <v>1</v>
      </c>
      <c r="G30" t="n">
        <v>2</v>
      </c>
      <c r="H30" t="n">
        <v>0</v>
      </c>
      <c r="I30" t="n">
        <v>7</v>
      </c>
    </row>
    <row r="31">
      <c r="A31" t="inlineStr">
        <is>
          <t>New Venture Magazines</t>
        </is>
      </c>
      <c r="B31" t="n">
        <v>1</v>
      </c>
      <c r="C31" t="n">
        <v>2</v>
      </c>
      <c r="D31" s="173" t="n">
        <v>3</v>
      </c>
      <c r="E31" t="n">
        <v>0</v>
      </c>
      <c r="F31" t="n">
        <v>1</v>
      </c>
      <c r="G31" t="n">
        <v>2</v>
      </c>
      <c r="H31" t="n">
        <v>2</v>
      </c>
      <c r="I31" t="n">
        <v>11</v>
      </c>
    </row>
    <row r="32">
      <c r="A32" t="inlineStr">
        <is>
          <t>General News Magazines</t>
        </is>
      </c>
      <c r="B32" t="n">
        <v>1</v>
      </c>
      <c r="C32" t="n">
        <v>1</v>
      </c>
      <c r="D32" s="173" t="n">
        <v>1</v>
      </c>
      <c r="E32" t="n">
        <v>0</v>
      </c>
      <c r="F32" t="n">
        <v>1</v>
      </c>
      <c r="G32" t="n">
        <v>4</v>
      </c>
      <c r="H32" t="n">
        <v>0</v>
      </c>
      <c r="I32" t="n">
        <v>8</v>
      </c>
    </row>
    <row r="33">
      <c r="A33" t="inlineStr">
        <is>
          <t>TOTAL</t>
        </is>
      </c>
      <c r="B33" t="n">
        <v>10</v>
      </c>
      <c r="C33" t="n">
        <v>12</v>
      </c>
      <c r="D33" s="173" t="n">
        <v>19</v>
      </c>
      <c r="E33" t="n">
        <v>24</v>
      </c>
      <c r="F33" t="n">
        <v>12</v>
      </c>
      <c r="G33" t="n">
        <v>17</v>
      </c>
      <c r="H33" t="n">
        <v>12</v>
      </c>
      <c r="I33" t="n">
        <v>106</v>
      </c>
    </row>
    <row r="34">
      <c r="D34" s="173" t="n"/>
    </row>
    <row r="35">
      <c r="D35" s="173" t="n"/>
    </row>
    <row r="36">
      <c r="A36" s="166" t="inlineStr">
        <is>
          <t>WEBIKE MIX — Q2 HikeBike1 lock vs Q3 actual</t>
        </is>
      </c>
      <c r="B36" s="166" t="inlineStr">
        <is>
          <t>Q2 HikeBike1</t>
        </is>
      </c>
      <c r="C36" s="166" t="inlineStr">
        <is>
          <t>Q3 HikeBike 1</t>
        </is>
      </c>
      <c r="D36" s="166" t="inlineStr">
        <is>
          <t>Q3 Swift Bike</t>
        </is>
      </c>
      <c r="E36" s="166" t="inlineStr">
        <is>
          <t>Q3 total</t>
        </is>
      </c>
      <c r="F36" s="166" t="inlineStr">
        <is>
          <t>Q2→Q3 Hike change</t>
        </is>
      </c>
    </row>
    <row r="37">
      <c r="A37" t="inlineStr">
        <is>
          <t>Leisure &amp; Entertainment</t>
        </is>
      </c>
      <c r="B37" t="n">
        <v>0</v>
      </c>
      <c r="C37" t="n">
        <v>0</v>
      </c>
      <c r="D37" t="n">
        <v>0</v>
      </c>
      <c r="E37" t="n">
        <v>0</v>
      </c>
      <c r="F37" t="n">
        <v>0</v>
      </c>
    </row>
    <row r="38">
      <c r="A38" t="inlineStr">
        <is>
          <t>Health &amp; Fitness Magazines</t>
        </is>
      </c>
      <c r="B38" t="n">
        <v>1</v>
      </c>
      <c r="C38" t="n">
        <v>1</v>
      </c>
      <c r="D38" t="n">
        <v>0</v>
      </c>
      <c r="E38" t="n">
        <v>1</v>
      </c>
      <c r="F38" t="n">
        <v>0</v>
      </c>
    </row>
    <row r="39">
      <c r="A39" t="inlineStr">
        <is>
          <t>Biking Magazines</t>
        </is>
      </c>
      <c r="B39" t="n">
        <v>12</v>
      </c>
      <c r="C39" t="n">
        <v>6</v>
      </c>
      <c r="D39" t="n">
        <v>4</v>
      </c>
      <c r="E39" t="n">
        <v>10</v>
      </c>
      <c r="F39" t="n">
        <v>-6</v>
      </c>
    </row>
    <row r="40">
      <c r="A40" t="inlineStr">
        <is>
          <t>Sport Magazines</t>
        </is>
      </c>
      <c r="B40" t="n">
        <v>2</v>
      </c>
      <c r="C40" t="n">
        <v>2</v>
      </c>
      <c r="D40" t="n">
        <v>1</v>
      </c>
      <c r="E40" t="n">
        <v>3</v>
      </c>
      <c r="F40" t="n">
        <v>0</v>
      </c>
    </row>
    <row r="41">
      <c r="A41" t="inlineStr">
        <is>
          <t>Business Magazines</t>
        </is>
      </c>
      <c r="B41" t="n">
        <v>0</v>
      </c>
      <c r="C41" s="168" t="n">
        <v>0</v>
      </c>
      <c r="D41" t="n">
        <v>1</v>
      </c>
      <c r="E41" t="n">
        <v>1</v>
      </c>
      <c r="F41" s="167" t="n">
        <v>0</v>
      </c>
    </row>
    <row r="42">
      <c r="A42" t="inlineStr">
        <is>
          <t>New Venture Magazines</t>
        </is>
      </c>
      <c r="B42" t="n">
        <v>0</v>
      </c>
      <c r="C42" t="n">
        <v>1</v>
      </c>
      <c r="D42" t="n">
        <v>2</v>
      </c>
      <c r="E42" t="n">
        <v>3</v>
      </c>
      <c r="F42" t="n">
        <v>1</v>
      </c>
    </row>
    <row r="43">
      <c r="A43" t="inlineStr">
        <is>
          <t>General News Magazines</t>
        </is>
      </c>
      <c r="B43" t="n">
        <v>1</v>
      </c>
      <c r="C43" t="n">
        <v>1</v>
      </c>
      <c r="D43" t="n">
        <v>0</v>
      </c>
      <c r="E43" t="n">
        <v>1</v>
      </c>
      <c r="F43" t="n">
        <v>0</v>
      </c>
    </row>
    <row r="44">
      <c r="A44" t="inlineStr">
        <is>
          <t>Inserts</t>
        </is>
      </c>
      <c r="B44" t="n">
        <v>16</v>
      </c>
      <c r="C44" t="n">
        <v>11</v>
      </c>
      <c r="D44" t="n">
        <v>8</v>
      </c>
      <c r="E44" t="n">
        <v>19</v>
      </c>
      <c r="F44" t="n">
        <v>-5</v>
      </c>
    </row>
    <row r="45">
      <c r="A45" t="inlineStr">
        <is>
          <t>Spend [$]</t>
        </is>
      </c>
      <c r="B45" t="n">
        <v>89000</v>
      </c>
      <c r="C45" t="n">
        <v>67500</v>
      </c>
      <c r="D45" t="n">
        <v>48500</v>
      </c>
      <c r="E45" t="n">
        <v>116000</v>
      </c>
      <c r="F45" t="n">
        <v>-21500</v>
      </c>
    </row>
    <row r="48">
      <c r="A48" s="166" t="inlineStr">
        <is>
          <t>IDENTICAL MOUNTAIN PRODUCT — Biking Magazines only</t>
        </is>
      </c>
      <c r="B48" s="166" t="inlineStr">
        <is>
          <t>Inserts</t>
        </is>
      </c>
      <c r="C48" s="166" t="inlineStr">
        <is>
          <t>Spend [$]</t>
        </is>
      </c>
      <c r="D48" s="166" t="inlineStr">
        <is>
          <t>Mountain share</t>
        </is>
      </c>
      <c r="E48" s="166" t="inlineStr">
        <is>
          <t>Note</t>
        </is>
      </c>
    </row>
    <row r="49">
      <c r="A49" t="inlineStr">
        <is>
          <t>BB LLC BB Big Momma → Blu Ruged Ballz (56/73/1, $1,365)</t>
        </is>
      </c>
      <c r="B49" t="n">
        <v>12</v>
      </c>
      <c r="C49" t="n">
        <v>54000</v>
      </c>
      <c r="D49" t="n">
        <v>0.463</v>
      </c>
      <c r="E49" s="170" t="inlineStr">
        <is>
          <t>same design, same price as Hike Bike</t>
        </is>
      </c>
    </row>
    <row r="50">
      <c r="A50" t="inlineStr">
        <is>
          <t>WeBike HikeBike 1 → Hike Bike (56/73/1, $1,365)</t>
        </is>
      </c>
      <c r="B50" t="n">
        <v>6</v>
      </c>
      <c r="C50" t="n">
        <v>27000</v>
      </c>
      <c r="D50" t="n">
        <v>0.221</v>
      </c>
      <c r="E50" s="170" t="inlineStr">
        <is>
          <t>we ran this at 12 in Q2 and cut it in half</t>
        </is>
      </c>
    </row>
    <row r="51">
      <c r="A51" t="inlineStr">
        <is>
          <t>Gap</t>
        </is>
      </c>
      <c r="B51" t="n">
        <v>6</v>
      </c>
      <c r="C51" t="n">
        <v>27000</v>
      </c>
      <c r="D51" s="10" t="n">
        <v>0.242</v>
      </c>
      <c r="E51" s="170" t="inlineStr">
        <is>
          <t>half the Biking weight, half-ish the share — plus stock-outs</t>
        </is>
      </c>
    </row>
    <row r="52">
      <c r="A52" s="171" t="n"/>
      <c r="B52" s="171" t="n"/>
      <c r="C52" s="171" t="n"/>
      <c r="D52" s="183" t="n"/>
      <c r="E52" s="171" t="n"/>
    </row>
    <row r="53">
      <c r="A53" s="168" t="n"/>
      <c r="B53" s="168" t="n"/>
      <c r="C53" s="168" t="n"/>
      <c r="D53" s="212" t="n"/>
      <c r="E53" s="168" t="n"/>
    </row>
    <row r="54">
      <c r="A54" s="166" t="inlineStr">
        <is>
          <t>SPEED — Biking Magazines</t>
        </is>
      </c>
      <c r="B54" s="166" t="inlineStr">
        <is>
          <t>Inserts</t>
        </is>
      </c>
      <c r="C54" s="166" t="inlineStr">
        <is>
          <t>Spend [$]</t>
        </is>
      </c>
      <c r="D54" s="166" t="inlineStr">
        <is>
          <t>Speed share</t>
        </is>
      </c>
      <c r="E54" s="166" t="inlineStr">
        <is>
          <t>Note</t>
        </is>
      </c>
    </row>
    <row r="55">
      <c r="A55" t="inlineStr">
        <is>
          <t>BB LLC Unleash lil pap → Blu Tube Ballz (judgment 76, $1,580)</t>
        </is>
      </c>
      <c r="B55" t="n">
        <v>12</v>
      </c>
      <c r="C55" t="n">
        <v>54000</v>
      </c>
      <c r="E55" s="170" t="inlineStr">
        <is>
          <t>their advertised Speed brand</t>
        </is>
      </c>
    </row>
    <row r="56">
      <c r="A56" t="inlineStr">
        <is>
          <t>WeBike Swift Bike (judgment 72, $1,450)</t>
        </is>
      </c>
      <c r="B56" t="n">
        <v>4</v>
      </c>
      <c r="C56" t="n">
        <v>18000</v>
      </c>
      <c r="D56" t="n">
        <v>0.075</v>
      </c>
      <c r="E56" s="170" t="inlineStr">
        <is>
          <t>2nd-worst product, 2nd-cheapest, 1/3 the Biking weight</t>
        </is>
      </c>
    </row>
    <row r="57">
      <c r="A57" t="inlineStr">
        <is>
          <t>MILC Skim MILC MKII (judgment 76)</t>
        </is>
      </c>
      <c r="B57" t="n">
        <v>5</v>
      </c>
      <c r="C57" t="n">
        <v>22500</v>
      </c>
      <c r="E57" s="170" t="inlineStr">
        <is>
          <t>more Biking than us on Speed</t>
        </is>
      </c>
    </row>
    <row r="58">
      <c r="A58" s="171" t="n"/>
      <c r="B58" s="171" t="n"/>
      <c r="C58" s="171" t="n"/>
      <c r="D58" s="183" t="n"/>
      <c r="E58" s="171" t="n"/>
    </row>
    <row r="60">
      <c r="A60" s="166" t="inlineStr">
        <is>
          <t>UNADVERTISED BRANDS (zero major-media inserts)</t>
        </is>
      </c>
      <c r="B60" s="166" t="inlineStr">
        <is>
          <t>Company</t>
        </is>
      </c>
      <c r="C60" s="166" t="inlineStr">
        <is>
          <t>Target</t>
        </is>
      </c>
      <c r="D60" s="166" t="inlineStr">
        <is>
          <t>Note</t>
        </is>
      </c>
    </row>
    <row r="61">
      <c r="A61" t="inlineStr">
        <is>
          <t>Blu Tail Ballz</t>
        </is>
      </c>
      <c r="B61" t="inlineStr">
        <is>
          <t>BB LLC</t>
        </is>
      </c>
      <c r="C61" t="inlineStr">
        <is>
          <t>Mountain</t>
        </is>
      </c>
      <c r="D61" s="170" t="inlineStr">
        <is>
          <t>judgment 70; Blu Ruged (73) takes all 12 Mtn inserts</t>
        </is>
      </c>
    </row>
    <row r="62">
      <c r="A62" t="inlineStr">
        <is>
          <t>Blu Aero Ballz</t>
        </is>
      </c>
      <c r="B62" t="inlineStr">
        <is>
          <t>BB LLC</t>
        </is>
      </c>
      <c r="C62" t="inlineStr">
        <is>
          <t>Speed</t>
        </is>
      </c>
      <c r="D62" s="170" t="inlineStr">
        <is>
          <t>judgment 74; Blu Tube (76) takes all 12 Speed inserts</t>
        </is>
      </c>
    </row>
    <row r="63">
      <c r="A63" t="inlineStr">
        <is>
          <t>TERRAMean</t>
        </is>
      </c>
      <c r="B63" t="inlineStr">
        <is>
          <t>Bike Bros</t>
        </is>
      </c>
      <c r="C63" t="inlineStr">
        <is>
          <t>Mountain</t>
        </is>
      </c>
      <c r="D63" s="170" t="inlineStr">
        <is>
          <t>judgment 72; they advertise TERRAMAX instead</t>
        </is>
      </c>
    </row>
    <row r="64">
      <c r="A64" t="inlineStr">
        <is>
          <t>Mach 0.6</t>
        </is>
      </c>
      <c r="B64" t="inlineStr">
        <is>
          <t>Bike Bros</t>
        </is>
      </c>
      <c r="C64" t="inlineStr">
        <is>
          <t>Speed</t>
        </is>
      </c>
      <c r="D64" s="170" t="inlineStr">
        <is>
          <t>judgment 61; they advertise MACH I.I instead</t>
        </is>
      </c>
    </row>
    <row r="67">
      <c r="A67" s="166" t="inlineStr">
        <is>
          <t>Q4 MEDIA OPTIONS — not locked; team vote</t>
        </is>
      </c>
      <c r="B67" s="166" t="inlineStr">
        <is>
          <t>HikeBike 1</t>
        </is>
      </c>
      <c r="C67" s="166" t="inlineStr">
        <is>
          <t>Swift Bike</t>
        </is>
      </c>
      <c r="D67" s="166" t="inlineStr">
        <is>
          <t>Inserts</t>
        </is>
      </c>
      <c r="E67" s="166" t="inlineStr">
        <is>
          <t>Insert spend [$]</t>
        </is>
      </c>
      <c r="F67" s="166" t="inlineStr">
        <is>
          <t>vs Q3 spend</t>
        </is>
      </c>
      <c r="G67" s="166" t="inlineStr">
        <is>
          <t>Read</t>
        </is>
      </c>
    </row>
    <row r="68">
      <c r="A68" t="inlineStr">
        <is>
          <t>A. Copy BB LLC (all Biking)</t>
        </is>
      </c>
      <c r="B68" t="inlineStr">
        <is>
          <t>Biking 12</t>
        </is>
      </c>
      <c r="C68" t="inlineStr">
        <is>
          <t>Biking 12</t>
        </is>
      </c>
      <c r="D68" t="n">
        <v>24</v>
      </c>
      <c r="E68" t="n">
        <v>108000</v>
      </c>
      <c r="F68" t="n">
        <v>-8000</v>
      </c>
      <c r="G68" s="170" t="inlineStr">
        <is>
          <t>Same insert count AND lower spend than Q3. Drops Sport/News/Business.</t>
        </is>
      </c>
    </row>
    <row r="69">
      <c r="A69" t="inlineStr">
        <is>
          <t>B. Restore Q2 Hike + match BB LLC Speed Biking (recommended)</t>
        </is>
      </c>
      <c r="B69" t="inlineStr">
        <is>
          <t>Health 1 · Biking 12 · Sport 2 · News 1</t>
        </is>
      </c>
      <c r="C69" t="inlineStr">
        <is>
          <t>Biking 12</t>
        </is>
      </c>
      <c r="D69" t="n">
        <v>29</v>
      </c>
      <c r="E69" t="n">
        <v>143000</v>
      </c>
      <c r="F69" t="n">
        <v>27000</v>
      </c>
      <c r="G69" s="170" t="inlineStr">
        <is>
          <t>Puts Hike Bike back on its proven mix; matches BB LLC's 12 Speed Biking.</t>
        </is>
      </c>
    </row>
    <row r="70">
      <c r="A70" t="inlineStr">
        <is>
          <t>C. Restore Q2 Hike + Speed Biking and Business</t>
        </is>
      </c>
      <c r="B70" t="inlineStr">
        <is>
          <t>Health 1 · Biking 12 · Sport 2 · News 1</t>
        </is>
      </c>
      <c r="C70" t="inlineStr">
        <is>
          <t>Biking 12 · Business 1</t>
        </is>
      </c>
      <c r="D70" t="n">
        <v>30</v>
      </c>
      <c r="E70" t="n">
        <v>152500</v>
      </c>
      <c r="F70" t="n">
        <v>36500</v>
      </c>
      <c r="G70" s="170" t="inlineStr">
        <is>
          <t>Adds Speed's #2 medium. Still well inside the $1.01M cash pile.</t>
        </is>
      </c>
    </row>
    <row r="71">
      <c r="A71" s="159" t="inlineStr">
        <is>
          <t>Do NOT</t>
        </is>
      </c>
      <c r="B71" s="159" t="inlineStr">
        <is>
          <t>keep Biking at 6</t>
        </is>
      </c>
      <c r="C71" s="159" t="inlineStr">
        <is>
          <t>keep Biking at 4 + NV 2</t>
        </is>
      </c>
      <c r="D71" s="159" t="n">
        <v>19</v>
      </c>
      <c r="E71" s="159" t="n">
        <v>116000</v>
      </c>
      <c r="F71" s="159" t="n">
        <v>0</v>
      </c>
      <c r="G71" s="181" t="inlineStr">
        <is>
          <t>Diversifying off Biking is what Q3 did. BB LLC does the opposite.</t>
        </is>
      </c>
    </row>
    <row r="73">
      <c r="A73" s="167" t="n"/>
    </row>
    <row r="74">
      <c r="A74" s="166" t="inlineStr">
        <is>
          <t>READS</t>
        </is>
      </c>
      <c r="B74" s="166" t="inlineStr">
        <is>
          <t>Detail</t>
        </is>
      </c>
    </row>
    <row r="75">
      <c r="A75" t="inlineStr">
        <is>
          <t>1. Placement, not ad count</t>
        </is>
      </c>
      <c r="B75" s="170" t="inlineStr">
        <is>
          <t>Ad CREATIVE count is not the lever (BB LLC 2 ads, Bike Bros 5). INSERT mix is: BB LLC 24/24 Biking vs our 10/19. Distinct from the Swift Bike ad-copy problem (judgment 70).</t>
        </is>
      </c>
    </row>
    <row r="76">
      <c r="A76" t="inlineStr">
        <is>
          <t>2. Q3 'diversify Mountain media' cut the best medium in half</t>
        </is>
      </c>
      <c r="B76" s="170" t="inlineStr">
        <is>
          <t>HikeBike 1 Biking 12 → 6. That $27,000 left Biking and went to Swift + New Venture. Mountain still loves Biking (pref 134). BB LLC kept 12 on the identical product.</t>
        </is>
      </c>
    </row>
    <row r="77">
      <c r="A77" t="inlineStr">
        <is>
          <t>3. We already outspend BB LLC on inserts</t>
        </is>
      </c>
      <c r="B77" s="170" t="inlineStr">
        <is>
          <t>$116,000 vs $108,000. Matching them is a MIX change, not a budget increase. Option B costs +$27k vs Q3 — idle cash covers it 37 times over.</t>
        </is>
      </c>
    </row>
    <row r="78">
      <c r="A78" t="inlineStr">
        <is>
          <t>4. Do not add a 3rd ad or a Recreation buy</t>
        </is>
      </c>
      <c r="B78" s="170" t="inlineStr">
        <is>
          <t>Leisure is Rec-skewed (pref 60 for Mountain). Rec stays parked. Improve the Swift Bike ad (70 → ~77) rather than adding a second Speed creative.</t>
        </is>
      </c>
    </row>
    <row r="79">
      <c r="A79" t="inlineStr">
        <is>
          <t>5. HikeBike 1 copy stays</t>
        </is>
      </c>
      <c r="B79" s="170" t="inlineStr">
        <is>
          <t>Ad judgment 80, 2nd in the field. Restore its Q2 media weight; do not redesign the ad.</t>
        </is>
      </c>
    </row>
    <row r="80">
      <c r="B80" s="170" t="n"/>
    </row>
    <row r="81">
      <c r="B81" s="170" t="n"/>
    </row>
    <row r="83">
      <c r="A83" s="165" t="inlineStr">
        <is>
          <t>SOURCE DUMP — World Market rows (audit)</t>
        </is>
      </c>
    </row>
    <row r="84">
      <c r="A84" s="166" t="inlineStr">
        <is>
          <t>Media</t>
        </is>
      </c>
      <c r="B84" s="166" t="inlineStr">
        <is>
          <t>Company</t>
        </is>
      </c>
      <c r="C84" s="166" t="inlineStr">
        <is>
          <t>Ad</t>
        </is>
      </c>
      <c r="D84" s="166" t="inlineStr">
        <is>
          <t>Brand advertised</t>
        </is>
      </c>
      <c r="E84" s="166" t="inlineStr">
        <is>
          <t>Segment</t>
        </is>
      </c>
      <c r="F84" s="166" t="inlineStr">
        <is>
          <t>Inserts</t>
        </is>
      </c>
      <c r="G84" s="166" t="inlineStr">
        <is>
          <t>Cost / insert [$]</t>
        </is>
      </c>
      <c r="H84" s="166" t="inlineStr">
        <is>
          <t>Spend [$]</t>
        </is>
      </c>
    </row>
    <row r="85">
      <c r="A85" t="inlineStr">
        <is>
          <t>Leisure &amp; Entertainment</t>
        </is>
      </c>
      <c r="B85" t="inlineStr">
        <is>
          <t>Bike Bros</t>
        </is>
      </c>
      <c r="C85" t="inlineStr">
        <is>
          <t>Easy Rider</t>
        </is>
      </c>
      <c r="D85" t="inlineStr">
        <is>
          <t>MountainCruise1</t>
        </is>
      </c>
      <c r="E85" t="inlineStr">
        <is>
          <t>Recreation</t>
        </is>
      </c>
      <c r="F85" t="n">
        <v>1</v>
      </c>
      <c r="G85" t="n">
        <v>10000</v>
      </c>
      <c r="H85" t="n">
        <v>10000</v>
      </c>
    </row>
    <row r="86">
      <c r="A86" t="inlineStr">
        <is>
          <t>Leisure &amp; Entertainment</t>
        </is>
      </c>
      <c r="B86" t="inlineStr">
        <is>
          <t>Spoke'd Up</t>
        </is>
      </c>
      <c r="C86" t="inlineStr">
        <is>
          <t>Spoke'd Easy</t>
        </is>
      </c>
      <c r="D86" t="inlineStr">
        <is>
          <t>Spoke'd Easy</t>
        </is>
      </c>
      <c r="E86" t="inlineStr">
        <is>
          <t>Recreation</t>
        </is>
      </c>
      <c r="F86" t="n">
        <v>3</v>
      </c>
      <c r="G86" t="n">
        <v>10000</v>
      </c>
      <c r="H86" t="n">
        <v>30000</v>
      </c>
    </row>
    <row r="87">
      <c r="A87" t="inlineStr">
        <is>
          <t>Leisure &amp; Entertainment</t>
        </is>
      </c>
      <c r="B87" t="inlineStr">
        <is>
          <t>SpaceBikes</t>
        </is>
      </c>
      <c r="C87" t="inlineStr">
        <is>
          <t>Mars Rover 1</t>
        </is>
      </c>
      <c r="D87" t="inlineStr">
        <is>
          <t>Mars Rover</t>
        </is>
      </c>
      <c r="E87" t="inlineStr">
        <is>
          <t>Recreation</t>
        </is>
      </c>
      <c r="F87" t="n">
        <v>2</v>
      </c>
      <c r="G87" t="n">
        <v>10000</v>
      </c>
      <c r="H87" t="n">
        <v>20000</v>
      </c>
    </row>
    <row r="88">
      <c r="A88" t="inlineStr">
        <is>
          <t>Health &amp; Fitness Magazines</t>
        </is>
      </c>
      <c r="B88" t="inlineStr">
        <is>
          <t>Bike Bros</t>
        </is>
      </c>
      <c r="C88" t="inlineStr">
        <is>
          <t>TerraTech</t>
        </is>
      </c>
      <c r="D88" t="inlineStr">
        <is>
          <t>TERRAMAX</t>
        </is>
      </c>
      <c r="E88" t="inlineStr">
        <is>
          <t>Mountain</t>
        </is>
      </c>
      <c r="F88" t="n">
        <v>1</v>
      </c>
      <c r="G88" t="n">
        <v>7000</v>
      </c>
      <c r="H88" t="n">
        <v>7000</v>
      </c>
    </row>
    <row r="89">
      <c r="A89" t="inlineStr">
        <is>
          <t>Health &amp; Fitness Magazines</t>
        </is>
      </c>
      <c r="B89" t="inlineStr">
        <is>
          <t>Bike Bros</t>
        </is>
      </c>
      <c r="C89" t="inlineStr">
        <is>
          <t>Easy Rider</t>
        </is>
      </c>
      <c r="D89" t="inlineStr">
        <is>
          <t>MountainCruise1</t>
        </is>
      </c>
      <c r="E89" t="inlineStr">
        <is>
          <t>Recreation</t>
        </is>
      </c>
      <c r="F89" t="n">
        <v>1</v>
      </c>
      <c r="G89" t="n">
        <v>7000</v>
      </c>
      <c r="H89" t="n">
        <v>7000</v>
      </c>
    </row>
    <row r="90">
      <c r="A90" t="inlineStr">
        <is>
          <t>Health &amp; Fitness Magazines</t>
        </is>
      </c>
      <c r="B90" t="inlineStr">
        <is>
          <t>WeBike</t>
        </is>
      </c>
      <c r="C90" t="inlineStr">
        <is>
          <t>HikeBike 1</t>
        </is>
      </c>
      <c r="D90" t="inlineStr">
        <is>
          <t>Hike Bike</t>
        </is>
      </c>
      <c r="E90" t="inlineStr">
        <is>
          <t>Mountain</t>
        </is>
      </c>
      <c r="F90" t="n">
        <v>1</v>
      </c>
      <c r="G90" t="n">
        <v>7000</v>
      </c>
      <c r="H90" t="n">
        <v>7000</v>
      </c>
    </row>
    <row r="91">
      <c r="A91" t="inlineStr">
        <is>
          <t>Health &amp; Fitness Magazines</t>
        </is>
      </c>
      <c r="B91" t="inlineStr">
        <is>
          <t>Spoke'd Up</t>
        </is>
      </c>
      <c r="C91" t="inlineStr">
        <is>
          <t>Spoke'd Easy</t>
        </is>
      </c>
      <c r="D91" t="inlineStr">
        <is>
          <t>Spoke'd Easy</t>
        </is>
      </c>
      <c r="E91" t="inlineStr">
        <is>
          <t>Recreation</t>
        </is>
      </c>
      <c r="F91" t="n">
        <v>2</v>
      </c>
      <c r="G91" t="n">
        <v>7000</v>
      </c>
      <c r="H91" t="n">
        <v>14000</v>
      </c>
    </row>
    <row r="92">
      <c r="A92" t="inlineStr">
        <is>
          <t>Health &amp; Fitness Magazines</t>
        </is>
      </c>
      <c r="B92" t="inlineStr">
        <is>
          <t>SpaceBikes</t>
        </is>
      </c>
      <c r="C92" t="inlineStr">
        <is>
          <t>Mars Rover 1</t>
        </is>
      </c>
      <c r="D92" t="inlineStr">
        <is>
          <t>Mars Rover</t>
        </is>
      </c>
      <c r="E92" t="inlineStr">
        <is>
          <t>Recreation</t>
        </is>
      </c>
      <c r="F92" t="n">
        <v>3</v>
      </c>
      <c r="G92" t="n">
        <v>7000</v>
      </c>
      <c r="H92" t="n">
        <v>21000</v>
      </c>
    </row>
    <row r="93">
      <c r="A93" t="inlineStr">
        <is>
          <t>Health &amp; Fitness Magazines</t>
        </is>
      </c>
      <c r="B93" t="inlineStr">
        <is>
          <t>MILC Bikes</t>
        </is>
      </c>
      <c r="C93" t="inlineStr">
        <is>
          <t>Whole MILC MKII</t>
        </is>
      </c>
      <c r="D93" t="inlineStr">
        <is>
          <t>Whole MILC MKII</t>
        </is>
      </c>
      <c r="E93" t="inlineStr">
        <is>
          <t>Recreation</t>
        </is>
      </c>
      <c r="F93" t="n">
        <v>5</v>
      </c>
      <c r="G93" t="n">
        <v>7000</v>
      </c>
      <c r="H93" t="n">
        <v>35000</v>
      </c>
    </row>
    <row r="94">
      <c r="A94" t="inlineStr">
        <is>
          <t>Biking Magazines</t>
        </is>
      </c>
      <c r="B94" t="inlineStr">
        <is>
          <t>Bike Bros</t>
        </is>
      </c>
      <c r="C94" t="inlineStr">
        <is>
          <t>Excluspeedity</t>
        </is>
      </c>
      <c r="D94" t="inlineStr">
        <is>
          <t>MACH I.I</t>
        </is>
      </c>
      <c r="E94" t="inlineStr">
        <is>
          <t>Speed</t>
        </is>
      </c>
      <c r="F94" t="n">
        <v>1</v>
      </c>
      <c r="G94" t="n">
        <v>4500</v>
      </c>
      <c r="H94" t="n">
        <v>4500</v>
      </c>
    </row>
    <row r="95">
      <c r="A95" t="inlineStr">
        <is>
          <t>Biking Magazines</t>
        </is>
      </c>
      <c r="B95" t="inlineStr">
        <is>
          <t>Bike Bros</t>
        </is>
      </c>
      <c r="C95" t="inlineStr">
        <is>
          <t>TerraTech</t>
        </is>
      </c>
      <c r="D95" t="inlineStr">
        <is>
          <t>TERRAMAX</t>
        </is>
      </c>
      <c r="E95" t="inlineStr">
        <is>
          <t>Mountain</t>
        </is>
      </c>
      <c r="F95" t="n">
        <v>1</v>
      </c>
      <c r="G95" t="n">
        <v>4500</v>
      </c>
      <c r="H95" t="n">
        <v>4500</v>
      </c>
    </row>
    <row r="96">
      <c r="A96" t="inlineStr">
        <is>
          <t>Biking Magazines</t>
        </is>
      </c>
      <c r="B96" t="inlineStr">
        <is>
          <t>LiteCycle</t>
        </is>
      </c>
      <c r="C96" t="inlineStr">
        <is>
          <t>Speed of Lite 1</t>
        </is>
      </c>
      <c r="D96" t="inlineStr">
        <is>
          <t>LiteSpeed Pro+</t>
        </is>
      </c>
      <c r="E96" t="inlineStr">
        <is>
          <t>Speed</t>
        </is>
      </c>
      <c r="F96" t="n">
        <v>2</v>
      </c>
      <c r="G96" t="n">
        <v>4500</v>
      </c>
      <c r="H96" t="n">
        <v>9000</v>
      </c>
    </row>
    <row r="97">
      <c r="A97" t="inlineStr">
        <is>
          <t>Biking Magazines</t>
        </is>
      </c>
      <c r="B97" t="inlineStr">
        <is>
          <t>LiteCycle</t>
        </is>
      </c>
      <c r="C97" t="inlineStr">
        <is>
          <t>Speed of Lite 2</t>
        </is>
      </c>
      <c r="D97" t="inlineStr">
        <is>
          <t>LiteSpeed+</t>
        </is>
      </c>
      <c r="E97" t="inlineStr">
        <is>
          <t>Speed</t>
        </is>
      </c>
      <c r="F97" t="n">
        <v>2</v>
      </c>
      <c r="G97" t="n">
        <v>4500</v>
      </c>
      <c r="H97" t="n">
        <v>9000</v>
      </c>
    </row>
    <row r="98">
      <c r="A98" t="inlineStr">
        <is>
          <t>Biking Magazines</t>
        </is>
      </c>
      <c r="B98" t="inlineStr">
        <is>
          <t>LiteCycle</t>
        </is>
      </c>
      <c r="C98" t="inlineStr">
        <is>
          <t>Trail Blazing 1</t>
        </is>
      </c>
      <c r="D98" t="inlineStr">
        <is>
          <t>LiteTrail Pro</t>
        </is>
      </c>
      <c r="E98" t="inlineStr">
        <is>
          <t>Mountain</t>
        </is>
      </c>
      <c r="F98" t="n">
        <v>2</v>
      </c>
      <c r="G98" t="n">
        <v>4500</v>
      </c>
      <c r="H98" t="n">
        <v>9000</v>
      </c>
    </row>
    <row r="99">
      <c r="A99" t="inlineStr">
        <is>
          <t>Biking Magazines</t>
        </is>
      </c>
      <c r="B99" t="inlineStr">
        <is>
          <t>WeBike</t>
        </is>
      </c>
      <c r="C99" t="inlineStr">
        <is>
          <t>HikeBike 1</t>
        </is>
      </c>
      <c r="D99" t="inlineStr">
        <is>
          <t>Hike Bike</t>
        </is>
      </c>
      <c r="E99" t="inlineStr">
        <is>
          <t>Mountain</t>
        </is>
      </c>
      <c r="F99" t="n">
        <v>6</v>
      </c>
      <c r="G99" t="n">
        <v>4500</v>
      </c>
      <c r="H99" t="n">
        <v>27000</v>
      </c>
    </row>
    <row r="100">
      <c r="A100" t="inlineStr">
        <is>
          <t>Biking Magazines</t>
        </is>
      </c>
      <c r="B100" t="inlineStr">
        <is>
          <t>WeBike</t>
        </is>
      </c>
      <c r="C100" t="inlineStr">
        <is>
          <t>Swift Bike</t>
        </is>
      </c>
      <c r="D100" t="inlineStr">
        <is>
          <t>Swift Bike</t>
        </is>
      </c>
      <c r="E100" t="inlineStr">
        <is>
          <t>Speed</t>
        </is>
      </c>
      <c r="F100" t="n">
        <v>4</v>
      </c>
      <c r="G100" t="n">
        <v>4500</v>
      </c>
      <c r="H100" t="n">
        <v>18000</v>
      </c>
    </row>
    <row r="101">
      <c r="A101" t="inlineStr">
        <is>
          <t>Biking Magazines</t>
        </is>
      </c>
      <c r="B101" t="inlineStr">
        <is>
          <t>BB LLC</t>
        </is>
      </c>
      <c r="C101" t="inlineStr">
        <is>
          <t>BB Big Momma</t>
        </is>
      </c>
      <c r="D101" t="inlineStr">
        <is>
          <t>Blu Ruged Ballz</t>
        </is>
      </c>
      <c r="E101" t="inlineStr">
        <is>
          <t>Mountain</t>
        </is>
      </c>
      <c r="F101" t="n">
        <v>12</v>
      </c>
      <c r="G101" t="n">
        <v>4500</v>
      </c>
      <c r="H101" t="n">
        <v>54000</v>
      </c>
    </row>
    <row r="102">
      <c r="A102" t="inlineStr">
        <is>
          <t>Biking Magazines</t>
        </is>
      </c>
      <c r="B102" t="inlineStr">
        <is>
          <t>BB LLC</t>
        </is>
      </c>
      <c r="C102" t="inlineStr">
        <is>
          <t>Unleash lil pap</t>
        </is>
      </c>
      <c r="D102" t="inlineStr">
        <is>
          <t>Blu Tube Ballz</t>
        </is>
      </c>
      <c r="E102" t="inlineStr">
        <is>
          <t>Speed</t>
        </is>
      </c>
      <c r="F102" t="n">
        <v>12</v>
      </c>
      <c r="G102" t="n">
        <v>4500</v>
      </c>
      <c r="H102" t="n">
        <v>54000</v>
      </c>
    </row>
    <row r="103">
      <c r="A103" t="inlineStr">
        <is>
          <t>Biking Magazines</t>
        </is>
      </c>
      <c r="B103" t="inlineStr">
        <is>
          <t>Spoke'd Up</t>
        </is>
      </c>
      <c r="C103" t="inlineStr">
        <is>
          <t>Spoke'd Easy</t>
        </is>
      </c>
      <c r="D103" t="inlineStr">
        <is>
          <t>Spoke'd Easy</t>
        </is>
      </c>
      <c r="E103" t="inlineStr">
        <is>
          <t>Recreation</t>
        </is>
      </c>
      <c r="F103" t="n">
        <v>1</v>
      </c>
      <c r="G103" t="n">
        <v>4500</v>
      </c>
      <c r="H103" t="n">
        <v>4500</v>
      </c>
    </row>
    <row r="104">
      <c r="A104" t="inlineStr">
        <is>
          <t>Biking Magazines</t>
        </is>
      </c>
      <c r="B104" t="inlineStr">
        <is>
          <t>Spoke'd Up</t>
        </is>
      </c>
      <c r="C104" t="inlineStr">
        <is>
          <t>Spoke'd Speed</t>
        </is>
      </c>
      <c r="D104" t="inlineStr">
        <is>
          <t>Spoke'd Speed</t>
        </is>
      </c>
      <c r="E104" t="inlineStr">
        <is>
          <t>Speed</t>
        </is>
      </c>
      <c r="F104" t="n">
        <v>1</v>
      </c>
      <c r="G104" t="n">
        <v>4500</v>
      </c>
      <c r="H104" t="n">
        <v>4500</v>
      </c>
    </row>
    <row r="105">
      <c r="A105" t="inlineStr">
        <is>
          <t>Biking Magazines</t>
        </is>
      </c>
      <c r="B105" t="inlineStr">
        <is>
          <t>SpaceBikes</t>
        </is>
      </c>
      <c r="C105" t="inlineStr">
        <is>
          <t>The Armstrong 1</t>
        </is>
      </c>
      <c r="D105" t="inlineStr">
        <is>
          <t>The Armstrong</t>
        </is>
      </c>
      <c r="E105" t="inlineStr">
        <is>
          <t>Speed</t>
        </is>
      </c>
      <c r="F105" t="n">
        <v>2</v>
      </c>
      <c r="G105" t="n">
        <v>4500</v>
      </c>
      <c r="H105" t="n">
        <v>9000</v>
      </c>
    </row>
    <row r="106">
      <c r="A106" t="inlineStr">
        <is>
          <t>Biking Magazines</t>
        </is>
      </c>
      <c r="B106" t="inlineStr">
        <is>
          <t>MILC Bikes</t>
        </is>
      </c>
      <c r="C106" t="inlineStr">
        <is>
          <t>Skim MILC MKII</t>
        </is>
      </c>
      <c r="D106" t="inlineStr">
        <is>
          <t>Skim MILC MKII</t>
        </is>
      </c>
      <c r="E106" t="inlineStr">
        <is>
          <t>Speed</t>
        </is>
      </c>
      <c r="F106" t="n">
        <v>5</v>
      </c>
      <c r="G106" t="n">
        <v>4500</v>
      </c>
      <c r="H106" t="n">
        <v>22500</v>
      </c>
    </row>
    <row r="107">
      <c r="A107" t="inlineStr">
        <is>
          <t>Sport Magazines</t>
        </is>
      </c>
      <c r="B107" t="inlineStr">
        <is>
          <t>Bike Bros</t>
        </is>
      </c>
      <c r="C107" t="inlineStr">
        <is>
          <t>Mountainability</t>
        </is>
      </c>
      <c r="D107" t="inlineStr">
        <is>
          <t>TERRAMAX</t>
        </is>
      </c>
      <c r="E107" t="inlineStr">
        <is>
          <t>Mountain</t>
        </is>
      </c>
      <c r="F107" t="n">
        <v>1</v>
      </c>
      <c r="G107" t="n">
        <v>10000</v>
      </c>
      <c r="H107" t="n">
        <v>10000</v>
      </c>
    </row>
    <row r="108">
      <c r="A108" t="inlineStr">
        <is>
          <t>Sport Magazines</t>
        </is>
      </c>
      <c r="B108" t="inlineStr">
        <is>
          <t>Bike Bros</t>
        </is>
      </c>
      <c r="C108" t="inlineStr">
        <is>
          <t>AndStill</t>
        </is>
      </c>
      <c r="D108" t="inlineStr">
        <is>
          <t>MACH I.I</t>
        </is>
      </c>
      <c r="E108" t="inlineStr">
        <is>
          <t>Speed</t>
        </is>
      </c>
      <c r="F108" t="n">
        <v>1</v>
      </c>
      <c r="G108" t="n">
        <v>10000</v>
      </c>
      <c r="H108" t="n">
        <v>10000</v>
      </c>
    </row>
    <row r="109">
      <c r="A109" t="inlineStr">
        <is>
          <t>Sport Magazines</t>
        </is>
      </c>
      <c r="B109" t="inlineStr">
        <is>
          <t>LiteCycle</t>
        </is>
      </c>
      <c r="C109" t="inlineStr">
        <is>
          <t>Trail Blazing 1</t>
        </is>
      </c>
      <c r="D109" t="inlineStr">
        <is>
          <t>LiteTrail Pro</t>
        </is>
      </c>
      <c r="E109" t="inlineStr">
        <is>
          <t>Mountain</t>
        </is>
      </c>
      <c r="F109" t="n">
        <v>1</v>
      </c>
      <c r="G109" t="n">
        <v>10000</v>
      </c>
      <c r="H109" t="n">
        <v>10000</v>
      </c>
    </row>
    <row r="110">
      <c r="A110" t="inlineStr">
        <is>
          <t>Sport Magazines</t>
        </is>
      </c>
      <c r="B110" t="inlineStr">
        <is>
          <t>WeBike</t>
        </is>
      </c>
      <c r="C110" t="inlineStr">
        <is>
          <t>HikeBike 1</t>
        </is>
      </c>
      <c r="D110" t="inlineStr">
        <is>
          <t>Hike Bike</t>
        </is>
      </c>
      <c r="E110" t="inlineStr">
        <is>
          <t>Mountain</t>
        </is>
      </c>
      <c r="F110" t="n">
        <v>2</v>
      </c>
      <c r="G110" t="n">
        <v>10000</v>
      </c>
      <c r="H110" t="n">
        <v>20000</v>
      </c>
    </row>
    <row r="111">
      <c r="A111" t="inlineStr">
        <is>
          <t>Sport Magazines</t>
        </is>
      </c>
      <c r="B111" t="inlineStr">
        <is>
          <t>WeBike</t>
        </is>
      </c>
      <c r="C111" t="inlineStr">
        <is>
          <t>Swift Bike</t>
        </is>
      </c>
      <c r="D111" t="inlineStr">
        <is>
          <t>Swift Bike</t>
        </is>
      </c>
      <c r="E111" t="inlineStr">
        <is>
          <t>Speed</t>
        </is>
      </c>
      <c r="F111" t="n">
        <v>1</v>
      </c>
      <c r="G111" t="n">
        <v>10000</v>
      </c>
      <c r="H111" t="n">
        <v>10000</v>
      </c>
    </row>
    <row r="112">
      <c r="A112" t="inlineStr">
        <is>
          <t>Sport Magazines</t>
        </is>
      </c>
      <c r="B112" t="inlineStr">
        <is>
          <t>Spoke'd Up</t>
        </is>
      </c>
      <c r="C112" t="inlineStr">
        <is>
          <t>Spoke'd Speed</t>
        </is>
      </c>
      <c r="D112" t="inlineStr">
        <is>
          <t>Spoke'd Speed</t>
        </is>
      </c>
      <c r="E112" t="inlineStr">
        <is>
          <t>Speed</t>
        </is>
      </c>
      <c r="F112" t="n">
        <v>2</v>
      </c>
      <c r="G112" t="n">
        <v>10000</v>
      </c>
      <c r="H112" t="n">
        <v>20000</v>
      </c>
    </row>
    <row r="113">
      <c r="A113" t="inlineStr">
        <is>
          <t>Sport Magazines</t>
        </is>
      </c>
      <c r="B113" t="inlineStr">
        <is>
          <t>SpaceBikes</t>
        </is>
      </c>
      <c r="C113" t="inlineStr">
        <is>
          <t>The Armstrong 1</t>
        </is>
      </c>
      <c r="D113" t="inlineStr">
        <is>
          <t>The Armstrong</t>
        </is>
      </c>
      <c r="E113" t="inlineStr">
        <is>
          <t>Speed</t>
        </is>
      </c>
      <c r="F113" t="n">
        <v>2</v>
      </c>
      <c r="G113" t="n">
        <v>10000</v>
      </c>
      <c r="H113" t="n">
        <v>20000</v>
      </c>
    </row>
    <row r="114">
      <c r="A114" t="inlineStr">
        <is>
          <t>Business Magazines</t>
        </is>
      </c>
      <c r="B114" t="inlineStr">
        <is>
          <t>Bike Bros</t>
        </is>
      </c>
      <c r="C114" t="inlineStr">
        <is>
          <t>Excluspeedity</t>
        </is>
      </c>
      <c r="D114" t="inlineStr">
        <is>
          <t>MACH I.I</t>
        </is>
      </c>
      <c r="E114" t="inlineStr">
        <is>
          <t>Speed</t>
        </is>
      </c>
      <c r="F114" t="n">
        <v>1</v>
      </c>
      <c r="G114" t="n">
        <v>9500</v>
      </c>
      <c r="H114" t="n">
        <v>9500</v>
      </c>
    </row>
    <row r="115">
      <c r="A115" t="inlineStr">
        <is>
          <t>Business Magazines</t>
        </is>
      </c>
      <c r="B115" t="inlineStr">
        <is>
          <t>LiteCycle</t>
        </is>
      </c>
      <c r="C115" t="inlineStr">
        <is>
          <t>Speed of Lite 1</t>
        </is>
      </c>
      <c r="D115" t="inlineStr">
        <is>
          <t>LiteSpeed Pro+</t>
        </is>
      </c>
      <c r="E115" t="inlineStr">
        <is>
          <t>Speed</t>
        </is>
      </c>
      <c r="F115" t="n">
        <v>1</v>
      </c>
      <c r="G115" t="n">
        <v>9500</v>
      </c>
      <c r="H115" t="n">
        <v>9500</v>
      </c>
    </row>
    <row r="116">
      <c r="A116" t="inlineStr">
        <is>
          <t>Business Magazines</t>
        </is>
      </c>
      <c r="B116" t="inlineStr">
        <is>
          <t>LiteCycle</t>
        </is>
      </c>
      <c r="C116" t="inlineStr">
        <is>
          <t>Speed of Lite 2</t>
        </is>
      </c>
      <c r="D116" t="inlineStr">
        <is>
          <t>LiteSpeed+</t>
        </is>
      </c>
      <c r="E116" t="inlineStr">
        <is>
          <t>Speed</t>
        </is>
      </c>
      <c r="F116" t="n">
        <v>1</v>
      </c>
      <c r="G116" t="n">
        <v>9500</v>
      </c>
      <c r="H116" t="n">
        <v>9500</v>
      </c>
    </row>
    <row r="117">
      <c r="A117" t="inlineStr">
        <is>
          <t>Business Magazines</t>
        </is>
      </c>
      <c r="B117" t="inlineStr">
        <is>
          <t>WeBike</t>
        </is>
      </c>
      <c r="C117" t="inlineStr">
        <is>
          <t>Swift Bike</t>
        </is>
      </c>
      <c r="D117" t="inlineStr">
        <is>
          <t>Swift Bike</t>
        </is>
      </c>
      <c r="E117" t="inlineStr">
        <is>
          <t>Speed</t>
        </is>
      </c>
      <c r="F117" t="n">
        <v>1</v>
      </c>
      <c r="G117" t="n">
        <v>9500</v>
      </c>
      <c r="H117" t="n">
        <v>9500</v>
      </c>
    </row>
    <row r="118">
      <c r="A118" t="inlineStr">
        <is>
          <t>Business Magazines</t>
        </is>
      </c>
      <c r="B118" t="inlineStr">
        <is>
          <t>Spoke'd Up</t>
        </is>
      </c>
      <c r="C118" t="inlineStr">
        <is>
          <t>Spoke'd Speed</t>
        </is>
      </c>
      <c r="D118" t="inlineStr">
        <is>
          <t>Spoke'd Speed</t>
        </is>
      </c>
      <c r="E118" t="inlineStr">
        <is>
          <t>Speed</t>
        </is>
      </c>
      <c r="F118" t="n">
        <v>1</v>
      </c>
      <c r="G118" t="n">
        <v>9500</v>
      </c>
      <c r="H118" t="n">
        <v>9500</v>
      </c>
    </row>
    <row r="119">
      <c r="A119" t="inlineStr">
        <is>
          <t>Business Magazines</t>
        </is>
      </c>
      <c r="B119" t="inlineStr">
        <is>
          <t>SpaceBikes</t>
        </is>
      </c>
      <c r="C119" t="inlineStr">
        <is>
          <t>The Armstrong 1</t>
        </is>
      </c>
      <c r="D119" t="inlineStr">
        <is>
          <t>The Armstrong</t>
        </is>
      </c>
      <c r="E119" t="inlineStr">
        <is>
          <t>Speed</t>
        </is>
      </c>
      <c r="F119" t="n">
        <v>2</v>
      </c>
      <c r="G119" t="n">
        <v>9500</v>
      </c>
      <c r="H119" t="n">
        <v>19000</v>
      </c>
    </row>
    <row r="120">
      <c r="A120" t="inlineStr">
        <is>
          <t>New Venture Magazines</t>
        </is>
      </c>
      <c r="B120" t="inlineStr">
        <is>
          <t>Bike Bros</t>
        </is>
      </c>
      <c r="C120" t="inlineStr">
        <is>
          <t>AndStill</t>
        </is>
      </c>
      <c r="D120" t="inlineStr">
        <is>
          <t>MACH I.I</t>
        </is>
      </c>
      <c r="E120" t="inlineStr">
        <is>
          <t>Speed</t>
        </is>
      </c>
      <c r="F120" t="n">
        <v>1</v>
      </c>
      <c r="G120" t="n">
        <v>5500</v>
      </c>
      <c r="H120" t="n">
        <v>5500</v>
      </c>
    </row>
    <row r="121">
      <c r="A121" t="inlineStr">
        <is>
          <t>New Venture Magazines</t>
        </is>
      </c>
      <c r="B121" t="inlineStr">
        <is>
          <t>LiteCycle</t>
        </is>
      </c>
      <c r="C121" t="inlineStr">
        <is>
          <t>Speed of Lite 1</t>
        </is>
      </c>
      <c r="D121" t="inlineStr">
        <is>
          <t>LiteSpeed Pro+</t>
        </is>
      </c>
      <c r="E121" t="inlineStr">
        <is>
          <t>Speed</t>
        </is>
      </c>
      <c r="F121" t="n">
        <v>1</v>
      </c>
      <c r="G121" t="n">
        <v>5500</v>
      </c>
      <c r="H121" t="n">
        <v>5500</v>
      </c>
    </row>
    <row r="122">
      <c r="A122" t="inlineStr">
        <is>
          <t>New Venture Magazines</t>
        </is>
      </c>
      <c r="B122" t="inlineStr">
        <is>
          <t>LiteCycle</t>
        </is>
      </c>
      <c r="C122" t="inlineStr">
        <is>
          <t>Speed of Lite 2</t>
        </is>
      </c>
      <c r="D122" t="inlineStr">
        <is>
          <t>LiteSpeed+</t>
        </is>
      </c>
      <c r="E122" t="inlineStr">
        <is>
          <t>Speed</t>
        </is>
      </c>
      <c r="F122" t="n">
        <v>1</v>
      </c>
      <c r="G122" t="n">
        <v>5500</v>
      </c>
      <c r="H122" t="n">
        <v>5500</v>
      </c>
    </row>
    <row r="123">
      <c r="A123" t="inlineStr">
        <is>
          <t>New Venture Magazines</t>
        </is>
      </c>
      <c r="B123" t="inlineStr">
        <is>
          <t>WeBike</t>
        </is>
      </c>
      <c r="C123" t="inlineStr">
        <is>
          <t>HikeBike 1</t>
        </is>
      </c>
      <c r="D123" t="inlineStr">
        <is>
          <t>Hike Bike</t>
        </is>
      </c>
      <c r="E123" t="inlineStr">
        <is>
          <t>Mountain</t>
        </is>
      </c>
      <c r="F123" t="n">
        <v>1</v>
      </c>
      <c r="G123" t="n">
        <v>5500</v>
      </c>
      <c r="H123" t="n">
        <v>5500</v>
      </c>
    </row>
    <row r="124">
      <c r="A124" t="inlineStr">
        <is>
          <t>New Venture Magazines</t>
        </is>
      </c>
      <c r="B124" t="inlineStr">
        <is>
          <t>WeBike</t>
        </is>
      </c>
      <c r="C124" t="inlineStr">
        <is>
          <t>Swift Bike</t>
        </is>
      </c>
      <c r="D124" t="inlineStr">
        <is>
          <t>Swift Bike</t>
        </is>
      </c>
      <c r="E124" t="inlineStr">
        <is>
          <t>Speed</t>
        </is>
      </c>
      <c r="F124" t="n">
        <v>2</v>
      </c>
      <c r="G124" t="n">
        <v>5500</v>
      </c>
      <c r="H124" t="n">
        <v>11000</v>
      </c>
    </row>
    <row r="125">
      <c r="A125" t="inlineStr">
        <is>
          <t>New Venture Magazines</t>
        </is>
      </c>
      <c r="B125" t="inlineStr">
        <is>
          <t>Spoke'd Up</t>
        </is>
      </c>
      <c r="C125" t="inlineStr">
        <is>
          <t>Spoke'd Speed</t>
        </is>
      </c>
      <c r="D125" t="inlineStr">
        <is>
          <t>Spoke'd Speed</t>
        </is>
      </c>
      <c r="E125" t="inlineStr">
        <is>
          <t>Speed</t>
        </is>
      </c>
      <c r="F125" t="n">
        <v>1</v>
      </c>
      <c r="G125" t="n">
        <v>5500</v>
      </c>
      <c r="H125" t="n">
        <v>5500</v>
      </c>
    </row>
    <row r="126">
      <c r="A126" t="inlineStr">
        <is>
          <t>New Venture Magazines</t>
        </is>
      </c>
      <c r="B126" t="inlineStr">
        <is>
          <t>SpaceBikes</t>
        </is>
      </c>
      <c r="C126" t="inlineStr">
        <is>
          <t>The Armstrong 1</t>
        </is>
      </c>
      <c r="D126" t="inlineStr">
        <is>
          <t>The Armstrong</t>
        </is>
      </c>
      <c r="E126" t="inlineStr">
        <is>
          <t>Speed</t>
        </is>
      </c>
      <c r="F126" t="n">
        <v>2</v>
      </c>
      <c r="G126" t="n">
        <v>5500</v>
      </c>
      <c r="H126" t="n">
        <v>11000</v>
      </c>
    </row>
    <row r="127">
      <c r="A127" t="inlineStr">
        <is>
          <t>New Venture Magazines</t>
        </is>
      </c>
      <c r="B127" t="inlineStr">
        <is>
          <t>MILC Bikes</t>
        </is>
      </c>
      <c r="C127" t="inlineStr">
        <is>
          <t>Skim MILC MKII</t>
        </is>
      </c>
      <c r="D127" t="inlineStr">
        <is>
          <t>Skim MILC MKII</t>
        </is>
      </c>
      <c r="E127" t="inlineStr">
        <is>
          <t>Speed</t>
        </is>
      </c>
      <c r="F127" t="n">
        <v>1</v>
      </c>
      <c r="G127" t="n">
        <v>5500</v>
      </c>
      <c r="H127" t="n">
        <v>5500</v>
      </c>
    </row>
    <row r="128">
      <c r="A128" t="inlineStr">
        <is>
          <t>New Venture Magazines</t>
        </is>
      </c>
      <c r="B128" t="inlineStr">
        <is>
          <t>MILC Bikes</t>
        </is>
      </c>
      <c r="C128" t="inlineStr">
        <is>
          <t>Whole MILC MKII</t>
        </is>
      </c>
      <c r="D128" t="inlineStr">
        <is>
          <t>Whole MILC MKII</t>
        </is>
      </c>
      <c r="E128" t="inlineStr">
        <is>
          <t>Recreation</t>
        </is>
      </c>
      <c r="F128" t="n">
        <v>1</v>
      </c>
      <c r="G128" t="n">
        <v>5500</v>
      </c>
      <c r="H128" t="n">
        <v>5500</v>
      </c>
    </row>
    <row r="129">
      <c r="A129" t="inlineStr">
        <is>
          <t>General News Magazines</t>
        </is>
      </c>
      <c r="B129" t="inlineStr">
        <is>
          <t>Bike Bros</t>
        </is>
      </c>
      <c r="C129" t="inlineStr">
        <is>
          <t>Mountainability</t>
        </is>
      </c>
      <c r="D129" t="inlineStr">
        <is>
          <t>TERRAMAX</t>
        </is>
      </c>
      <c r="E129" t="inlineStr">
        <is>
          <t>Mountain</t>
        </is>
      </c>
      <c r="F129" t="n">
        <v>1</v>
      </c>
      <c r="G129" t="n">
        <v>8000</v>
      </c>
      <c r="H129" t="n">
        <v>8000</v>
      </c>
    </row>
    <row r="130">
      <c r="A130" t="inlineStr">
        <is>
          <t>General News Magazines</t>
        </is>
      </c>
      <c r="B130" t="inlineStr">
        <is>
          <t>LiteCycle</t>
        </is>
      </c>
      <c r="C130" t="inlineStr">
        <is>
          <t>Speed of Lite 1</t>
        </is>
      </c>
      <c r="D130" t="inlineStr">
        <is>
          <t>LiteSpeed Pro+</t>
        </is>
      </c>
      <c r="E130" t="inlineStr">
        <is>
          <t>Speed</t>
        </is>
      </c>
      <c r="F130" t="n">
        <v>1</v>
      </c>
      <c r="G130" t="n">
        <v>8000</v>
      </c>
      <c r="H130" t="n">
        <v>8000</v>
      </c>
    </row>
    <row r="131">
      <c r="A131" t="inlineStr">
        <is>
          <t>General News Magazines</t>
        </is>
      </c>
      <c r="B131" t="inlineStr">
        <is>
          <t>WeBike</t>
        </is>
      </c>
      <c r="C131" t="inlineStr">
        <is>
          <t>HikeBike 1</t>
        </is>
      </c>
      <c r="D131" t="inlineStr">
        <is>
          <t>Hike Bike</t>
        </is>
      </c>
      <c r="E131" t="inlineStr">
        <is>
          <t>Mountain</t>
        </is>
      </c>
      <c r="F131" t="n">
        <v>1</v>
      </c>
      <c r="G131" t="n">
        <v>8000</v>
      </c>
      <c r="H131" t="n">
        <v>8000</v>
      </c>
    </row>
    <row r="132">
      <c r="A132" t="inlineStr">
        <is>
          <t>General News Magazines</t>
        </is>
      </c>
      <c r="B132" t="inlineStr">
        <is>
          <t>Spoke'd Up</t>
        </is>
      </c>
      <c r="C132" t="inlineStr">
        <is>
          <t>Spoke'd Easy</t>
        </is>
      </c>
      <c r="D132" t="inlineStr">
        <is>
          <t>Spoke'd Easy</t>
        </is>
      </c>
      <c r="E132" t="inlineStr">
        <is>
          <t>Recreation</t>
        </is>
      </c>
      <c r="F132" t="n">
        <v>1</v>
      </c>
      <c r="G132" t="n">
        <v>8000</v>
      </c>
      <c r="H132" t="n">
        <v>8000</v>
      </c>
    </row>
    <row r="133">
      <c r="A133" t="inlineStr">
        <is>
          <t>General News Magazines</t>
        </is>
      </c>
      <c r="B133" t="inlineStr">
        <is>
          <t>SpaceBikes</t>
        </is>
      </c>
      <c r="C133" t="inlineStr">
        <is>
          <t>The Armstrong 1</t>
        </is>
      </c>
      <c r="D133" t="inlineStr">
        <is>
          <t>The Armstrong</t>
        </is>
      </c>
      <c r="E133" t="inlineStr">
        <is>
          <t>Speed</t>
        </is>
      </c>
      <c r="F133" t="n">
        <v>2</v>
      </c>
      <c r="G133" t="n">
        <v>8000</v>
      </c>
      <c r="H133" t="n">
        <v>16000</v>
      </c>
    </row>
    <row r="134">
      <c r="A134" t="inlineStr">
        <is>
          <t>General News Magazines</t>
        </is>
      </c>
      <c r="B134" t="inlineStr">
        <is>
          <t>SpaceBikes</t>
        </is>
      </c>
      <c r="C134" t="inlineStr">
        <is>
          <t>Mars Rover 1</t>
        </is>
      </c>
      <c r="D134" t="inlineStr">
        <is>
          <t>Mars Rover</t>
        </is>
      </c>
      <c r="E134" t="inlineStr">
        <is>
          <t>Recreation</t>
        </is>
      </c>
      <c r="F134" t="n">
        <v>2</v>
      </c>
      <c r="G134" t="n">
        <v>8000</v>
      </c>
      <c r="H134" t="n">
        <v>16000</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90"/>
  <sheetViews>
    <sheetView workbookViewId="0">
      <selection activeCell="A1" sqref="A1"/>
    </sheetView>
  </sheetViews>
  <sheetFormatPr baseColWidth="8" defaultRowHeight="15"/>
  <cols>
    <col width="52" customWidth="1" style="146" min="1" max="1"/>
    <col width="18" customWidth="1" style="146" min="2" max="2"/>
    <col width="38" customWidth="1" style="146" min="3" max="3"/>
    <col width="22" customWidth="1" style="146" min="4" max="4"/>
    <col width="16" customWidth="1" style="146" min="5" max="5"/>
    <col width="14" customWidth="1" style="146" min="6" max="6"/>
    <col width="14" customWidth="1" style="146" min="7" max="7"/>
    <col width="14" customWidth="1" style="146" min="8" max="8"/>
    <col width="14" customWidth="1" style="146" min="9" max="9"/>
    <col width="14" customWidth="1" style="146" min="10" max="10"/>
  </cols>
  <sheetData>
    <row r="1">
      <c r="A1" s="169" t="inlineStr">
        <is>
          <t>Competitor Compensation — Q3 actual (exact from Workspace)</t>
        </is>
      </c>
    </row>
    <row r="2" ht="64" customHeight="1" s="146">
      <c r="A2" s="170" t="inlineStr">
        <is>
          <t>Among the 7 carbon firms WeBike is 6th of 7 on sales pay (only Bike Bros cheaper) and tied 5th/6th on production. The published metal+carbon average is easier to beat because it includes cheaper metal firms. Sales mix is the error: salary $19k is 6th of 7 while Full coverage makes health 2nd-highest. BB LLC (Expanded, 2 wk, 4%) scores 78.4% at $27,402; MILC (Full, 1 wk, 1%) scores 70.0% at $27,630. Importance still Salary 87 / Health 84 / Vacation 72 / Pension 70. Packages OPEN — not locked.</t>
        </is>
      </c>
    </row>
    <row r="4">
      <c r="A4" s="165" t="inlineStr">
        <is>
          <t>SALES FORCE — sorted by total cost (high to low)</t>
        </is>
      </c>
    </row>
    <row r="5">
      <c r="A5" s="199" t="inlineStr">
        <is>
          <t>Company</t>
        </is>
      </c>
      <c r="B5" s="199" t="inlineStr">
        <is>
          <t>Satisfaction</t>
        </is>
      </c>
      <c r="C5" s="199" t="inlineStr">
        <is>
          <t>Salary</t>
        </is>
      </c>
      <c r="D5" s="199" t="inlineStr">
        <is>
          <t>Health tier</t>
        </is>
      </c>
      <c r="E5" s="199" t="inlineStr">
        <is>
          <t>Health $</t>
        </is>
      </c>
      <c r="F5" s="199" t="inlineStr">
        <is>
          <t>Vacation weeks</t>
        </is>
      </c>
      <c r="G5" s="199" t="inlineStr">
        <is>
          <t>Vacation $</t>
        </is>
      </c>
      <c r="H5" s="199" t="inlineStr">
        <is>
          <t>Pension %</t>
        </is>
      </c>
      <c r="I5" s="199" t="inlineStr">
        <is>
          <t>Pension $</t>
        </is>
      </c>
      <c r="J5" s="199" t="inlineStr">
        <is>
          <t>Total yearly cost</t>
        </is>
      </c>
    </row>
    <row r="6">
      <c r="A6" s="200" t="inlineStr">
        <is>
          <t>MILC Bikes</t>
        </is>
      </c>
      <c r="B6" s="228" t="n">
        <v>0.7</v>
      </c>
      <c r="C6" s="220" t="n">
        <v>22000</v>
      </c>
      <c r="D6" s="200" t="inlineStr">
        <is>
          <t>Full coverage</t>
        </is>
      </c>
      <c r="E6" s="220" t="n">
        <v>4840</v>
      </c>
      <c r="F6" s="200" t="n">
        <v>1</v>
      </c>
      <c r="G6" s="220" t="n">
        <v>570</v>
      </c>
      <c r="H6" s="242" t="n">
        <v>0.01</v>
      </c>
      <c r="I6" s="220" t="n">
        <v>220</v>
      </c>
      <c r="J6" s="220" t="n">
        <v>27630</v>
      </c>
    </row>
    <row r="7">
      <c r="A7" s="206" t="inlineStr">
        <is>
          <t>BB LLC</t>
        </is>
      </c>
      <c r="B7" s="243" t="n">
        <v>0.784</v>
      </c>
      <c r="C7" s="244" t="n">
        <v>22000</v>
      </c>
      <c r="D7" s="206" t="inlineStr">
        <is>
          <t>Expanded coverage</t>
        </is>
      </c>
      <c r="E7" s="244" t="n">
        <v>3300</v>
      </c>
      <c r="F7" s="206" t="n">
        <v>2</v>
      </c>
      <c r="G7" s="244" t="n">
        <v>1222</v>
      </c>
      <c r="H7" s="245" t="n">
        <v>0.04</v>
      </c>
      <c r="I7" s="244" t="n">
        <v>880</v>
      </c>
      <c r="J7" s="244" t="n">
        <v>27402</v>
      </c>
    </row>
    <row r="8">
      <c r="A8" s="200" t="inlineStr">
        <is>
          <t>LiteCycle</t>
        </is>
      </c>
      <c r="B8" s="228" t="n">
        <v>0.728</v>
      </c>
      <c r="C8" s="220" t="n">
        <v>21000</v>
      </c>
      <c r="D8" s="200" t="inlineStr">
        <is>
          <t>Expanded coverage</t>
        </is>
      </c>
      <c r="E8" s="220" t="n">
        <v>3150</v>
      </c>
      <c r="F8" s="200" t="n">
        <v>2</v>
      </c>
      <c r="G8" s="220" t="n">
        <v>1166</v>
      </c>
      <c r="H8" s="242" t="n">
        <v>0.02</v>
      </c>
      <c r="I8" s="220" t="n">
        <v>420</v>
      </c>
      <c r="J8" s="220" t="n">
        <v>25736</v>
      </c>
    </row>
    <row r="9">
      <c r="A9" s="200" t="inlineStr">
        <is>
          <t>SpaceBikes</t>
        </is>
      </c>
      <c r="B9" s="228" t="n">
        <v>0.736</v>
      </c>
      <c r="C9" s="220" t="n">
        <v>20000</v>
      </c>
      <c r="D9" s="200" t="inlineStr">
        <is>
          <t>Expanded coverage</t>
        </is>
      </c>
      <c r="E9" s="220" t="n">
        <v>3000</v>
      </c>
      <c r="F9" s="200" t="n">
        <v>2</v>
      </c>
      <c r="G9" s="220" t="n">
        <v>1111</v>
      </c>
      <c r="H9" s="242" t="n">
        <v>0.03</v>
      </c>
      <c r="I9" s="220" t="n">
        <v>600</v>
      </c>
      <c r="J9" s="220" t="n">
        <v>24711</v>
      </c>
    </row>
    <row r="10">
      <c r="A10" s="200" t="inlineStr">
        <is>
          <t>Spoke'd Up</t>
        </is>
      </c>
      <c r="B10" s="228" t="n">
        <v>0.714</v>
      </c>
      <c r="C10" s="220" t="n">
        <v>20000</v>
      </c>
      <c r="D10" s="200" t="inlineStr">
        <is>
          <t>Expanded coverage</t>
        </is>
      </c>
      <c r="E10" s="220" t="n">
        <v>3000</v>
      </c>
      <c r="F10" s="200" t="n">
        <v>2</v>
      </c>
      <c r="G10" s="220" t="n">
        <v>1111</v>
      </c>
      <c r="H10" s="242" t="n">
        <v>0.02</v>
      </c>
      <c r="I10" s="220" t="n">
        <v>400</v>
      </c>
      <c r="J10" s="220" t="n">
        <v>24511</v>
      </c>
    </row>
    <row r="11">
      <c r="A11" s="209" t="inlineStr">
        <is>
          <t>WeBike</t>
        </is>
      </c>
      <c r="B11" s="246" t="n">
        <v>0.703</v>
      </c>
      <c r="C11" s="221" t="n">
        <v>19000</v>
      </c>
      <c r="D11" s="209" t="inlineStr">
        <is>
          <t>Full coverage</t>
        </is>
      </c>
      <c r="E11" s="221" t="n">
        <v>4180</v>
      </c>
      <c r="F11" s="209" t="n">
        <v>2</v>
      </c>
      <c r="G11" s="221" t="n">
        <v>1055</v>
      </c>
      <c r="H11" s="247" t="n">
        <v>0.01</v>
      </c>
      <c r="I11" s="221" t="n">
        <v>190</v>
      </c>
      <c r="J11" s="221" t="n">
        <v>24425</v>
      </c>
    </row>
    <row r="12">
      <c r="A12" s="200" t="inlineStr">
        <is>
          <t>Bike Bros</t>
        </is>
      </c>
      <c r="B12" s="228" t="n">
        <v>0.6850000000000001</v>
      </c>
      <c r="C12" s="220" t="n">
        <v>18000</v>
      </c>
      <c r="D12" s="200" t="inlineStr">
        <is>
          <t>Expanded coverage</t>
        </is>
      </c>
      <c r="E12" s="220" t="n">
        <v>2700</v>
      </c>
      <c r="F12" s="200" t="n">
        <v>2</v>
      </c>
      <c r="G12" s="220" t="n">
        <v>1000</v>
      </c>
      <c r="H12" s="242" t="n">
        <v>0.02</v>
      </c>
      <c r="I12" s="220" t="n">
        <v>360</v>
      </c>
      <c r="J12" s="220" t="n">
        <v>22060</v>
      </c>
    </row>
    <row r="13">
      <c r="A13" s="248" t="inlineStr">
        <is>
          <t>7-firm mean (carbon classmates)</t>
        </is>
      </c>
      <c r="B13" s="200" t="n"/>
      <c r="C13" s="220" t="n">
        <v>20286</v>
      </c>
      <c r="D13" s="200" t="n"/>
      <c r="E13" s="220" t="n">
        <v>3453</v>
      </c>
      <c r="F13" s="200" t="n"/>
      <c r="G13" s="220" t="n"/>
      <c r="H13" s="200" t="n"/>
      <c r="I13" s="220" t="n"/>
      <c r="J13" s="249" t="n">
        <v>25211</v>
      </c>
    </row>
    <row r="14">
      <c r="A14" s="248" t="inlineStr">
        <is>
          <t>All metal + carbon average</t>
        </is>
      </c>
      <c r="B14" s="200" t="n"/>
      <c r="C14" s="220" t="n">
        <v>18643</v>
      </c>
      <c r="D14" s="200" t="n"/>
      <c r="E14" s="220" t="n">
        <v>2576</v>
      </c>
      <c r="F14" s="200" t="n"/>
      <c r="G14" s="220" t="n">
        <v>737</v>
      </c>
      <c r="H14" s="200" t="n"/>
      <c r="I14" s="220" t="n">
        <v>474</v>
      </c>
      <c r="J14" s="220" t="n">
        <v>22430</v>
      </c>
    </row>
    <row r="17">
      <c r="A17" s="199" t="inlineStr">
        <is>
          <t>SALES READ</t>
        </is>
      </c>
      <c r="B17" s="199" t="inlineStr">
        <is>
          <t>Value</t>
        </is>
      </c>
      <c r="C17" s="199" t="inlineStr">
        <is>
          <t>Note</t>
        </is>
      </c>
    </row>
    <row r="18">
      <c r="A18" s="200" t="inlineStr">
        <is>
          <t>WeBike total rank among 7</t>
        </is>
      </c>
      <c r="B18" s="200" t="inlineStr">
        <is>
          <t>6 of 7</t>
        </is>
      </c>
      <c r="C18" s="208" t="inlineStr">
        <is>
          <t>only Bike Bros cheaper; we trail the 7-firm mean by $786</t>
        </is>
      </c>
    </row>
    <row r="19">
      <c r="A19" s="200" t="inlineStr">
        <is>
          <t>WeBike salary rank among 7</t>
        </is>
      </c>
      <c r="B19" s="200" t="inlineStr">
        <is>
          <t>6 of 7</t>
        </is>
      </c>
      <c r="C19" s="208" t="inlineStr">
        <is>
          <t>importance 87 — this is the starved lever</t>
        </is>
      </c>
    </row>
    <row r="20">
      <c r="A20" s="200" t="inlineStr">
        <is>
          <t>WeBike salary vs 7-firm mean</t>
        </is>
      </c>
      <c r="B20" s="204" t="n">
        <v>-1285.714285714286</v>
      </c>
      <c r="C20" s="208" t="inlineStr">
        <is>
          <t>Full coverage is why health is $727 above the 7-firm mean</t>
        </is>
      </c>
    </row>
    <row r="21">
      <c r="A21" s="200" t="inlineStr">
        <is>
          <t>WeBike health vs 7-firm mean</t>
        </is>
      </c>
      <c r="B21" s="204" t="n">
        <v>727.1428571428573</v>
      </c>
      <c r="C21" s="208" t="inlineStr">
        <is>
          <t>2nd-highest health line; only MILC (also Full) is higher</t>
        </is>
      </c>
    </row>
    <row r="22">
      <c r="A22" s="200" t="inlineStr">
        <is>
          <t>WeBike satisfaction rank</t>
        </is>
      </c>
      <c r="B22" s="250" t="inlineStr">
        <is>
          <t>5 of 7</t>
        </is>
      </c>
      <c r="C22" s="208" t="inlineStr">
        <is>
          <t>70.3% — MILC pays most and sits at 70.0%</t>
        </is>
      </c>
    </row>
    <row r="23">
      <c r="A23" s="200" t="inlineStr">
        <is>
          <t>Satisfaction leader</t>
        </is>
      </c>
      <c r="B23" s="250" t="inlineStr">
        <is>
          <t>BB LLC 78.4%</t>
        </is>
      </c>
      <c r="C23" s="208" t="inlineStr">
        <is>
          <t>Expanded + 2 weeks + 4%, not Full coverage</t>
        </is>
      </c>
    </row>
    <row r="24">
      <c r="A24" s="200" t="inlineStr">
        <is>
          <t>Expanded health formula</t>
        </is>
      </c>
      <c r="B24" s="200" t="inlineStr">
        <is>
          <t>15% of salary</t>
        </is>
      </c>
      <c r="C24" s="208" t="inlineStr">
        <is>
          <t>reproduces every Expanded row exactly</t>
        </is>
      </c>
    </row>
    <row r="25">
      <c r="A25" s="200" t="inlineStr">
        <is>
          <t>Full coverage formula</t>
        </is>
      </c>
      <c r="B25" s="200" t="inlineStr">
        <is>
          <t>22% of salary</t>
        </is>
      </c>
      <c r="C25" s="208" t="inlineStr">
        <is>
          <t>reproduces WeBike $4,180 and MILC $4,840 exactly</t>
        </is>
      </c>
    </row>
    <row r="26">
      <c r="A26" s="200" t="inlineStr">
        <is>
          <t>2-week vacation formula</t>
        </is>
      </c>
      <c r="B26" s="200" t="inlineStr">
        <is>
          <t>salary / 18</t>
        </is>
      </c>
      <c r="C26" s="208" t="inlineStr">
        <is>
          <t>reproduces every 2-week row (rounded)</t>
        </is>
      </c>
    </row>
    <row r="29">
      <c r="A29" s="165" t="inlineStr">
        <is>
          <t>PRODUCTION WORKERS — sorted by total cost (high to low)</t>
        </is>
      </c>
    </row>
    <row r="30">
      <c r="A30" s="199" t="inlineStr">
        <is>
          <t>Company</t>
        </is>
      </c>
      <c r="B30" s="199" t="inlineStr">
        <is>
          <t>Satisfaction</t>
        </is>
      </c>
      <c r="C30" s="199" t="inlineStr">
        <is>
          <t>Salary</t>
        </is>
      </c>
      <c r="D30" s="199" t="inlineStr">
        <is>
          <t>Health tier</t>
        </is>
      </c>
      <c r="E30" s="199" t="inlineStr">
        <is>
          <t>Health $</t>
        </is>
      </c>
      <c r="F30" s="199" t="inlineStr">
        <is>
          <t>Vacation weeks</t>
        </is>
      </c>
      <c r="G30" s="199" t="inlineStr">
        <is>
          <t>Vacation $</t>
        </is>
      </c>
      <c r="H30" s="199" t="inlineStr">
        <is>
          <t>Pension %</t>
        </is>
      </c>
      <c r="I30" s="199" t="inlineStr">
        <is>
          <t>Pension $</t>
        </is>
      </c>
      <c r="J30" s="199" t="inlineStr">
        <is>
          <t>Total yearly cost</t>
        </is>
      </c>
    </row>
    <row r="31">
      <c r="A31" s="200" t="inlineStr">
        <is>
          <t>MILC Bikes</t>
        </is>
      </c>
      <c r="B31" s="228" t="n">
        <v>0.727</v>
      </c>
      <c r="C31" s="220" t="n">
        <v>18400</v>
      </c>
      <c r="D31" s="200" t="inlineStr">
        <is>
          <t>Full coverage</t>
        </is>
      </c>
      <c r="E31" s="220" t="n">
        <v>4048</v>
      </c>
      <c r="F31" s="200" t="n">
        <v>1</v>
      </c>
      <c r="G31" s="220" t="n">
        <v>477</v>
      </c>
      <c r="H31" s="242" t="n">
        <v>0.02</v>
      </c>
      <c r="I31" s="220" t="n">
        <v>368</v>
      </c>
      <c r="J31" s="220" t="n">
        <v>23293</v>
      </c>
    </row>
    <row r="32">
      <c r="A32" s="206" t="inlineStr">
        <is>
          <t>BB LLC</t>
        </is>
      </c>
      <c r="B32" s="243" t="n">
        <v>0.777</v>
      </c>
      <c r="C32" s="244" t="n">
        <v>18500</v>
      </c>
      <c r="D32" s="206" t="inlineStr">
        <is>
          <t>Expanded coverage</t>
        </is>
      </c>
      <c r="E32" s="244" t="n">
        <v>2775</v>
      </c>
      <c r="F32" s="206" t="n">
        <v>2</v>
      </c>
      <c r="G32" s="244" t="n">
        <v>1027</v>
      </c>
      <c r="H32" s="245" t="n">
        <v>0.04</v>
      </c>
      <c r="I32" s="244" t="n">
        <v>740</v>
      </c>
      <c r="J32" s="244" t="n">
        <v>23042</v>
      </c>
    </row>
    <row r="33">
      <c r="A33" s="200" t="inlineStr">
        <is>
          <t>LiteCycle</t>
        </is>
      </c>
      <c r="B33" s="228" t="n">
        <v>0.743</v>
      </c>
      <c r="C33" s="220" t="n">
        <v>17500</v>
      </c>
      <c r="D33" s="200" t="inlineStr">
        <is>
          <t>Expanded coverage</t>
        </is>
      </c>
      <c r="E33" s="220" t="n">
        <v>2625</v>
      </c>
      <c r="F33" s="200" t="n">
        <v>2</v>
      </c>
      <c r="G33" s="220" t="n">
        <v>972</v>
      </c>
      <c r="H33" s="242" t="n">
        <v>0.03</v>
      </c>
      <c r="I33" s="220" t="n">
        <v>525</v>
      </c>
      <c r="J33" s="220" t="n">
        <v>21622</v>
      </c>
    </row>
    <row r="34">
      <c r="A34" s="200" t="inlineStr">
        <is>
          <t>SpaceBikes</t>
        </is>
      </c>
      <c r="B34" s="228" t="n">
        <v>0.734</v>
      </c>
      <c r="C34" s="220" t="n">
        <v>17000</v>
      </c>
      <c r="D34" s="200" t="inlineStr">
        <is>
          <t>Expanded coverage</t>
        </is>
      </c>
      <c r="E34" s="220" t="n">
        <v>2550</v>
      </c>
      <c r="F34" s="200" t="n">
        <v>2</v>
      </c>
      <c r="G34" s="220" t="n">
        <v>944</v>
      </c>
      <c r="H34" s="242" t="n">
        <v>0.03</v>
      </c>
      <c r="I34" s="220" t="n">
        <v>510</v>
      </c>
      <c r="J34" s="220" t="n">
        <v>21004</v>
      </c>
    </row>
    <row r="35">
      <c r="A35" s="209" t="inlineStr">
        <is>
          <t>WeBike</t>
        </is>
      </c>
      <c r="B35" s="246" t="n">
        <v>0.731</v>
      </c>
      <c r="C35" s="221" t="n">
        <v>16800</v>
      </c>
      <c r="D35" s="209" t="inlineStr">
        <is>
          <t>Expanded coverage</t>
        </is>
      </c>
      <c r="E35" s="221" t="n">
        <v>2520</v>
      </c>
      <c r="F35" s="209" t="n">
        <v>2</v>
      </c>
      <c r="G35" s="221" t="n">
        <v>933</v>
      </c>
      <c r="H35" s="247" t="n">
        <v>0.03</v>
      </c>
      <c r="I35" s="221" t="n">
        <v>504</v>
      </c>
      <c r="J35" s="221" t="n">
        <v>20757</v>
      </c>
    </row>
    <row r="36">
      <c r="A36" s="200" t="inlineStr">
        <is>
          <t>Spoke'd Up</t>
        </is>
      </c>
      <c r="B36" s="228" t="n">
        <v>0.731</v>
      </c>
      <c r="C36" s="220" t="n">
        <v>16800</v>
      </c>
      <c r="D36" s="200" t="inlineStr">
        <is>
          <t>Expanded coverage</t>
        </is>
      </c>
      <c r="E36" s="220" t="n">
        <v>2520</v>
      </c>
      <c r="F36" s="200" t="n">
        <v>2</v>
      </c>
      <c r="G36" s="220" t="n">
        <v>933</v>
      </c>
      <c r="H36" s="242" t="n">
        <v>0.03</v>
      </c>
      <c r="I36" s="220" t="n">
        <v>504</v>
      </c>
      <c r="J36" s="220" t="n">
        <v>20757</v>
      </c>
    </row>
    <row r="37">
      <c r="A37" s="200" t="inlineStr">
        <is>
          <t>Bike Bros</t>
        </is>
      </c>
      <c r="B37" s="228" t="n">
        <v>0.696</v>
      </c>
      <c r="C37" s="220" t="n">
        <v>16000</v>
      </c>
      <c r="D37" s="200" t="inlineStr">
        <is>
          <t>Expanded coverage</t>
        </is>
      </c>
      <c r="E37" s="220" t="n">
        <v>2400</v>
      </c>
      <c r="F37" s="200" t="n">
        <v>2</v>
      </c>
      <c r="G37" s="220" t="n">
        <v>889</v>
      </c>
      <c r="H37" s="242" t="n">
        <v>0.02</v>
      </c>
      <c r="I37" s="220" t="n">
        <v>320</v>
      </c>
      <c r="J37" s="220" t="n">
        <v>19609</v>
      </c>
    </row>
    <row r="38">
      <c r="A38" s="248" t="inlineStr">
        <is>
          <t>7-firm mean (carbon classmates)</t>
        </is>
      </c>
      <c r="B38" s="200" t="n"/>
      <c r="C38" s="220" t="n">
        <v>17286</v>
      </c>
      <c r="D38" s="200" t="n"/>
      <c r="E38" s="220" t="n">
        <v>2777</v>
      </c>
      <c r="F38" s="200" t="n"/>
      <c r="G38" s="220" t="n"/>
      <c r="H38" s="200" t="n"/>
      <c r="I38" s="220" t="n"/>
      <c r="J38" s="249" t="n">
        <v>21441</v>
      </c>
    </row>
    <row r="39">
      <c r="A39" s="248" t="inlineStr">
        <is>
          <t>All metal + carbon average</t>
        </is>
      </c>
      <c r="B39" s="200" t="n"/>
      <c r="C39" s="220" t="n">
        <v>15643</v>
      </c>
      <c r="D39" s="200" t="n"/>
      <c r="E39" s="220" t="n">
        <v>2088</v>
      </c>
      <c r="F39" s="200" t="n"/>
      <c r="G39" s="220" t="n">
        <v>622</v>
      </c>
      <c r="H39" s="200" t="n"/>
      <c r="I39" s="220" t="n">
        <v>458</v>
      </c>
      <c r="J39" s="220" t="n">
        <v>18811</v>
      </c>
    </row>
    <row r="42">
      <c r="A42" s="199" t="inlineStr">
        <is>
          <t>PRODUCTION READ</t>
        </is>
      </c>
      <c r="B42" s="199" t="inlineStr">
        <is>
          <t>Value</t>
        </is>
      </c>
      <c r="C42" s="199" t="inlineStr">
        <is>
          <t>Note</t>
        </is>
      </c>
    </row>
    <row r="43">
      <c r="A43" s="200" t="inlineStr">
        <is>
          <t>WeBike total rank among 7</t>
        </is>
      </c>
      <c r="B43" s="200" t="inlineStr">
        <is>
          <t>tied 5th/6th</t>
        </is>
      </c>
      <c r="C43" s="208" t="inlineStr">
        <is>
          <t>byte-identical package to Spoke'd Up; both 73.1% sat</t>
        </is>
      </c>
    </row>
    <row r="44">
      <c r="A44" s="200" t="inlineStr">
        <is>
          <t>Mix vs industry pattern</t>
        </is>
      </c>
      <c r="B44" s="200" t="inlineStr">
        <is>
          <t>already correct</t>
        </is>
      </c>
      <c r="C44" s="208" t="inlineStr">
        <is>
          <t>Expanded + 2 weeks + 3% is the carbon-firm mode</t>
        </is>
      </c>
    </row>
    <row r="45">
      <c r="A45" s="200" t="inlineStr">
        <is>
          <t>Gap vs 7-firm mean</t>
        </is>
      </c>
      <c r="B45" s="200" t="n">
        <v>-683.5714285714275</v>
      </c>
      <c r="C45" s="208" t="inlineStr">
        <is>
          <t>close it by raising salary $16,800 -&gt; $18,000</t>
        </is>
      </c>
    </row>
    <row r="46">
      <c r="A46" s="200" t="inlineStr">
        <is>
          <t>Satisfaction leader</t>
        </is>
      </c>
      <c r="B46" s="250" t="inlineStr">
        <is>
          <t>BB LLC 77.7%</t>
        </is>
      </c>
      <c r="C46" s="208" t="inlineStr">
        <is>
          <t>$18,500 Expanded 2 wk 4% = $23,042</t>
        </is>
      </c>
    </row>
    <row r="47">
      <c r="A47" s="200" t="inlineStr">
        <is>
          <t>MILC again overpays the wrong mix</t>
        </is>
      </c>
      <c r="B47" s="200" t="inlineStr">
        <is>
          <t>72.7% at $23,293</t>
        </is>
      </c>
      <c r="C47" s="208" t="inlineStr">
        <is>
          <t>Full coverage + 1 week, highest production cost, 5th of 7 sat</t>
        </is>
      </c>
    </row>
    <row r="50">
      <c r="A50" s="199" t="inlineStr">
        <is>
          <t>BB LLC vs MILC — mix beats total (sales)</t>
        </is>
      </c>
      <c r="B50" s="199" t="inlineStr">
        <is>
          <t>BB LLC</t>
        </is>
      </c>
      <c r="C50" s="199" t="inlineStr">
        <is>
          <t>MILC Bikes</t>
        </is>
      </c>
      <c r="D50" s="199" t="inlineStr">
        <is>
          <t>Gap</t>
        </is>
      </c>
    </row>
    <row r="51">
      <c r="A51" s="200" t="inlineStr">
        <is>
          <t>Salary</t>
        </is>
      </c>
      <c r="B51" s="200" t="n">
        <v>22000</v>
      </c>
      <c r="C51" s="200" t="n">
        <v>22000</v>
      </c>
      <c r="D51" s="200" t="n">
        <v>0</v>
      </c>
    </row>
    <row r="52">
      <c r="A52" s="200" t="inlineStr">
        <is>
          <t>Health</t>
        </is>
      </c>
      <c r="B52" s="200" t="n">
        <v>3300</v>
      </c>
      <c r="C52" s="200" t="n">
        <v>4840</v>
      </c>
      <c r="D52" s="200" t="n">
        <v>-1540</v>
      </c>
    </row>
    <row r="53">
      <c r="A53" s="200" t="inlineStr">
        <is>
          <t>Vacation</t>
        </is>
      </c>
      <c r="B53" s="251" t="n">
        <v>1222</v>
      </c>
      <c r="C53" s="251" t="n">
        <v>570</v>
      </c>
      <c r="D53" s="251" t="n">
        <v>652</v>
      </c>
    </row>
    <row r="54">
      <c r="A54" s="200" t="inlineStr">
        <is>
          <t>Pension</t>
        </is>
      </c>
      <c r="B54" s="251" t="n">
        <v>880</v>
      </c>
      <c r="C54" s="251" t="n">
        <v>220</v>
      </c>
      <c r="D54" s="251" t="n">
        <v>660</v>
      </c>
    </row>
    <row r="55">
      <c r="A55" s="200" t="inlineStr">
        <is>
          <t>Total yearly cost</t>
        </is>
      </c>
      <c r="B55" s="251" t="n">
        <v>27402</v>
      </c>
      <c r="C55" s="251" t="n">
        <v>27630</v>
      </c>
      <c r="D55" s="251" t="n">
        <v>-228</v>
      </c>
    </row>
    <row r="56">
      <c r="A56" s="200" t="inlineStr">
        <is>
          <t>Satisfaction</t>
        </is>
      </c>
      <c r="B56" s="251" t="n">
        <v>0.784</v>
      </c>
      <c r="C56" s="251" t="n">
        <v>0.7</v>
      </c>
      <c r="D56" s="251" t="n">
        <v>0.08400000000000001</v>
      </c>
    </row>
    <row r="57">
      <c r="B57" s="252" t="n"/>
      <c r="C57" s="252" t="n"/>
      <c r="D57" s="252" t="n"/>
    </row>
    <row r="58">
      <c r="B58" s="161" t="n"/>
      <c r="C58" s="179" t="n"/>
      <c r="D58" s="253" t="n"/>
    </row>
    <row r="59">
      <c r="A59" s="199" t="inlineStr">
        <is>
          <t>Q4 SALES PACKAGES (OPEN — majority vote)</t>
        </is>
      </c>
      <c r="B59" s="199" t="inlineStr">
        <is>
          <t>Current Q3</t>
        </is>
      </c>
      <c r="C59" s="199" t="inlineStr">
        <is>
          <t>A. Reallocate + raise (recommended)</t>
        </is>
      </c>
      <c r="D59" s="199" t="inlineStr">
        <is>
          <t>B. Clone BB LLC</t>
        </is>
      </c>
      <c r="E59" s="199" t="inlineStr">
        <is>
          <t>C. Keep Full</t>
        </is>
      </c>
    </row>
    <row r="60">
      <c r="A60" s="200" t="inlineStr">
        <is>
          <t>Salary</t>
        </is>
      </c>
      <c r="B60" s="251" t="n">
        <v>19000</v>
      </c>
      <c r="C60" s="254" t="n">
        <v>21500</v>
      </c>
      <c r="D60" s="251" t="n">
        <v>22000</v>
      </c>
      <c r="E60" s="251" t="n">
        <v>21000</v>
      </c>
    </row>
    <row r="61">
      <c r="A61" s="200" t="inlineStr">
        <is>
          <t>Health tier</t>
        </is>
      </c>
      <c r="B61" s="200" t="inlineStr">
        <is>
          <t>Full coverage</t>
        </is>
      </c>
      <c r="C61" s="200" t="inlineStr">
        <is>
          <t>Expanded coverage</t>
        </is>
      </c>
      <c r="D61" s="200" t="inlineStr">
        <is>
          <t>Expanded coverage</t>
        </is>
      </c>
      <c r="E61" s="200" t="inlineStr">
        <is>
          <t>Full coverage</t>
        </is>
      </c>
    </row>
    <row r="62">
      <c r="A62" s="200" t="inlineStr">
        <is>
          <t>Health $</t>
        </is>
      </c>
      <c r="B62" s="251" t="n">
        <v>4180</v>
      </c>
      <c r="C62" s="251" t="n">
        <v>3225</v>
      </c>
      <c r="D62" s="251" t="n">
        <v>3300</v>
      </c>
      <c r="E62" s="251" t="n">
        <v>4620</v>
      </c>
    </row>
    <row r="63">
      <c r="A63" s="200" t="inlineStr">
        <is>
          <t>Vacation</t>
        </is>
      </c>
      <c r="B63" s="200" t="inlineStr">
        <is>
          <t>2 weeks</t>
        </is>
      </c>
      <c r="C63" s="200" t="inlineStr">
        <is>
          <t>2 weeks</t>
        </is>
      </c>
      <c r="D63" s="200" t="inlineStr">
        <is>
          <t>2 weeks</t>
        </is>
      </c>
      <c r="E63" s="200" t="inlineStr">
        <is>
          <t>2 weeks</t>
        </is>
      </c>
    </row>
    <row r="64">
      <c r="A64" s="200" t="inlineStr">
        <is>
          <t>Vacation $</t>
        </is>
      </c>
      <c r="B64" s="251" t="n">
        <v>1055</v>
      </c>
      <c r="C64" s="251" t="n">
        <v>1194</v>
      </c>
      <c r="D64" s="251" t="n">
        <v>1222</v>
      </c>
      <c r="E64" s="251" t="n">
        <v>1167</v>
      </c>
    </row>
    <row r="65">
      <c r="A65" s="200" t="inlineStr">
        <is>
          <t>Pension %</t>
        </is>
      </c>
      <c r="B65" s="242" t="n">
        <v>0.01</v>
      </c>
      <c r="C65" s="242" t="n">
        <v>0.03</v>
      </c>
      <c r="D65" s="242" t="n">
        <v>0.04</v>
      </c>
      <c r="E65" s="242" t="n">
        <v>0.03</v>
      </c>
    </row>
    <row r="66">
      <c r="A66" s="200" t="inlineStr">
        <is>
          <t>Pension $</t>
        </is>
      </c>
      <c r="B66" s="251" t="n">
        <v>190</v>
      </c>
      <c r="C66" s="251" t="n">
        <v>645</v>
      </c>
      <c r="D66" s="251" t="n">
        <v>880</v>
      </c>
      <c r="E66" s="251" t="n">
        <v>630</v>
      </c>
    </row>
    <row r="67">
      <c r="A67" s="200" t="inlineStr">
        <is>
          <t>Total yearly cost</t>
        </is>
      </c>
      <c r="B67" s="251" t="n">
        <v>24425</v>
      </c>
      <c r="C67" s="254" t="n">
        <v>26564</v>
      </c>
      <c r="D67" s="251" t="n">
        <v>27402</v>
      </c>
      <c r="E67" s="251" t="n">
        <v>27417</v>
      </c>
    </row>
    <row r="68">
      <c r="A68" s="200" t="inlineStr">
        <is>
          <t>vs 7-firm mean $25,211</t>
        </is>
      </c>
      <c r="B68" s="251" t="n">
        <v>-786</v>
      </c>
      <c r="C68" s="251" t="n">
        <v>1353</v>
      </c>
      <c r="D68" s="251" t="n">
        <v>2191</v>
      </c>
      <c r="E68" s="251" t="n">
        <v>2206</v>
      </c>
    </row>
    <row r="69">
      <c r="A69" s="200" t="inlineStr">
        <is>
          <t>vs all-firm avg $22,430</t>
        </is>
      </c>
      <c r="B69" s="251" t="n">
        <v>1995</v>
      </c>
      <c r="C69" s="251" t="n">
        <v>4134</v>
      </c>
      <c r="D69" s="251" t="n">
        <v>4972</v>
      </c>
      <c r="E69" s="251" t="n">
        <v>4987</v>
      </c>
    </row>
    <row r="72">
      <c r="A72" s="199" t="inlineStr">
        <is>
          <t>Q4 PRODUCTION PACKAGES (OPEN — majority vote)</t>
        </is>
      </c>
      <c r="B72" s="199" t="inlineStr">
        <is>
          <t>Current Q3</t>
        </is>
      </c>
      <c r="C72" s="199" t="inlineStr">
        <is>
          <t>A. Raise salary (recommended)</t>
        </is>
      </c>
      <c r="D72" s="199" t="inlineStr">
        <is>
          <t>B. Clone BB LLC</t>
        </is>
      </c>
    </row>
    <row r="73">
      <c r="A73" s="200" t="inlineStr">
        <is>
          <t>Salary</t>
        </is>
      </c>
      <c r="B73" s="251" t="n">
        <v>16800</v>
      </c>
      <c r="C73" s="254" t="n">
        <v>18000</v>
      </c>
      <c r="D73" s="251" t="n">
        <v>18500</v>
      </c>
    </row>
    <row r="74">
      <c r="A74" s="200" t="inlineStr">
        <is>
          <t>Health tier</t>
        </is>
      </c>
      <c r="B74" s="200" t="inlineStr">
        <is>
          <t>Expanded coverage</t>
        </is>
      </c>
      <c r="C74" s="200" t="inlineStr">
        <is>
          <t>Expanded coverage</t>
        </is>
      </c>
      <c r="D74" s="200" t="inlineStr">
        <is>
          <t>Expanded coverage</t>
        </is>
      </c>
    </row>
    <row r="75">
      <c r="A75" s="200" t="inlineStr">
        <is>
          <t>Health $</t>
        </is>
      </c>
      <c r="B75" s="251" t="n">
        <v>2520</v>
      </c>
      <c r="C75" s="251" t="n">
        <v>2700</v>
      </c>
      <c r="D75" s="251" t="n">
        <v>2775</v>
      </c>
    </row>
    <row r="76">
      <c r="A76" s="200" t="inlineStr">
        <is>
          <t>Vacation</t>
        </is>
      </c>
      <c r="B76" s="200" t="inlineStr">
        <is>
          <t>2 weeks</t>
        </is>
      </c>
      <c r="C76" s="200" t="inlineStr">
        <is>
          <t>2 weeks</t>
        </is>
      </c>
      <c r="D76" s="200" t="inlineStr">
        <is>
          <t>2 weeks</t>
        </is>
      </c>
    </row>
    <row r="77">
      <c r="A77" s="200" t="inlineStr">
        <is>
          <t>Vacation $</t>
        </is>
      </c>
      <c r="B77" s="251" t="n">
        <v>933</v>
      </c>
      <c r="C77" s="251" t="n">
        <v>1000</v>
      </c>
      <c r="D77" s="251" t="n">
        <v>1027</v>
      </c>
    </row>
    <row r="78">
      <c r="A78" s="200" t="inlineStr">
        <is>
          <t>Pension %</t>
        </is>
      </c>
      <c r="B78" s="242" t="n">
        <v>0.03</v>
      </c>
      <c r="C78" s="242" t="n">
        <v>0.03</v>
      </c>
      <c r="D78" s="242" t="n">
        <v>0.04</v>
      </c>
    </row>
    <row r="79">
      <c r="A79" s="200" t="inlineStr">
        <is>
          <t>Pension $</t>
        </is>
      </c>
      <c r="B79" s="251" t="n">
        <v>504</v>
      </c>
      <c r="C79" s="251" t="n">
        <v>540</v>
      </c>
      <c r="D79" s="251" t="n">
        <v>740</v>
      </c>
    </row>
    <row r="80">
      <c r="A80" s="200" t="inlineStr">
        <is>
          <t>Total yearly cost</t>
        </is>
      </c>
      <c r="B80" s="251" t="n">
        <v>20757</v>
      </c>
      <c r="C80" s="254" t="n">
        <v>22240</v>
      </c>
      <c r="D80" s="251" t="n">
        <v>23042</v>
      </c>
    </row>
    <row r="81">
      <c r="A81" s="200" t="inlineStr">
        <is>
          <t>vs 7-firm mean $21,441</t>
        </is>
      </c>
      <c r="B81" s="251" t="n">
        <v>-684</v>
      </c>
      <c r="C81" s="251" t="n">
        <v>799</v>
      </c>
      <c r="D81" s="251" t="n">
        <v>1601</v>
      </c>
    </row>
    <row r="84">
      <c r="A84" s="199" t="inlineStr">
        <is>
          <t>CASH + PRODUCTIVITY GUARDRAILS</t>
        </is>
      </c>
      <c r="B84" s="199" t="inlineStr">
        <is>
          <t>Value</t>
        </is>
      </c>
      <c r="C84" s="199" t="inlineStr">
        <is>
          <t>Note</t>
        </is>
      </c>
    </row>
    <row r="85">
      <c r="A85" s="200" t="inlineStr">
        <is>
          <t>Idle cash entering Q4</t>
        </is>
      </c>
      <c r="B85" s="200" t="n">
        <v>1010838</v>
      </c>
      <c r="C85" s="208" t="inlineStr">
        <is>
          <t>Asset Management 0.353 is idle cash, not wages</t>
        </is>
      </c>
    </row>
    <row r="86">
      <c r="A86" s="200" t="inlineStr">
        <is>
          <t>Sales Option A vs current, $/person/year</t>
        </is>
      </c>
      <c r="B86" s="200" t="n">
        <v>2139</v>
      </c>
      <c r="C86" s="208" t="inlineStr">
        <is>
          <t>about $535 per person per quarter</t>
        </is>
      </c>
    </row>
    <row r="87">
      <c r="A87" s="200" t="inlineStr">
        <is>
          <t>Production Option A vs current, $/person/year</t>
        </is>
      </c>
      <c r="B87" s="232" t="n">
        <v>1483</v>
      </c>
      <c r="C87" s="208" t="inlineStr">
        <is>
          <t>about $371 per person per quarter</t>
        </is>
      </c>
    </row>
    <row r="88">
      <c r="A88" s="200" t="inlineStr">
        <is>
          <t>Q4 productivity to budget</t>
        </is>
      </c>
      <c r="B88" s="255" t="n">
        <v>0.74</v>
      </c>
      <c r="C88" s="208" t="inlineStr">
        <is>
          <t>industry ceiling ~73-75%. Never plan 85% again.</t>
        </is>
      </c>
    </row>
    <row r="89">
      <c r="A89" s="200" t="inlineStr">
        <is>
          <t>Q3 actual productivity</t>
        </is>
      </c>
      <c r="B89" s="255" t="inlineStr">
        <is>
          <t>70% sales / 72% production</t>
        </is>
      </c>
      <c r="C89" s="208" t="inlineStr">
        <is>
          <t>BB LLC sat 78% still sits inside that ceiling</t>
        </is>
      </c>
    </row>
    <row r="90">
      <c r="B90" s="256" t="n"/>
    </row>
  </sheetData>
  <mergeCells count="1">
    <mergeCell ref="A2:J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40" customWidth="1" style="146" min="1" max="1"/>
    <col width="22" customWidth="1" style="146" min="2" max="2"/>
    <col width="22" customWidth="1" style="146" min="3" max="3"/>
    <col width="62" customWidth="1" style="146" min="4" max="4"/>
    <col width="40" customWidth="1" style="146" min="5" max="5"/>
    <col width="15" customWidth="1" style="146" min="6" max="6"/>
    <col width="15" customWidth="1" style="146" min="7" max="7"/>
    <col width="15" customWidth="1" style="146" min="8" max="8"/>
    <col width="15" customWidth="1" style="146" min="9" max="9"/>
  </cols>
  <sheetData>
    <row r="1">
      <c r="A1" s="169" t="inlineStr">
        <is>
          <t>Ad Judgment — World Market, Q3 actual</t>
        </is>
      </c>
    </row>
    <row r="2">
      <c r="A2" s="170" t="inlineStr">
        <is>
          <t>HikeBike 1 is essentially best-in-class (80 vs BB LLC's 81). The Swift Bike ad is 8th of 9 Speed ads and shows by far the highest off-target appeal in the industry.</t>
        </is>
      </c>
    </row>
    <row r="4">
      <c r="A4" s="166" t="inlineStr">
        <is>
          <t>Ad</t>
        </is>
      </c>
      <c r="B4" s="166" t="inlineStr">
        <is>
          <t>Company</t>
        </is>
      </c>
      <c r="C4" s="166" t="inlineStr">
        <is>
          <t>Brand advertised</t>
        </is>
      </c>
      <c r="D4" s="166" t="inlineStr">
        <is>
          <t>Recreation</t>
        </is>
      </c>
      <c r="E4" s="166" t="inlineStr">
        <is>
          <t>Mountain</t>
        </is>
      </c>
      <c r="F4" s="166" t="inlineStr">
        <is>
          <t>Speed</t>
        </is>
      </c>
      <c r="G4" s="166" t="inlineStr">
        <is>
          <t>Target segment</t>
        </is>
      </c>
      <c r="H4" s="166" t="inlineStr">
        <is>
          <t>Score in target</t>
        </is>
      </c>
      <c r="I4" s="166" t="inlineStr">
        <is>
          <t>Off-target leakage</t>
        </is>
      </c>
    </row>
    <row r="5">
      <c r="A5" t="inlineStr">
        <is>
          <t>Excluspeedity</t>
        </is>
      </c>
      <c r="B5" t="inlineStr">
        <is>
          <t>Bike Bros</t>
        </is>
      </c>
      <c r="C5" t="inlineStr">
        <is>
          <t>MACH I.I</t>
        </is>
      </c>
      <c r="D5" t="n">
        <v>0</v>
      </c>
      <c r="E5" t="n">
        <v>12</v>
      </c>
      <c r="F5" t="n">
        <v>72</v>
      </c>
      <c r="G5" t="inlineStr">
        <is>
          <t>Speed</t>
        </is>
      </c>
      <c r="H5" t="n">
        <v>72</v>
      </c>
      <c r="I5" t="n">
        <v>12</v>
      </c>
    </row>
    <row r="6">
      <c r="A6" t="inlineStr">
        <is>
          <t>TerraTech</t>
        </is>
      </c>
      <c r="B6" t="inlineStr">
        <is>
          <t>Bike Bros</t>
        </is>
      </c>
      <c r="C6" t="inlineStr">
        <is>
          <t>TERRAMAX</t>
        </is>
      </c>
      <c r="D6" t="n">
        <v>23</v>
      </c>
      <c r="E6" t="n">
        <v>78</v>
      </c>
      <c r="F6" t="n">
        <v>30</v>
      </c>
      <c r="G6" t="inlineStr">
        <is>
          <t>Mountain</t>
        </is>
      </c>
      <c r="H6" t="n">
        <v>78</v>
      </c>
      <c r="I6" t="n">
        <v>53</v>
      </c>
    </row>
    <row r="7">
      <c r="A7" t="inlineStr">
        <is>
          <t>Easy Rider</t>
        </is>
      </c>
      <c r="B7" t="inlineStr">
        <is>
          <t>Bike Bros</t>
        </is>
      </c>
      <c r="C7" t="inlineStr">
        <is>
          <t>MountainCruise1</t>
        </is>
      </c>
      <c r="D7" t="n">
        <v>75</v>
      </c>
      <c r="E7" t="n">
        <v>25</v>
      </c>
      <c r="F7" t="n">
        <v>17</v>
      </c>
      <c r="G7" t="inlineStr">
        <is>
          <t>Recreation</t>
        </is>
      </c>
      <c r="H7" t="n">
        <v>75</v>
      </c>
      <c r="I7" t="n">
        <v>42</v>
      </c>
    </row>
    <row r="8">
      <c r="A8" t="inlineStr">
        <is>
          <t>Mountainability</t>
        </is>
      </c>
      <c r="B8" t="inlineStr">
        <is>
          <t>Bike Bros</t>
        </is>
      </c>
      <c r="C8" t="inlineStr">
        <is>
          <t>TERRAMAX</t>
        </is>
      </c>
      <c r="D8" t="n">
        <v>35</v>
      </c>
      <c r="E8" t="n">
        <v>77</v>
      </c>
      <c r="F8" t="n">
        <v>32</v>
      </c>
      <c r="G8" t="inlineStr">
        <is>
          <t>Mountain</t>
        </is>
      </c>
      <c r="H8" t="n">
        <v>77</v>
      </c>
      <c r="I8" t="n">
        <v>67</v>
      </c>
    </row>
    <row r="9">
      <c r="A9" t="inlineStr">
        <is>
          <t>AndStill</t>
        </is>
      </c>
      <c r="B9" t="inlineStr">
        <is>
          <t>Bike Bros</t>
        </is>
      </c>
      <c r="C9" t="inlineStr">
        <is>
          <t>MACH I.I</t>
        </is>
      </c>
      <c r="D9" t="n">
        <v>22</v>
      </c>
      <c r="E9" t="n">
        <v>24</v>
      </c>
      <c r="F9" t="n">
        <v>78</v>
      </c>
      <c r="G9" t="inlineStr">
        <is>
          <t>Speed</t>
        </is>
      </c>
      <c r="H9" t="n">
        <v>78</v>
      </c>
      <c r="I9" t="n">
        <v>46</v>
      </c>
    </row>
    <row r="10">
      <c r="A10" t="inlineStr">
        <is>
          <t>Speed of Lite 1</t>
        </is>
      </c>
      <c r="B10" t="inlineStr">
        <is>
          <t>LiteCycle</t>
        </is>
      </c>
      <c r="C10" t="inlineStr">
        <is>
          <t>LiteSpeed Pro+</t>
        </is>
      </c>
      <c r="D10" t="n">
        <v>10</v>
      </c>
      <c r="E10" t="n">
        <v>22</v>
      </c>
      <c r="F10" t="n">
        <v>77</v>
      </c>
      <c r="G10" t="inlineStr">
        <is>
          <t>Speed</t>
        </is>
      </c>
      <c r="H10" t="n">
        <v>77</v>
      </c>
      <c r="I10" t="n">
        <v>32</v>
      </c>
    </row>
    <row r="11">
      <c r="A11" t="inlineStr">
        <is>
          <t>Speed of Lite 2</t>
        </is>
      </c>
      <c r="B11" t="inlineStr">
        <is>
          <t>LiteCycle</t>
        </is>
      </c>
      <c r="C11" t="inlineStr">
        <is>
          <t>LiteSpeed+</t>
        </is>
      </c>
      <c r="D11" t="n">
        <v>16</v>
      </c>
      <c r="E11" t="n">
        <v>13</v>
      </c>
      <c r="F11" t="n">
        <v>73</v>
      </c>
      <c r="G11" t="inlineStr">
        <is>
          <t>Speed</t>
        </is>
      </c>
      <c r="H11" t="n">
        <v>73</v>
      </c>
      <c r="I11" t="n">
        <v>29</v>
      </c>
    </row>
    <row r="12">
      <c r="A12" t="inlineStr">
        <is>
          <t>Trail Blazing 1</t>
        </is>
      </c>
      <c r="B12" t="inlineStr">
        <is>
          <t>LiteCycle</t>
        </is>
      </c>
      <c r="C12" t="inlineStr">
        <is>
          <t>LiteTrail Pro</t>
        </is>
      </c>
      <c r="D12" t="n">
        <v>18</v>
      </c>
      <c r="E12" t="n">
        <v>79</v>
      </c>
      <c r="F12" t="n">
        <v>34</v>
      </c>
      <c r="G12" t="inlineStr">
        <is>
          <t>Mountain</t>
        </is>
      </c>
      <c r="H12" t="n">
        <v>79</v>
      </c>
      <c r="I12" t="n">
        <v>52</v>
      </c>
    </row>
    <row r="13">
      <c r="A13" s="171" t="inlineStr">
        <is>
          <t>HikeBike 1</t>
        </is>
      </c>
      <c r="B13" s="171" t="inlineStr">
        <is>
          <t>WeBike</t>
        </is>
      </c>
      <c r="C13" s="171" t="inlineStr">
        <is>
          <t>Hike Bike</t>
        </is>
      </c>
      <c r="D13" s="171" t="n">
        <v>33</v>
      </c>
      <c r="E13" s="171" t="n">
        <v>80</v>
      </c>
      <c r="F13" s="171" t="n">
        <v>26</v>
      </c>
      <c r="G13" s="171" t="inlineStr">
        <is>
          <t>Mountain</t>
        </is>
      </c>
      <c r="H13" s="171" t="n">
        <v>80</v>
      </c>
      <c r="I13" s="171" t="n">
        <v>59</v>
      </c>
    </row>
    <row r="14">
      <c r="A14" s="171" t="inlineStr">
        <is>
          <t>Swift Bike</t>
        </is>
      </c>
      <c r="B14" s="171" t="inlineStr">
        <is>
          <t>WeBike</t>
        </is>
      </c>
      <c r="C14" s="171" t="inlineStr">
        <is>
          <t>Swift Bike</t>
        </is>
      </c>
      <c r="D14" s="171" t="n">
        <v>52</v>
      </c>
      <c r="E14" s="171" t="n">
        <v>36</v>
      </c>
      <c r="F14" s="171" t="n">
        <v>70</v>
      </c>
      <c r="G14" s="171" t="inlineStr">
        <is>
          <t>Speed</t>
        </is>
      </c>
      <c r="H14" s="171" t="n">
        <v>70</v>
      </c>
      <c r="I14" s="171" t="n">
        <v>88</v>
      </c>
    </row>
    <row r="15">
      <c r="A15" t="inlineStr">
        <is>
          <t>BB Big Momma</t>
        </is>
      </c>
      <c r="B15" t="inlineStr">
        <is>
          <t>BB LLC</t>
        </is>
      </c>
      <c r="C15" t="inlineStr">
        <is>
          <t>Blu Ruged Ballz</t>
        </is>
      </c>
      <c r="D15" t="n">
        <v>28</v>
      </c>
      <c r="E15" t="n">
        <v>81</v>
      </c>
      <c r="F15" t="n">
        <v>27</v>
      </c>
      <c r="G15" t="inlineStr">
        <is>
          <t>Mountain</t>
        </is>
      </c>
      <c r="H15" t="n">
        <v>81</v>
      </c>
      <c r="I15" t="n">
        <v>55</v>
      </c>
    </row>
    <row r="16">
      <c r="A16" t="inlineStr">
        <is>
          <t>Unleash lil pap</t>
        </is>
      </c>
      <c r="B16" t="inlineStr">
        <is>
          <t>BB LLC</t>
        </is>
      </c>
      <c r="C16" t="inlineStr">
        <is>
          <t>Blu Tube Ballz</t>
        </is>
      </c>
      <c r="D16" t="n">
        <v>15</v>
      </c>
      <c r="E16" t="n">
        <v>16</v>
      </c>
      <c r="F16" t="n">
        <v>76</v>
      </c>
      <c r="G16" t="inlineStr">
        <is>
          <t>Speed</t>
        </is>
      </c>
      <c r="H16" t="n">
        <v>76</v>
      </c>
      <c r="I16" t="n">
        <v>31</v>
      </c>
    </row>
    <row r="17">
      <c r="A17" t="inlineStr">
        <is>
          <t>Spoke'd Easy</t>
        </is>
      </c>
      <c r="B17" t="inlineStr">
        <is>
          <t>Spoke'd Up</t>
        </is>
      </c>
      <c r="C17" t="inlineStr">
        <is>
          <t>Spoke'd Easy</t>
        </is>
      </c>
      <c r="D17" t="n">
        <v>59</v>
      </c>
      <c r="E17" t="n">
        <v>27</v>
      </c>
      <c r="F17" t="n">
        <v>21</v>
      </c>
      <c r="G17" t="inlineStr">
        <is>
          <t>Recreation</t>
        </is>
      </c>
      <c r="H17" t="n">
        <v>59</v>
      </c>
      <c r="I17" t="n">
        <v>48</v>
      </c>
    </row>
    <row r="18">
      <c r="A18" t="inlineStr">
        <is>
          <t>Spoke'd Speed</t>
        </is>
      </c>
      <c r="B18" t="inlineStr">
        <is>
          <t>Spoke'd Up</t>
        </is>
      </c>
      <c r="C18" t="inlineStr">
        <is>
          <t>Spoke'd Speed</t>
        </is>
      </c>
      <c r="D18" t="n">
        <v>4</v>
      </c>
      <c r="E18" t="n">
        <v>18</v>
      </c>
      <c r="F18" t="n">
        <v>57</v>
      </c>
      <c r="G18" t="inlineStr">
        <is>
          <t>Speed</t>
        </is>
      </c>
      <c r="H18" t="n">
        <v>57</v>
      </c>
      <c r="I18" t="n">
        <v>22</v>
      </c>
    </row>
    <row r="19">
      <c r="A19" t="inlineStr">
        <is>
          <t>The Armstrong 1</t>
        </is>
      </c>
      <c r="B19" t="inlineStr">
        <is>
          <t>SpaceBikes</t>
        </is>
      </c>
      <c r="C19" t="inlineStr">
        <is>
          <t>The Armstrong</t>
        </is>
      </c>
      <c r="D19" t="n">
        <v>2</v>
      </c>
      <c r="E19" t="n">
        <v>21</v>
      </c>
      <c r="F19" t="n">
        <v>77</v>
      </c>
      <c r="G19" t="inlineStr">
        <is>
          <t>Speed</t>
        </is>
      </c>
      <c r="H19" t="n">
        <v>77</v>
      </c>
      <c r="I19" t="n">
        <v>23</v>
      </c>
    </row>
    <row r="20">
      <c r="A20" t="inlineStr">
        <is>
          <t>Mars Rover 1</t>
        </is>
      </c>
      <c r="B20" t="inlineStr">
        <is>
          <t>SpaceBikes</t>
        </is>
      </c>
      <c r="C20" t="inlineStr">
        <is>
          <t>Mars Rover</t>
        </is>
      </c>
      <c r="D20" t="n">
        <v>79</v>
      </c>
      <c r="E20" t="n">
        <v>25</v>
      </c>
      <c r="F20" t="n">
        <v>24</v>
      </c>
      <c r="G20" t="inlineStr">
        <is>
          <t>Recreation</t>
        </is>
      </c>
      <c r="H20" t="n">
        <v>79</v>
      </c>
      <c r="I20" t="n">
        <v>49</v>
      </c>
    </row>
    <row r="21">
      <c r="A21" t="inlineStr">
        <is>
          <t>Skim MILC MKII</t>
        </is>
      </c>
      <c r="B21" t="inlineStr">
        <is>
          <t>MILC Bikes</t>
        </is>
      </c>
      <c r="C21" t="inlineStr">
        <is>
          <t>Skim MILC MKII</t>
        </is>
      </c>
      <c r="D21" t="n">
        <v>10</v>
      </c>
      <c r="E21" t="n">
        <v>19</v>
      </c>
      <c r="F21" t="n">
        <v>75</v>
      </c>
      <c r="G21" t="inlineStr">
        <is>
          <t>Speed</t>
        </is>
      </c>
      <c r="H21" t="n">
        <v>75</v>
      </c>
      <c r="I21" t="n">
        <v>29</v>
      </c>
    </row>
    <row r="22">
      <c r="A22" t="inlineStr">
        <is>
          <t>Whole MILC MKII</t>
        </is>
      </c>
      <c r="B22" t="inlineStr">
        <is>
          <t>MILC Bikes</t>
        </is>
      </c>
      <c r="C22" t="inlineStr">
        <is>
          <t>Whole MILC MKII</t>
        </is>
      </c>
      <c r="D22" t="n">
        <v>77</v>
      </c>
      <c r="E22" t="n">
        <v>47</v>
      </c>
      <c r="F22" t="n">
        <v>41</v>
      </c>
      <c r="G22" t="inlineStr">
        <is>
          <t>Recreation</t>
        </is>
      </c>
      <c r="H22" t="n">
        <v>77</v>
      </c>
      <c r="I22" t="n">
        <v>88</v>
      </c>
    </row>
    <row r="25">
      <c r="A25" s="166" t="inlineStr">
        <is>
          <t>SPEED AD LADDER</t>
        </is>
      </c>
      <c r="B25" s="166" t="inlineStr">
        <is>
          <t>Speed score</t>
        </is>
      </c>
      <c r="C25" s="166" t="inlineStr">
        <is>
          <t>Off-target leakage</t>
        </is>
      </c>
      <c r="D25" s="166" t="inlineStr">
        <is>
          <t>Note</t>
        </is>
      </c>
    </row>
    <row r="26">
      <c r="A26" t="inlineStr">
        <is>
          <t>AndStill (Bike Bros)</t>
        </is>
      </c>
      <c r="B26" t="n">
        <v>78</v>
      </c>
      <c r="C26" t="n">
        <v>46</v>
      </c>
      <c r="D26" s="170" t="inlineStr">
        <is>
          <t>BEST Speed ad in the industry</t>
        </is>
      </c>
    </row>
    <row r="27">
      <c r="A27" t="inlineStr">
        <is>
          <t>Speed of Lite 1 (LiteCycle)</t>
        </is>
      </c>
      <c r="B27" t="n">
        <v>77</v>
      </c>
      <c r="C27" t="n">
        <v>32</v>
      </c>
      <c r="D27" s="170" t="inlineStr"/>
    </row>
    <row r="28">
      <c r="A28" t="inlineStr">
        <is>
          <t>The Armstrong 1 (SpaceBikes)</t>
        </is>
      </c>
      <c r="B28" t="n">
        <v>77</v>
      </c>
      <c r="C28" t="n">
        <v>23</v>
      </c>
      <c r="D28" s="170" t="inlineStr"/>
    </row>
    <row r="29">
      <c r="A29" t="inlineStr">
        <is>
          <t>Unleash lil pap (BB LLC)</t>
        </is>
      </c>
      <c r="B29" t="n">
        <v>76</v>
      </c>
      <c r="C29" t="n">
        <v>31</v>
      </c>
      <c r="D29" s="170" t="inlineStr"/>
    </row>
    <row r="30">
      <c r="A30" t="inlineStr">
        <is>
          <t>Skim MILC MKII (MILC Bikes)</t>
        </is>
      </c>
      <c r="B30" t="n">
        <v>75</v>
      </c>
      <c r="C30" t="n">
        <v>29</v>
      </c>
      <c r="D30" s="170" t="inlineStr"/>
    </row>
    <row r="31">
      <c r="A31" t="inlineStr">
        <is>
          <t>Speed of Lite 2 (LiteCycle)</t>
        </is>
      </c>
      <c r="B31" t="n">
        <v>73</v>
      </c>
      <c r="C31" t="n">
        <v>29</v>
      </c>
      <c r="D31" s="170" t="inlineStr"/>
    </row>
    <row r="32">
      <c r="A32" t="inlineStr">
        <is>
          <t>Excluspeedity (Bike Bros)</t>
        </is>
      </c>
      <c r="B32" t="n">
        <v>72</v>
      </c>
      <c r="C32" t="n">
        <v>12</v>
      </c>
      <c r="D32" s="170" t="inlineStr"/>
    </row>
    <row r="33">
      <c r="A33" s="171" t="inlineStr">
        <is>
          <t>Swift Bike (WeBike)</t>
        </is>
      </c>
      <c r="B33" s="188" t="n">
        <v>70</v>
      </c>
      <c r="C33" s="188" t="n">
        <v>88</v>
      </c>
      <c r="D33" s="194" t="inlineStr">
        <is>
          <t>OURS - 8th of 9</t>
        </is>
      </c>
    </row>
    <row r="34">
      <c r="A34" t="inlineStr">
        <is>
          <t>Spoke'd Speed (Spoke'd Up)</t>
        </is>
      </c>
      <c r="B34" t="n">
        <v>57</v>
      </c>
      <c r="C34" t="n">
        <v>22</v>
      </c>
      <c r="D34" s="170" t="inlineStr">
        <is>
          <t>worst; drags Spoke'd Up to last on Marketing Effectiveness</t>
        </is>
      </c>
    </row>
    <row r="37">
      <c r="A37" s="166" t="inlineStr">
        <is>
          <t>MOUNTAIN AD LADDER</t>
        </is>
      </c>
      <c r="B37" s="166" t="inlineStr">
        <is>
          <t>Mountain score</t>
        </is>
      </c>
      <c r="C37" s="166" t="inlineStr">
        <is>
          <t>Off-target leakage</t>
        </is>
      </c>
      <c r="D37" s="166" t="inlineStr">
        <is>
          <t>Note</t>
        </is>
      </c>
    </row>
    <row r="38">
      <c r="A38" t="inlineStr">
        <is>
          <t>BB Big Momma (BB LLC)</t>
        </is>
      </c>
      <c r="B38" t="n">
        <v>81</v>
      </c>
      <c r="C38" t="n">
        <v>55</v>
      </c>
      <c r="D38" s="170" t="inlineStr">
        <is>
          <t>BEST</t>
        </is>
      </c>
    </row>
    <row r="39">
      <c r="A39" s="171" t="inlineStr">
        <is>
          <t>HikeBike 1 (WeBike)</t>
        </is>
      </c>
      <c r="B39" s="172" t="n">
        <v>80</v>
      </c>
      <c r="C39" s="171" t="n">
        <v>59</v>
      </c>
      <c r="D39" s="194" t="inlineStr">
        <is>
          <t>OURS - 1 point off best</t>
        </is>
      </c>
    </row>
    <row r="40">
      <c r="A40" t="inlineStr">
        <is>
          <t>Trail Blazing 1 (LiteCycle)</t>
        </is>
      </c>
      <c r="B40" t="n">
        <v>79</v>
      </c>
      <c r="C40" t="n">
        <v>52</v>
      </c>
      <c r="D40" s="170" t="inlineStr"/>
    </row>
    <row r="41">
      <c r="A41" t="inlineStr">
        <is>
          <t>TerraTech (Bike Bros)</t>
        </is>
      </c>
      <c r="B41" t="n">
        <v>78</v>
      </c>
      <c r="C41" t="n">
        <v>53</v>
      </c>
      <c r="D41" s="170" t="inlineStr"/>
    </row>
    <row r="42">
      <c r="A42" t="inlineStr">
        <is>
          <t>Mountainability (Bike Bros)</t>
        </is>
      </c>
      <c r="B42" t="n">
        <v>77</v>
      </c>
      <c r="C42" t="n">
        <v>67</v>
      </c>
      <c r="D42" s="170" t="inlineStr"/>
    </row>
    <row r="45">
      <c r="A45" s="166" t="inlineStr">
        <is>
          <t>MARKETING EFFECTIVENESS — formula verified against 3 reported values</t>
        </is>
      </c>
      <c r="B45" s="166" t="inlineStr">
        <is>
          <t>Avg brand</t>
        </is>
      </c>
      <c r="C45" s="166" t="inlineStr">
        <is>
          <t>Avg ad</t>
        </is>
      </c>
      <c r="D45" s="166" t="inlineStr">
        <is>
          <t>ME</t>
        </is>
      </c>
      <c r="E45" s="166" t="inlineStr">
        <is>
          <t>Reported</t>
        </is>
      </c>
    </row>
    <row r="46">
      <c r="A46" t="inlineStr">
        <is>
          <t>BB LLC</t>
        </is>
      </c>
      <c r="B46" t="n">
        <v>74.5</v>
      </c>
      <c r="C46" t="n">
        <v>78.5</v>
      </c>
      <c r="D46" s="195" t="n">
        <v>0.765</v>
      </c>
      <c r="E46" s="170" t="n">
        <v>0.765</v>
      </c>
    </row>
    <row r="47">
      <c r="A47" t="inlineStr">
        <is>
          <t>SpaceBikes</t>
        </is>
      </c>
      <c r="B47" t="n">
        <v>74.5</v>
      </c>
      <c r="C47" t="n">
        <v>78</v>
      </c>
      <c r="D47" s="195" t="n">
        <v>0.7625</v>
      </c>
      <c r="E47" s="170" t="inlineStr"/>
    </row>
    <row r="48">
      <c r="A48" t="inlineStr">
        <is>
          <t>MILC Bikes</t>
        </is>
      </c>
      <c r="B48" t="n">
        <v>75</v>
      </c>
      <c r="C48" t="n">
        <v>76</v>
      </c>
      <c r="D48" s="195" t="n">
        <v>0.755</v>
      </c>
      <c r="E48" s="170" t="inlineStr"/>
    </row>
    <row r="49">
      <c r="A49" s="171" t="inlineStr">
        <is>
          <t>WeBike</t>
        </is>
      </c>
      <c r="B49" s="171" t="n">
        <v>72.5</v>
      </c>
      <c r="C49" s="171" t="n">
        <v>75</v>
      </c>
      <c r="D49" s="196" t="n">
        <v>0.7375</v>
      </c>
      <c r="E49" s="194" t="n">
        <v>0.738</v>
      </c>
    </row>
    <row r="50">
      <c r="A50" t="inlineStr">
        <is>
          <t>Spoke'd Up</t>
        </is>
      </c>
      <c r="B50" t="n">
        <v>74</v>
      </c>
      <c r="C50" t="n">
        <v>58</v>
      </c>
      <c r="D50" s="195" t="n">
        <v>0.6599999999999999</v>
      </c>
      <c r="E50" s="170" t="n">
        <v>0.66</v>
      </c>
    </row>
    <row r="51">
      <c r="A51" t="inlineStr">
        <is>
          <t>Result</t>
        </is>
      </c>
      <c r="E51" s="181" t="inlineStr">
        <is>
          <t>Industry min 0.660 (Spoke'd Up) and max 0.765 (BB LLC) both reproduce exactly, as does our 0.738. Formula confirmed.</t>
        </is>
      </c>
    </row>
    <row r="54">
      <c r="A54" s="166" t="inlineStr">
        <is>
          <t>FIXING SWIFT BIKE — the Marketing Effectiveness payoff</t>
        </is>
      </c>
      <c r="B54" s="166" t="inlineStr">
        <is>
          <t>Brand judgment</t>
        </is>
      </c>
      <c r="C54" s="166" t="inlineStr">
        <is>
          <t>Ad judgment</t>
        </is>
      </c>
      <c r="D54" s="166" t="inlineStr">
        <is>
          <t>ME</t>
        </is>
      </c>
      <c r="E54" s="166" t="inlineStr">
        <is>
          <t>vs industry max 0.765</t>
        </is>
      </c>
    </row>
    <row r="55">
      <c r="A55" t="inlineStr">
        <is>
          <t>Q3 actual</t>
        </is>
      </c>
      <c r="B55" t="n">
        <v>72</v>
      </c>
      <c r="C55" t="n">
        <v>70</v>
      </c>
      <c r="D55" s="197" t="n">
        <v>0.7375</v>
      </c>
      <c r="E55" s="170" t="inlineStr">
        <is>
          <t>below average (0.743)</t>
        </is>
      </c>
    </row>
    <row r="56">
      <c r="A56" t="inlineStr">
        <is>
          <t>Fix ad only</t>
        </is>
      </c>
      <c r="B56" t="n">
        <v>72</v>
      </c>
      <c r="C56" t="n">
        <v>77</v>
      </c>
      <c r="D56" s="195" t="n">
        <v>0.755</v>
      </c>
      <c r="E56" s="170" t="inlineStr">
        <is>
          <t>3rd best</t>
        </is>
      </c>
    </row>
    <row r="57">
      <c r="A57" t="inlineStr">
        <is>
          <t>Fix brand only (14-speed + decals)</t>
        </is>
      </c>
      <c r="B57" t="n">
        <v>77</v>
      </c>
      <c r="C57" t="n">
        <v>70</v>
      </c>
      <c r="D57" s="195" t="n">
        <v>0.75</v>
      </c>
      <c r="E57" s="170" t="inlineStr">
        <is>
          <t>4th best</t>
        </is>
      </c>
    </row>
    <row r="58">
      <c r="A58" t="inlineStr">
        <is>
          <t>FIX BOTH</t>
        </is>
      </c>
      <c r="B58" t="n">
        <v>77</v>
      </c>
      <c r="C58" t="n">
        <v>77</v>
      </c>
      <c r="D58" s="198" t="n">
        <v>0.7675</v>
      </c>
      <c r="E58" s="181" t="inlineStr">
        <is>
          <t>NEW INDUSTRY BEST</t>
        </is>
      </c>
    </row>
    <row r="61">
      <c r="A61" s="166" t="inlineStr">
        <is>
          <t>DIAGNOSIS — the Swift Bike ad is unfocused</t>
        </is>
      </c>
      <c r="B61" s="166" t="inlineStr">
        <is>
          <t>Value</t>
        </is>
      </c>
      <c r="C61" s="166" t="inlineStr">
        <is>
          <t>Note</t>
        </is>
      </c>
    </row>
    <row r="62">
      <c r="A62" t="inlineStr">
        <is>
          <t>Our Swift Bike ad: Recreation score</t>
        </is>
      </c>
      <c r="B62" t="n">
        <v>52</v>
      </c>
      <c r="C62" s="170" t="inlineStr">
        <is>
          <t>highest Rec score of ANY Speed ad</t>
        </is>
      </c>
    </row>
    <row r="63">
      <c r="A63" t="inlineStr">
        <is>
          <t>Our Swift Bike ad: Mountain score</t>
        </is>
      </c>
      <c r="B63" t="n">
        <v>36</v>
      </c>
      <c r="C63" s="170" t="inlineStr">
        <is>
          <t>highest Mtn score of ANY Speed ad</t>
        </is>
      </c>
    </row>
    <row r="64">
      <c r="A64" t="inlineStr">
        <is>
          <t>Total off-target leakage</t>
        </is>
      </c>
      <c r="B64" s="167" t="n">
        <v>88</v>
      </c>
      <c r="C64" s="170" t="inlineStr">
        <is>
          <t>next highest is AndStill at 46; The Armstrong 1 is just 23</t>
        </is>
      </c>
    </row>
    <row r="65">
      <c r="A65" t="inlineStr">
        <is>
          <t>Leading Speed ads for comparison</t>
        </is>
      </c>
      <c r="B65" t="inlineStr">
        <is>
          <t>Rec 2-22, Mtn 13-24</t>
        </is>
      </c>
      <c r="C65" s="170" t="inlineStr">
        <is>
          <t>The Armstrong 1 scores Rec 2 - almost zero</t>
        </is>
      </c>
    </row>
    <row r="66">
      <c r="A66" t="inlineStr">
        <is>
          <t>UPDATED with copy (Q3_Competitor_Ads)</t>
        </is>
      </c>
      <c r="C66" s="174" t="inlineStr">
        <is>
          <t>FALSE: Swift Bike did NOT clone Hike Bike's Mountain messaging. Actual ranks: road race -&gt; carbon light -&gt; great price -&gt; brand -&gt; lights -&gt; reflectors. Zero Mountain claims. Rec-safety + price ad with a Speed picture. See Q3_Competitor_Ads.</t>
        </is>
      </c>
    </row>
    <row r="67">
      <c r="A67" t="inlineStr">
        <is>
          <t>Q4 draft (NOT locked)</t>
        </is>
      </c>
      <c r="C67" s="174" t="inlineStr">
        <is>
          <t>Unleash snippet + AndStill extras. 1 brand (not a snippet)  2 wind-cheater  3 racing tires  4 elite look  5 3D printing  6 local sales  7 road-race picture. DROP lights, reflectors, great price. Preview in the designer. See Q3_Competitor_Ads.</t>
        </is>
      </c>
    </row>
    <row r="70">
      <c r="A70" s="166" t="inlineStr">
        <is>
          <t>AD PORTFOLIO PATTERNS</t>
        </is>
      </c>
      <c r="B70" s="166" t="inlineStr">
        <is>
          <t>Ads</t>
        </is>
      </c>
      <c r="C70" s="166" t="inlineStr">
        <is>
          <t>Brands</t>
        </is>
      </c>
      <c r="D70" s="166" t="inlineStr">
        <is>
          <t>Note</t>
        </is>
      </c>
    </row>
    <row r="71">
      <c r="A71" t="inlineStr">
        <is>
          <t>Bike Bros</t>
        </is>
      </c>
      <c r="B71" t="n">
        <v>5</v>
      </c>
      <c r="C71" t="n">
        <v>5</v>
      </c>
      <c r="D71" s="170" t="inlineStr">
        <is>
          <t>TWO ads each for MACH I.I and TERRAMAX - A/B testing. Still finished LAST.</t>
        </is>
      </c>
    </row>
    <row r="72">
      <c r="A72" t="inlineStr">
        <is>
          <t>LiteCycle</t>
        </is>
      </c>
      <c r="B72" t="n">
        <v>3</v>
      </c>
      <c r="C72" t="n">
        <v>3</v>
      </c>
      <c r="D72" s="170" t="inlineStr">
        <is>
          <t>one ad per brand</t>
        </is>
      </c>
    </row>
    <row r="73">
      <c r="A73" t="inlineStr">
        <is>
          <t>BB LLC</t>
        </is>
      </c>
      <c r="B73" t="n">
        <v>2</v>
      </c>
      <c r="C73" t="n">
        <v>4</v>
      </c>
      <c r="D73" s="170" t="inlineStr">
        <is>
          <t>advertises only Blu Ruged Ballz + Blu Tube Ballz; Blu Aero and Blu Tail run with NO ad</t>
        </is>
      </c>
    </row>
    <row r="74">
      <c r="A74" t="inlineStr">
        <is>
          <t>WeBike</t>
        </is>
      </c>
      <c r="B74" t="n">
        <v>2</v>
      </c>
      <c r="C74" t="n">
        <v>2</v>
      </c>
      <c r="D74" s="170" t="inlineStr">
        <is>
          <t>one per brand</t>
        </is>
      </c>
    </row>
    <row r="75">
      <c r="A75" t="inlineStr">
        <is>
          <t>SpaceBikes / MILC / Spoke'd Up</t>
        </is>
      </c>
      <c r="B75" t="n">
        <v>2</v>
      </c>
      <c r="C75" t="n">
        <v>2</v>
      </c>
      <c r="D75" s="170" t="inlineStr">
        <is>
          <t>one per brand</t>
        </is>
      </c>
    </row>
    <row r="76">
      <c r="A76" t="inlineStr">
        <is>
          <t>Read</t>
        </is>
      </c>
      <c r="D76" s="174" t="inlineStr">
        <is>
          <t>The LEADER runs the FEWEST ads relative to its brand count - 2 ads for 4 brands - and both are best or near-best in class. Bike Bros runs the most ads and is last. Ad QUALITY beats ad COUNT. A second Swift Bike ad is not the answer; a better one is.</t>
        </is>
      </c>
    </row>
    <row r="77">
      <c r="A77" t="inlineStr">
        <is>
          <t>Portfolio idea worth noting</t>
        </is>
      </c>
      <c r="D77" s="170" t="inlineStr">
        <is>
          <t>BB LLC pairs an ADVERTISED brand with an UNADVERTISED second brand in each segment (Blu Ruged + Blu Tail in Mountain, Blu Tube + Blu Aero in Speed). The ad builds the segment and the second brand catches overflow at a higher price. Not a Q4 move for us - capacity binds - but note it for later.</t>
        </is>
      </c>
    </row>
    <row r="80">
      <c r="A80" s="166" t="inlineStr">
        <is>
          <t>Q4 ADVERTISING ACTIONS</t>
        </is>
      </c>
      <c r="B80" s="166" t="inlineStr">
        <is>
          <t>Decision</t>
        </is>
      </c>
    </row>
    <row r="81">
      <c r="A81" t="inlineStr">
        <is>
          <t>HikeBike 1</t>
        </is>
      </c>
      <c r="B81" s="174" t="inlineStr">
        <is>
          <t>KEEP. 80 vs BB LLC's 81 - one point off the industry best. Redesign cost is not justified; put the money into media inserts and capacity instead.</t>
        </is>
      </c>
    </row>
    <row r="82">
      <c r="A82" t="inlineStr">
        <is>
          <t>Swift Bike ad</t>
        </is>
      </c>
      <c r="B82" s="174" t="inlineStr">
        <is>
          <t>REDESIGN: Unleash snippet + AndStill extras. 1 brand  2 wind-cheater  3 racing tires  4 elite look  5 3D printing  6 local sales  7 road-race picture. DROP lights, reflectors, great price. Not locked — preview in the designer. Copy is on Q3_Competitor_Ads.</t>
        </is>
      </c>
    </row>
    <row r="83">
      <c r="A83" t="inlineStr">
        <is>
          <t>Do NOT add more ads</t>
        </is>
      </c>
      <c r="B83" s="174" t="inlineStr">
        <is>
          <t>The leader runs 2 ads for 4 brands; the last-place firm runs 5 for 5. Quality over count.</t>
        </is>
      </c>
    </row>
    <row r="84">
      <c r="A84" t="inlineStr">
        <is>
          <t>Combined payoff</t>
        </is>
      </c>
      <c r="B84" s="174" t="inlineStr">
        <is>
          <t>Swift Bike brand 72-&gt;77 AND ad 70-&gt;77 lifts Marketing Effectiveness from 0.738 to 0.7675 - past BB LLC's 0.765 to become the industry best. Both fixes are cheap relative to capacity.</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cols>
    <col width="52" customWidth="1" style="146" min="1" max="1"/>
    <col width="28" customWidth="1" style="146" min="2" max="2"/>
    <col width="28" customWidth="1" style="146" min="3" max="3"/>
    <col width="88" customWidth="1" style="146" min="4" max="4"/>
    <col width="12" customWidth="1" style="146" min="5" max="5"/>
    <col width="12" customWidth="1" style="146" min="6" max="6"/>
    <col width="12" customWidth="1" style="146" min="7" max="7"/>
    <col width="14" customWidth="1" style="146" min="8" max="8"/>
    <col width="88" customWidth="1" style="146" min="9" max="9"/>
  </cols>
  <sheetData>
    <row r="1">
      <c r="A1" s="169" t="inlineStr">
        <is>
          <t>Competitor Ads — ranked benefits, Q3 actual (all 18 ads)</t>
        </is>
      </c>
    </row>
    <row r="2" ht="36" customHeight="1" s="146">
      <c r="A2" s="170" t="inlineStr">
        <is>
          <t>Source: Competitors' Ads research, previous quarter (Q3). Rank 1 = most visible. HikeBike 1 dropped the Q2 'great price' claim (now 7 benefits). Swift Bike is the only Speed ad that claims lights, reflectors, or great price.</t>
        </is>
      </c>
    </row>
    <row r="4">
      <c r="A4" s="166" t="inlineStr">
        <is>
          <t>Ad</t>
        </is>
      </c>
      <c r="B4" s="166" t="inlineStr">
        <is>
          <t>Company</t>
        </is>
      </c>
      <c r="C4" s="166" t="inlineStr">
        <is>
          <t>Brand advertised</t>
        </is>
      </c>
      <c r="D4" s="166" t="inlineStr">
        <is>
          <t>Segment</t>
        </is>
      </c>
      <c r="E4" s="166" t="inlineStr">
        <is>
          <t>Rec</t>
        </is>
      </c>
      <c r="F4" s="166" t="inlineStr">
        <is>
          <t>Mtn</t>
        </is>
      </c>
      <c r="G4" s="166" t="inlineStr">
        <is>
          <t>Speed</t>
        </is>
      </c>
      <c r="H4" s="166" t="inlineStr">
        <is>
          <t>n benefits</t>
        </is>
      </c>
      <c r="I4" s="166" t="inlineStr">
        <is>
          <t>Ranked benefits (1 = most visible)</t>
        </is>
      </c>
    </row>
    <row r="5" ht="36" customHeight="1" s="146">
      <c r="A5" t="inlineStr">
        <is>
          <t>Excluspeedity</t>
        </is>
      </c>
      <c r="B5" t="inlineStr">
        <is>
          <t>Bike Bros</t>
        </is>
      </c>
      <c r="C5" t="inlineStr">
        <is>
          <t>MACH I.I</t>
        </is>
      </c>
      <c r="D5" t="inlineStr">
        <is>
          <t>Speed</t>
        </is>
      </c>
      <c r="E5" t="n">
        <v>0</v>
      </c>
      <c r="F5" t="n">
        <v>12</v>
      </c>
      <c r="G5" t="n">
        <v>72</v>
      </c>
      <c r="H5" t="n">
        <v>6</v>
      </c>
      <c r="I5" s="170" t="inlineStr">
        <is>
          <t>1. Picture of road race -&gt; 2. Mention brand name -&gt; 3. Ride a wind-cheater -&gt; 4. Fast and furious -&gt; 5. Roll fast with racing tires -&gt; 6. Enjoy your ride - carbon fiber light</t>
        </is>
      </c>
    </row>
    <row r="6" ht="36" customHeight="1" s="146">
      <c r="A6" t="inlineStr">
        <is>
          <t>TerraTech</t>
        </is>
      </c>
      <c r="B6" t="inlineStr">
        <is>
          <t>Bike Bros</t>
        </is>
      </c>
      <c r="C6" t="inlineStr">
        <is>
          <t>TERRAMAX</t>
        </is>
      </c>
      <c r="D6" t="inlineStr">
        <is>
          <t>Mountain</t>
        </is>
      </c>
      <c r="E6" t="n">
        <v>23</v>
      </c>
      <c r="F6" t="n">
        <v>78</v>
      </c>
      <c r="G6" t="n">
        <v>30</v>
      </c>
      <c r="H6" t="n">
        <v>6</v>
      </c>
      <c r="I6" s="170" t="inlineStr">
        <is>
          <t>1. Picture of a rider on a steep trail -&gt; 2. Mention brand name -&gt; 3. Go anywhere on a tough carbon bike -&gt; 4. Local sales &amp; service -&gt; 5. Mountains are no longer difficult -&gt; 6. Tackle steep climbs with more gears</t>
        </is>
      </c>
    </row>
    <row r="7" ht="36" customHeight="1" s="146">
      <c r="A7" t="inlineStr">
        <is>
          <t>Easy Rider</t>
        </is>
      </c>
      <c r="B7" t="inlineStr">
        <is>
          <t>Bike Bros</t>
        </is>
      </c>
      <c r="C7" t="inlineStr">
        <is>
          <t>MountainCruise1</t>
        </is>
      </c>
      <c r="D7" t="inlineStr">
        <is>
          <t>Recreation</t>
        </is>
      </c>
      <c r="E7" t="n">
        <v>75</v>
      </c>
      <c r="F7" t="n">
        <v>25</v>
      </c>
      <c r="G7" t="n">
        <v>17</v>
      </c>
      <c r="H7" t="n">
        <v>6</v>
      </c>
      <c r="I7" s="170" t="inlineStr">
        <is>
          <t>1. Easy riding on a comfort seat -&gt; 2. Mention brand name -&gt; 3. Keep your head high - comfort straight handlebar -&gt; 4. Picture of riders on a greenway -&gt; 5. Local sales &amp; service -&gt; 6. Lots of fun to ride</t>
        </is>
      </c>
    </row>
    <row r="8" ht="36" customHeight="1" s="146">
      <c r="A8" t="inlineStr">
        <is>
          <t>Mountainability</t>
        </is>
      </c>
      <c r="B8" t="inlineStr">
        <is>
          <t>Bike Bros</t>
        </is>
      </c>
      <c r="C8" t="inlineStr">
        <is>
          <t>TERRAMAX</t>
        </is>
      </c>
      <c r="D8" t="inlineStr">
        <is>
          <t>Mountain</t>
        </is>
      </c>
      <c r="E8" t="n">
        <v>35</v>
      </c>
      <c r="F8" t="n">
        <v>77</v>
      </c>
      <c r="G8" t="n">
        <v>32</v>
      </c>
      <c r="H8" t="n">
        <v>6</v>
      </c>
      <c r="I8" s="170" t="inlineStr">
        <is>
          <t>1. Picture of a rider on a steep trail -&gt; 2. Mention brand name -&gt; 3. Have an adventure on a carbon bike! -&gt; 4. Tackle steep climbs with more gears -&gt; 5. Grab the path with high tread tires -&gt; 6. Local sales &amp; service</t>
        </is>
      </c>
    </row>
    <row r="9" ht="36" customHeight="1" s="146">
      <c r="A9" t="inlineStr">
        <is>
          <t>AndStill</t>
        </is>
      </c>
      <c r="B9" t="inlineStr">
        <is>
          <t>Bike Bros</t>
        </is>
      </c>
      <c r="C9" t="inlineStr">
        <is>
          <t>MACH I.I</t>
        </is>
      </c>
      <c r="D9" t="inlineStr">
        <is>
          <t>Speed</t>
        </is>
      </c>
      <c r="E9" t="n">
        <v>22</v>
      </c>
      <c r="F9" t="n">
        <v>24</v>
      </c>
      <c r="G9" t="n">
        <v>78</v>
      </c>
      <c r="H9" t="n">
        <v>7</v>
      </c>
      <c r="I9" s="170" t="inlineStr">
        <is>
          <t>1. Picture of road race -&gt; 2. Mention brand name -&gt; 3. Ride a wind-cheater -&gt; 4. Elite look - a ride of distinction -&gt; 5. A tailor-made bike just for you! 3D printing -&gt; 6. Roll fast with racing tires -&gt; 7. Local sales &amp; service</t>
        </is>
      </c>
    </row>
    <row r="10" ht="36" customHeight="1" s="146">
      <c r="A10" t="inlineStr">
        <is>
          <t>Speed of Lite 1</t>
        </is>
      </c>
      <c r="B10" t="inlineStr">
        <is>
          <t>LiteCycle</t>
        </is>
      </c>
      <c r="C10" t="inlineStr">
        <is>
          <t>LiteSpeed Pro+</t>
        </is>
      </c>
      <c r="D10" t="inlineStr">
        <is>
          <t>Speed</t>
        </is>
      </c>
      <c r="E10" t="n">
        <v>10</v>
      </c>
      <c r="F10" t="n">
        <v>22</v>
      </c>
      <c r="G10" t="n">
        <v>77</v>
      </c>
      <c r="H10" t="n">
        <v>7</v>
      </c>
      <c r="I10" s="170" t="inlineStr">
        <is>
          <t>1. Picture of road race -&gt; 2. Mention brand name -&gt; 3. Ride a wind-cheater -&gt; 4. Elite look - a ride of distinction -&gt; 5. Roll fast with racing tires -&gt; 6. A tailor-made bike just for you! 3D printing -&gt; 7. Fast and furious</t>
        </is>
      </c>
    </row>
    <row r="11" ht="36" customHeight="1" s="146">
      <c r="A11" t="inlineStr">
        <is>
          <t>Speed of Lite 2</t>
        </is>
      </c>
      <c r="B11" t="inlineStr">
        <is>
          <t>LiteCycle</t>
        </is>
      </c>
      <c r="C11" t="inlineStr">
        <is>
          <t>LiteSpeed+</t>
        </is>
      </c>
      <c r="D11" t="inlineStr">
        <is>
          <t>Speed</t>
        </is>
      </c>
      <c r="E11" t="n">
        <v>16</v>
      </c>
      <c r="F11" t="n">
        <v>13</v>
      </c>
      <c r="G11" t="n">
        <v>73</v>
      </c>
      <c r="H11" t="n">
        <v>6</v>
      </c>
      <c r="I11" s="170" t="inlineStr">
        <is>
          <t>1. Picture of road race -&gt; 2. Mention brand name -&gt; 3. Enjoy your ride - carbon fiber light -&gt; 4. Ride a wind-cheater -&gt; 5. Roll fast with racing tires -&gt; 6. Elite look - a ride of distinction</t>
        </is>
      </c>
    </row>
    <row r="12" ht="36" customHeight="1" s="146">
      <c r="A12" t="inlineStr">
        <is>
          <t>Trail Blazing 1</t>
        </is>
      </c>
      <c r="B12" t="inlineStr">
        <is>
          <t>LiteCycle</t>
        </is>
      </c>
      <c r="C12" t="inlineStr">
        <is>
          <t>LiteTrail Pro</t>
        </is>
      </c>
      <c r="D12" t="inlineStr">
        <is>
          <t>Mountain</t>
        </is>
      </c>
      <c r="E12" t="n">
        <v>18</v>
      </c>
      <c r="F12" t="n">
        <v>79</v>
      </c>
      <c r="G12" t="n">
        <v>34</v>
      </c>
      <c r="H12" t="n">
        <v>6</v>
      </c>
      <c r="I12" s="170" t="inlineStr">
        <is>
          <t>1. Picture of a rider on a steep trail -&gt; 2. Mention brand name -&gt; 3. Mountains are no longer difficult -&gt; 4. Have an adventure on a carbon bike! -&gt; 5. Tackle steep climbs with more gears -&gt; 6. Grab the path with high tread tires</t>
        </is>
      </c>
    </row>
    <row r="13" ht="36" customHeight="1" s="146">
      <c r="A13" s="171" t="inlineStr">
        <is>
          <t>HikeBike 1</t>
        </is>
      </c>
      <c r="B13" s="171" t="inlineStr">
        <is>
          <t>WeBike</t>
        </is>
      </c>
      <c r="C13" s="171" t="inlineStr">
        <is>
          <t>Hike Bike</t>
        </is>
      </c>
      <c r="D13" s="171" t="inlineStr">
        <is>
          <t>Mountain</t>
        </is>
      </c>
      <c r="E13" s="171" t="n">
        <v>33</v>
      </c>
      <c r="F13" s="172" t="n">
        <v>80</v>
      </c>
      <c r="G13" s="171" t="n">
        <v>26</v>
      </c>
      <c r="H13" s="171" t="n">
        <v>7</v>
      </c>
      <c r="I13" s="194" t="inlineStr">
        <is>
          <t>1. Mention brand name -&gt; 2. Picture of a rider on a steep trail -&gt; 3. Tackle steep climbs with more gears -&gt; 4. Grab the path with high tread tires -&gt; 5. Have an adventure on a carbon bike! -&gt; 6. Go anywhere on a tough carbon bike -&gt; 7. Mountains are no longer difficult</t>
        </is>
      </c>
    </row>
    <row r="14" ht="36" customHeight="1" s="146">
      <c r="A14" s="171" t="inlineStr">
        <is>
          <t>Swift Bike</t>
        </is>
      </c>
      <c r="B14" s="171" t="inlineStr">
        <is>
          <t>WeBike</t>
        </is>
      </c>
      <c r="C14" s="171" t="inlineStr">
        <is>
          <t>Swift Bike</t>
        </is>
      </c>
      <c r="D14" s="171" t="inlineStr">
        <is>
          <t>Speed</t>
        </is>
      </c>
      <c r="E14" s="171" t="n">
        <v>52</v>
      </c>
      <c r="F14" s="171" t="n">
        <v>36</v>
      </c>
      <c r="G14" s="188" t="n">
        <v>70</v>
      </c>
      <c r="H14" s="171" t="n">
        <v>6</v>
      </c>
      <c r="I14" s="194" t="inlineStr">
        <is>
          <t>1. Picture of road race -&gt; 2. Enjoy your ride - carbon fiber light -&gt; 3. Carbon fiber quality at a great price -&gt; 4. Mention brand name -&gt; 5. Ride safely after dark with lights -&gt; 6. Added safety - reflectors everywhere!</t>
        </is>
      </c>
    </row>
    <row r="15" ht="36" customHeight="1" s="146">
      <c r="A15" t="inlineStr">
        <is>
          <t>BB Big Momma</t>
        </is>
      </c>
      <c r="B15" t="inlineStr">
        <is>
          <t>BB LLC</t>
        </is>
      </c>
      <c r="C15" t="inlineStr">
        <is>
          <t>Blu Ruged Ballz</t>
        </is>
      </c>
      <c r="D15" t="inlineStr">
        <is>
          <t>Mountain</t>
        </is>
      </c>
      <c r="E15" t="n">
        <v>28</v>
      </c>
      <c r="F15" t="n">
        <v>81</v>
      </c>
      <c r="G15" t="n">
        <v>27</v>
      </c>
      <c r="H15" t="n">
        <v>6</v>
      </c>
      <c r="I15" s="170" t="inlineStr">
        <is>
          <t>1. Tackle steep climbs with more gears -&gt; 2. Grab the path with high tread tires -&gt; 3. Highest rated Mountain bike -&gt; 4. Local sales &amp; service -&gt; 5. Mention brand name -&gt; 6. Picture of a rider on a steep trail</t>
        </is>
      </c>
    </row>
    <row r="16" ht="36" customHeight="1" s="146">
      <c r="A16" t="inlineStr">
        <is>
          <t>Unleash lil pap</t>
        </is>
      </c>
      <c r="B16" t="inlineStr">
        <is>
          <t>BB LLC</t>
        </is>
      </c>
      <c r="C16" t="inlineStr">
        <is>
          <t>Blu Tube Ballz</t>
        </is>
      </c>
      <c r="D16" t="inlineStr">
        <is>
          <t>Speed</t>
        </is>
      </c>
      <c r="E16" t="n">
        <v>15</v>
      </c>
      <c r="F16" t="n">
        <v>16</v>
      </c>
      <c r="G16" t="n">
        <v>76</v>
      </c>
      <c r="H16" t="n">
        <v>6</v>
      </c>
      <c r="I16" s="170" t="inlineStr">
        <is>
          <t>1. Ride a wind-cheater -&gt; 2. Roll fast with racing tires -&gt; 3. Elite look - a ride of distinction -&gt; 4. Local sales &amp; service -&gt; 5. Mention brand name -&gt; 6. Picture of road race</t>
        </is>
      </c>
    </row>
    <row r="17" ht="36" customHeight="1" s="146">
      <c r="A17" t="inlineStr">
        <is>
          <t>Spoke'd Easy</t>
        </is>
      </c>
      <c r="B17" t="inlineStr">
        <is>
          <t>Spoke'd Up</t>
        </is>
      </c>
      <c r="C17" t="inlineStr">
        <is>
          <t>Spoke'd Easy</t>
        </is>
      </c>
      <c r="D17" t="inlineStr">
        <is>
          <t>Recreation</t>
        </is>
      </c>
      <c r="E17" t="n">
        <v>59</v>
      </c>
      <c r="F17" t="n">
        <v>27</v>
      </c>
      <c r="G17" t="n">
        <v>21</v>
      </c>
      <c r="H17" t="n">
        <v>9</v>
      </c>
      <c r="I17" s="170" t="inlineStr">
        <is>
          <t>1. Mention brand name -&gt; 2. Easy riding on a comfort seat -&gt; 3. Lots of fun to ride -&gt; 4. Keep your head high - comfort straight handlebar -&gt; 5. Picture of riders on a greenway -&gt; 6. Enjoy your ride - carbon fiber light -&gt; 7. Carbon fiber quality at a great price -&gt; 8. Carry your stuff easily -&gt; 9. Highest rated Recreation bike</t>
        </is>
      </c>
    </row>
    <row r="18" ht="36" customHeight="1" s="146">
      <c r="A18" t="inlineStr">
        <is>
          <t>Spoke'd Speed</t>
        </is>
      </c>
      <c r="B18" t="inlineStr">
        <is>
          <t>Spoke'd Up</t>
        </is>
      </c>
      <c r="C18" t="inlineStr">
        <is>
          <t>Spoke'd Speed</t>
        </is>
      </c>
      <c r="D18" t="inlineStr">
        <is>
          <t>Speed</t>
        </is>
      </c>
      <c r="E18" t="n">
        <v>4</v>
      </c>
      <c r="F18" t="n">
        <v>18</v>
      </c>
      <c r="G18" t="n">
        <v>57</v>
      </c>
      <c r="H18" t="n">
        <v>9</v>
      </c>
      <c r="I18" s="170" t="inlineStr">
        <is>
          <t>1. Mention brand name -&gt; 2. Fast and furious -&gt; 3. Ride a wind-cheater -&gt; 4. Roll fast with racing tires -&gt; 5. Enjoy your ride - carbon fiber light -&gt; 6. Picture of road race -&gt; 7. Elite look - a ride of distinction -&gt; 8. The gym is wherever you take it -&gt; 9. A tailor-made bike just for you! 3D printing</t>
        </is>
      </c>
    </row>
    <row r="19" ht="36" customHeight="1" s="146">
      <c r="A19" t="inlineStr">
        <is>
          <t>The Armstrong 1</t>
        </is>
      </c>
      <c r="B19" t="inlineStr">
        <is>
          <t>SpaceBikes</t>
        </is>
      </c>
      <c r="C19" t="inlineStr">
        <is>
          <t>The Armstrong</t>
        </is>
      </c>
      <c r="D19" t="inlineStr">
        <is>
          <t>Speed</t>
        </is>
      </c>
      <c r="E19" t="n">
        <v>2</v>
      </c>
      <c r="F19" t="n">
        <v>21</v>
      </c>
      <c r="G19" t="n">
        <v>77</v>
      </c>
      <c r="H19" t="n">
        <v>6</v>
      </c>
      <c r="I19" s="170" t="inlineStr">
        <is>
          <t>1. Highest rated Speed bike -&gt; 2. Picture of road race -&gt; 3. Fast and furious -&gt; 4. Mention brand name -&gt; 5. Ride a wind-cheater -&gt; 6. Local sales &amp; service</t>
        </is>
      </c>
    </row>
    <row r="20" ht="36" customHeight="1" s="146">
      <c r="A20" t="inlineStr">
        <is>
          <t>Mars Rover 1</t>
        </is>
      </c>
      <c r="B20" t="inlineStr">
        <is>
          <t>SpaceBikes</t>
        </is>
      </c>
      <c r="C20" t="inlineStr">
        <is>
          <t>Mars Rover</t>
        </is>
      </c>
      <c r="D20" t="inlineStr">
        <is>
          <t>Recreation</t>
        </is>
      </c>
      <c r="E20" t="n">
        <v>79</v>
      </c>
      <c r="F20" t="n">
        <v>25</v>
      </c>
      <c r="G20" t="n">
        <v>24</v>
      </c>
      <c r="H20" t="n">
        <v>7</v>
      </c>
      <c r="I20" s="170" t="inlineStr">
        <is>
          <t>1. Highest rated Recreation bike -&gt; 2. Lots of fun to ride -&gt; 3. Picture of riders on a greenway -&gt; 4. Mention brand name -&gt; 5. Easy riding on a comfort seat -&gt; 6. Added safety - reflectors everywhere! -&gt; 7. Local sales &amp; service</t>
        </is>
      </c>
    </row>
    <row r="21" ht="36" customHeight="1" s="146">
      <c r="A21" t="inlineStr">
        <is>
          <t>Skim MILC MKII</t>
        </is>
      </c>
      <c r="B21" t="inlineStr">
        <is>
          <t>MILC Bikes</t>
        </is>
      </c>
      <c r="C21" t="inlineStr">
        <is>
          <t>Skim MILC MKII</t>
        </is>
      </c>
      <c r="D21" t="inlineStr">
        <is>
          <t>Speed</t>
        </is>
      </c>
      <c r="E21" t="n">
        <v>10</v>
      </c>
      <c r="F21" t="n">
        <v>19</v>
      </c>
      <c r="G21" t="n">
        <v>75</v>
      </c>
      <c r="H21" t="n">
        <v>7</v>
      </c>
      <c r="I21" s="170" t="inlineStr">
        <is>
          <t>1. Picture of road race -&gt; 2. Mention brand name -&gt; 3. Ride a wind-cheater -&gt; 4. Elite look - a ride of distinction -&gt; 5. Roll fast with racing tires -&gt; 6. Enjoy your ride - carbon fiber light -&gt; 7. Fast and furious</t>
        </is>
      </c>
    </row>
    <row r="22" ht="36" customHeight="1" s="146">
      <c r="A22" t="inlineStr">
        <is>
          <t>Whole MILC MKII</t>
        </is>
      </c>
      <c r="B22" t="inlineStr">
        <is>
          <t>MILC Bikes</t>
        </is>
      </c>
      <c r="C22" t="inlineStr">
        <is>
          <t>Whole MILC MKII</t>
        </is>
      </c>
      <c r="D22" t="inlineStr">
        <is>
          <t>Recreation</t>
        </is>
      </c>
      <c r="E22" t="n">
        <v>77</v>
      </c>
      <c r="F22" t="n">
        <v>47</v>
      </c>
      <c r="G22" t="n">
        <v>41</v>
      </c>
      <c r="H22" t="n">
        <v>6</v>
      </c>
      <c r="I22" s="170" t="inlineStr">
        <is>
          <t>1. Easy riding on a comfort seat -&gt; 2. Mention brand name -&gt; 3. Keep your head high - comfort straight handlebar -&gt; 4. Enjoy your ride - carbon fiber light -&gt; 5. Carbon fiber quality at a great price -&gt; 6. Local sales &amp; service</t>
        </is>
      </c>
    </row>
    <row r="25">
      <c r="A25" s="166" t="inlineStr">
        <is>
          <t>SWIFT BIKE vs THE TWO BEST SPEED ADS</t>
        </is>
      </c>
      <c r="B25" s="166" t="inlineStr">
        <is>
          <t>AndStill (78, best)</t>
        </is>
      </c>
      <c r="C25" s="166" t="inlineStr">
        <is>
          <t>Speed of Lite 1 (77)</t>
        </is>
      </c>
      <c r="D25" s="166" t="inlineStr">
        <is>
          <t>Swift Bike (70)</t>
        </is>
      </c>
    </row>
    <row r="26">
      <c r="A26" t="inlineStr">
        <is>
          <t>Score in Speed</t>
        </is>
      </c>
      <c r="B26" t="n">
        <v>78</v>
      </c>
      <c r="C26" t="n">
        <v>77</v>
      </c>
      <c r="D26" s="173" t="n">
        <v>70</v>
      </c>
    </row>
    <row r="27">
      <c r="A27" t="inlineStr">
        <is>
          <t>Off-target leakage (Rec+Mtn)</t>
        </is>
      </c>
      <c r="B27" t="n">
        <v>46</v>
      </c>
      <c r="C27" t="n">
        <v>32</v>
      </c>
      <c r="D27" s="173" t="n">
        <v>88</v>
      </c>
    </row>
    <row r="28">
      <c r="A28" t="inlineStr">
        <is>
          <t>Picture of road race</t>
        </is>
      </c>
      <c r="B28" t="n">
        <v>1</v>
      </c>
      <c r="C28" t="n">
        <v>1</v>
      </c>
      <c r="D28" s="173" t="n">
        <v>1</v>
      </c>
    </row>
    <row r="29">
      <c r="A29" t="inlineStr">
        <is>
          <t>Mention brand name</t>
        </is>
      </c>
      <c r="B29" t="n">
        <v>2</v>
      </c>
      <c r="C29" t="n">
        <v>2</v>
      </c>
      <c r="D29" s="173" t="n">
        <v>4</v>
      </c>
    </row>
    <row r="30">
      <c r="A30" t="inlineStr">
        <is>
          <t>Ride a wind-cheater</t>
        </is>
      </c>
      <c r="B30" t="n">
        <v>3</v>
      </c>
      <c r="C30" t="n">
        <v>3</v>
      </c>
      <c r="D30" s="167" t="inlineStr">
        <is>
          <t>—</t>
        </is>
      </c>
    </row>
    <row r="31">
      <c r="A31" t="inlineStr">
        <is>
          <t>Elite look - a ride of distinction</t>
        </is>
      </c>
      <c r="B31" t="n">
        <v>4</v>
      </c>
      <c r="C31" t="n">
        <v>4</v>
      </c>
      <c r="D31" s="167" t="inlineStr">
        <is>
          <t>—</t>
        </is>
      </c>
    </row>
    <row r="32">
      <c r="A32" t="inlineStr">
        <is>
          <t>Roll fast with racing tires</t>
        </is>
      </c>
      <c r="B32" t="n">
        <v>6</v>
      </c>
      <c r="C32" t="n">
        <v>5</v>
      </c>
      <c r="D32" s="167" t="inlineStr">
        <is>
          <t>—</t>
        </is>
      </c>
    </row>
    <row r="33">
      <c r="A33" t="inlineStr">
        <is>
          <t>A tailor-made bike just for you! 3D printing</t>
        </is>
      </c>
      <c r="B33" t="n">
        <v>5</v>
      </c>
      <c r="C33" t="n">
        <v>6</v>
      </c>
      <c r="D33" s="167" t="inlineStr">
        <is>
          <t>—</t>
        </is>
      </c>
    </row>
    <row r="34">
      <c r="A34" t="inlineStr">
        <is>
          <t>Fast and furious</t>
        </is>
      </c>
      <c r="B34" t="inlineStr">
        <is>
          <t>—</t>
        </is>
      </c>
      <c r="C34" t="n">
        <v>7</v>
      </c>
      <c r="D34" s="167" t="inlineStr">
        <is>
          <t>—</t>
        </is>
      </c>
    </row>
    <row r="35">
      <c r="A35" t="inlineStr">
        <is>
          <t>Local sales &amp; service</t>
        </is>
      </c>
      <c r="B35" t="n">
        <v>7</v>
      </c>
      <c r="C35" t="inlineStr">
        <is>
          <t>—</t>
        </is>
      </c>
      <c r="D35" s="167" t="inlineStr">
        <is>
          <t>—</t>
        </is>
      </c>
    </row>
    <row r="36">
      <c r="A36" t="inlineStr">
        <is>
          <t>Enjoy your ride - carbon fiber light</t>
        </is>
      </c>
      <c r="B36" t="inlineStr">
        <is>
          <t>—</t>
        </is>
      </c>
      <c r="C36" t="inlineStr">
        <is>
          <t>—</t>
        </is>
      </c>
      <c r="D36" s="173" t="n">
        <v>2</v>
      </c>
    </row>
    <row r="37">
      <c r="A37" t="inlineStr">
        <is>
          <t>Carbon fiber quality at a great price</t>
        </is>
      </c>
      <c r="B37" t="inlineStr">
        <is>
          <t>—</t>
        </is>
      </c>
      <c r="C37" t="inlineStr">
        <is>
          <t>—</t>
        </is>
      </c>
      <c r="D37" s="167" t="n">
        <v>3</v>
      </c>
    </row>
    <row r="38">
      <c r="A38" t="inlineStr">
        <is>
          <t>Ride safely after dark with lights</t>
        </is>
      </c>
      <c r="B38" t="inlineStr">
        <is>
          <t>—</t>
        </is>
      </c>
      <c r="C38" t="inlineStr">
        <is>
          <t>—</t>
        </is>
      </c>
      <c r="D38" s="167" t="n">
        <v>5</v>
      </c>
    </row>
    <row r="39">
      <c r="A39" t="inlineStr">
        <is>
          <t>Added safety - reflectors everywhere!</t>
        </is>
      </c>
      <c r="B39" t="inlineStr">
        <is>
          <t>—</t>
        </is>
      </c>
      <c r="C39" t="inlineStr">
        <is>
          <t>—</t>
        </is>
      </c>
      <c r="D39" s="167" t="n">
        <v>6</v>
      </c>
    </row>
    <row r="42">
      <c r="A42" s="166" t="inlineStr">
        <is>
          <t>SPEED CONSENSUS (8 rival ads) vs SWIFT</t>
        </is>
      </c>
      <c r="B42" s="166" t="inlineStr">
        <is>
          <t>Rivals using it</t>
        </is>
      </c>
      <c r="C42" s="166" t="inlineStr">
        <is>
          <t>Typical rank</t>
        </is>
      </c>
      <c r="D42" s="166" t="inlineStr">
        <is>
          <t>Swift Bike</t>
        </is>
      </c>
    </row>
    <row r="43">
      <c r="A43" t="inlineStr">
        <is>
          <t>Picture of road race</t>
        </is>
      </c>
      <c r="B43" t="inlineStr">
        <is>
          <t>8/8</t>
        </is>
      </c>
      <c r="C43" t="inlineStr">
        <is>
          <t>1 (five ads lead with it)</t>
        </is>
      </c>
      <c r="D43" s="181" t="inlineStr">
        <is>
          <t>HAS — rank 1 (the one thing we got right)</t>
        </is>
      </c>
    </row>
    <row r="44">
      <c r="A44" t="inlineStr">
        <is>
          <t>Mention brand name</t>
        </is>
      </c>
      <c r="B44" t="inlineStr">
        <is>
          <t>8/8</t>
        </is>
      </c>
      <c r="C44" t="inlineStr">
        <is>
          <t>2 (five ads)</t>
        </is>
      </c>
      <c r="D44" s="170" t="inlineStr">
        <is>
          <t>rank 4 — too late; SERP top-3 never names the brand</t>
        </is>
      </c>
    </row>
    <row r="45">
      <c r="A45" t="inlineStr">
        <is>
          <t>Ride a wind-cheater</t>
        </is>
      </c>
      <c r="B45" t="inlineStr">
        <is>
          <t>8/8</t>
        </is>
      </c>
      <c r="C45" t="inlineStr">
        <is>
          <t>3</t>
        </is>
      </c>
      <c r="D45" s="174" t="inlineStr">
        <is>
          <t>MISSING</t>
        </is>
      </c>
    </row>
    <row r="46">
      <c r="A46" t="inlineStr">
        <is>
          <t>Roll fast with racing tires</t>
        </is>
      </c>
      <c r="B46" t="inlineStr">
        <is>
          <t>7/8</t>
        </is>
      </c>
      <c r="C46" t="inlineStr">
        <is>
          <t>4–6</t>
        </is>
      </c>
      <c r="D46" s="174" t="inlineStr">
        <is>
          <t>MISSING (bike HAS racing tires)</t>
        </is>
      </c>
    </row>
    <row r="47">
      <c r="A47" t="inlineStr">
        <is>
          <t>Elite look - a ride of distinction</t>
        </is>
      </c>
      <c r="B47" t="inlineStr">
        <is>
          <t>6/8</t>
        </is>
      </c>
      <c r="C47" t="inlineStr">
        <is>
          <t>3–4</t>
        </is>
      </c>
      <c r="D47" s="174" t="inlineStr">
        <is>
          <t>MISSING</t>
        </is>
      </c>
    </row>
    <row r="48">
      <c r="A48" t="inlineStr">
        <is>
          <t>Fast and furious</t>
        </is>
      </c>
      <c r="B48" t="inlineStr">
        <is>
          <t>5/8</t>
        </is>
      </c>
      <c r="C48" t="inlineStr">
        <is>
          <t>2–7</t>
        </is>
      </c>
      <c r="D48" s="174" t="inlineStr">
        <is>
          <t>MISSING</t>
        </is>
      </c>
    </row>
    <row r="49">
      <c r="A49" t="inlineStr">
        <is>
          <t>Enjoy your ride - carbon fiber light</t>
        </is>
      </c>
      <c r="B49" t="inlineStr">
        <is>
          <t>4/8</t>
        </is>
      </c>
      <c r="C49" t="inlineStr">
        <is>
          <t>3–6</t>
        </is>
      </c>
      <c r="D49" s="181" t="inlineStr">
        <is>
          <t>HAS — rank 2</t>
        </is>
      </c>
    </row>
    <row r="50">
      <c r="A50" t="inlineStr">
        <is>
          <t>Local sales &amp; service</t>
        </is>
      </c>
      <c r="B50" t="inlineStr">
        <is>
          <t>3/8</t>
        </is>
      </c>
      <c r="C50" t="inlineStr">
        <is>
          <t>4–7</t>
        </is>
      </c>
      <c r="D50" s="174" t="inlineStr">
        <is>
          <t>MISSING (we are 80.9% store — should claim it)</t>
        </is>
      </c>
    </row>
    <row r="51">
      <c r="A51" t="inlineStr">
        <is>
          <t>A tailor-made bike just for you! 3D printing</t>
        </is>
      </c>
      <c r="B51" t="inlineStr">
        <is>
          <t>3/8</t>
        </is>
      </c>
      <c r="C51" t="inlineStr">
        <is>
          <t>5–6 on the two best ads</t>
        </is>
      </c>
      <c r="D51" s="174" t="inlineStr">
        <is>
          <t>MISSING (we do 3D print)</t>
        </is>
      </c>
    </row>
    <row r="52">
      <c r="A52" t="inlineStr">
        <is>
          <t>Ride safely after dark with lights</t>
        </is>
      </c>
      <c r="B52" t="inlineStr">
        <is>
          <t>0/8</t>
        </is>
      </c>
      <c r="C52" t="inlineStr">
        <is>
          <t>none</t>
        </is>
      </c>
      <c r="D52" s="185" t="inlineStr">
        <is>
          <t>HAS — rank 5. Rec cue. Explains Rec leakage 52.</t>
        </is>
      </c>
    </row>
    <row r="53">
      <c r="A53" t="inlineStr">
        <is>
          <t>Added safety - reflectors everywhere!</t>
        </is>
      </c>
      <c r="B53" t="inlineStr">
        <is>
          <t>0/8</t>
        </is>
      </c>
      <c r="C53" t="inlineStr">
        <is>
          <t>none</t>
        </is>
      </c>
      <c r="D53" s="185" t="inlineStr">
        <is>
          <t>HAS — rank 6. Rec cue.</t>
        </is>
      </c>
    </row>
    <row r="54">
      <c r="A54" t="inlineStr">
        <is>
          <t>Carbon fiber quality at a great price</t>
        </is>
      </c>
      <c r="B54" t="inlineStr">
        <is>
          <t>0/8</t>
        </is>
      </c>
      <c r="C54" t="inlineStr">
        <is>
          <t>none</t>
        </is>
      </c>
      <c r="D54" s="185" t="inlineStr">
        <is>
          <t>HAS — rank 3. Speed is the least price-sensitive segment; we are about to RAISE price to $1,580.</t>
        </is>
      </c>
    </row>
    <row r="57">
      <c r="A57" s="166" t="inlineStr">
        <is>
          <t>DIAGNOSIS — the cloned-Mountain hypothesis is FALSE</t>
        </is>
      </c>
      <c r="B57" s="166" t="inlineStr">
        <is>
          <t>Finding</t>
        </is>
      </c>
    </row>
    <row r="58">
      <c r="A58" t="inlineStr">
        <is>
          <t>What we thought</t>
        </is>
      </c>
      <c r="B58" s="170" t="inlineStr">
        <is>
          <t>Swift Bike inherited Hike Bike's messaging (steep trail / gears / tread / adventure).</t>
        </is>
      </c>
    </row>
    <row r="59">
      <c r="A59" t="inlineStr">
        <is>
          <t>What the copy actually is</t>
        </is>
      </c>
      <c r="B59" s="170" t="inlineStr">
        <is>
          <t>1. road race  2. carbon light  3. great price  4. brand  5. lights  6. reflectors. Zero Mountain benefits. It is a Recreation-safety + price ad with a Speed picture.</t>
        </is>
      </c>
    </row>
    <row r="60">
      <c r="A60" t="inlineStr">
        <is>
          <t>Why Rec leakage is 52 (highest of any Speed ad)</t>
        </is>
      </c>
      <c r="B60" s="174" t="inlineStr">
        <is>
          <t>Lights + reflectors are Rec safety claims. Great price is a Rec/value claim. True on the bike (Speed recipe includes both) but they pull the wrong segment.</t>
        </is>
      </c>
    </row>
    <row r="61">
      <c r="A61" t="inlineStr">
        <is>
          <t>Why the score is 70 not 57</t>
        </is>
      </c>
      <c r="B61" s="170" t="inlineStr">
        <is>
          <t>We at least lead with the road-race picture. Spoke'd Speed has every Speed cue but ranks road race 6th, pads to 9 benefits (incl. gym), and scores 57. Ranking and clutter matter.</t>
        </is>
      </c>
    </row>
    <row r="62">
      <c r="A62" t="inlineStr">
        <is>
          <t>SERP organic (first 3 benefits only)</t>
        </is>
      </c>
      <c r="B62" s="170" t="inlineStr">
        <is>
          <t>Today: road race / carbon light / GREAT PRICE. After a consensus rebuild: road race / brand / wind-cheater.</t>
        </is>
      </c>
    </row>
    <row r="63">
      <c r="A63" t="inlineStr">
        <is>
          <t>HikeBike 1 vs Q2 lock</t>
        </is>
      </c>
      <c r="B63" s="170" t="inlineStr">
        <is>
          <t>Q2 lock had 8 benefits, last = great price. Q3 actual dropped that claim (7 benefits). Ranks 1–7 unchanged. Score 80. Leave it.</t>
        </is>
      </c>
    </row>
    <row r="66">
      <c r="A66" s="166" t="inlineStr">
        <is>
          <t>Q4 SWIFT BIKE AD — DRAFT, NOT LOCKED (Unleash SERP snippet + AndStill extras)</t>
        </is>
      </c>
      <c r="B66" s="166" t="inlineStr">
        <is>
          <t>Rank</t>
        </is>
      </c>
    </row>
    <row r="67">
      <c r="A67" t="inlineStr">
        <is>
          <t>Mention brand name (Ad/Brand columns; not a snippet)</t>
        </is>
      </c>
      <c r="B67" s="181" t="n">
        <v>1</v>
      </c>
    </row>
    <row r="68">
      <c r="A68" t="inlineStr">
        <is>
          <t>Ride a wind-cheater</t>
        </is>
      </c>
      <c r="B68" s="181" t="n">
        <v>2</v>
      </c>
    </row>
    <row r="69">
      <c r="A69" t="inlineStr">
        <is>
          <t>Roll fast with racing tires</t>
        </is>
      </c>
      <c r="B69" s="181" t="n">
        <v>3</v>
      </c>
    </row>
    <row r="70">
      <c r="A70" t="inlineStr">
        <is>
          <t>Elite look - a ride of distinction</t>
        </is>
      </c>
      <c r="B70" s="181" t="n">
        <v>4</v>
      </c>
    </row>
    <row r="71">
      <c r="A71" t="inlineStr">
        <is>
          <t>A tailor-made bike just for you! 3D printing</t>
        </is>
      </c>
      <c r="B71" s="181" t="n">
        <v>5</v>
      </c>
    </row>
    <row r="72">
      <c r="A72" t="inlineStr">
        <is>
          <t>Local sales &amp; service</t>
        </is>
      </c>
      <c r="B72" s="181" t="n">
        <v>6</v>
      </c>
    </row>
    <row r="73">
      <c r="A73" t="inlineStr">
        <is>
          <t>Picture of road race</t>
        </is>
      </c>
      <c r="B73" s="181" t="n">
        <v>7</v>
      </c>
    </row>
    <row r="74">
      <c r="A74" t="inlineStr">
        <is>
          <t>DROP</t>
        </is>
      </c>
      <c r="B74" s="185" t="inlineStr">
        <is>
          <t>lights, reflectors, great price, carbon-light-as-#2</t>
        </is>
      </c>
    </row>
    <row r="75">
      <c r="A75" t="inlineStr">
        <is>
          <t>Why this order</t>
        </is>
      </c>
      <c r="B75" s="174" t="inlineStr">
        <is>
          <t>Brand does not eat a snippet slot, so ranks 2-4 = Unleash's #1 Speed SERP (wind / racing / elite, 200 clicks). Picture last keeps print coverage without burying the snippet. AndStill (picture-first) scores 78 judgment but 7th organically.</t>
        </is>
      </c>
    </row>
    <row r="76">
      <c r="A76" t="inlineStr">
        <is>
          <t>Do not add a 2nd Swift ad</t>
        </is>
      </c>
      <c r="B76" s="174" t="inlineStr">
        <is>
          <t>Quality &gt; count. Preview the score in the designer before committing.</t>
        </is>
      </c>
    </row>
    <row r="77">
      <c r="A77" t="inlineStr">
        <is>
          <t>HikeBike 1</t>
        </is>
      </c>
      <c r="B77" s="174" t="inlineStr">
        <is>
          <t>KEEP. Optional 1-pt chase: add 'Highest rated Mountain bike' (true, tied at 73) and/or local sales &amp; service — BB Big Momma uses both and scores 81. Not worth a redesign fee unless the preview moves.</t>
        </is>
      </c>
    </row>
  </sheetData>
  <mergeCells count="1">
    <mergeCell ref="A2:I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113"/>
  <sheetViews>
    <sheetView workbookViewId="0">
      <selection activeCell="A1" sqref="A1"/>
    </sheetView>
  </sheetViews>
  <sheetFormatPr baseColWidth="8" defaultRowHeight="15"/>
  <cols>
    <col width="46" customWidth="1" style="146" min="1" max="1"/>
    <col width="40" customWidth="1" style="146" min="2" max="2"/>
    <col width="30" customWidth="1" style="146" min="3" max="3"/>
    <col width="16" customWidth="1" style="146" min="4" max="4"/>
    <col width="78" customWidth="1" style="146" min="5" max="5"/>
    <col width="20" customWidth="1" style="146" min="6" max="6"/>
  </cols>
  <sheetData>
    <row r="1">
      <c r="A1" s="257" t="inlineStr">
        <is>
          <t>Q4 — COPY BB LLC: complete change list</t>
        </is>
      </c>
    </row>
    <row r="2" ht="62" customHeight="1" s="146">
      <c r="A2" s="258" t="inlineStr">
        <is>
          <t>BB LLC scored 22 on the Q3 quarterly scorecard (next best 11, WeBike 0) and targets the SAME two segments we do — Mountain and Speed. Their Mountain bike is byte-identical to ours: 56/73/1 components, brand judgment 73, price $1,365, price judgment 81/100/100. Same product, same price, 46.3% share vs our 22.1%. There is no product or pricing explanation left. Everything below is execution we can copy.</t>
        </is>
      </c>
    </row>
    <row r="4">
      <c r="A4" s="199" t="inlineStr">
        <is>
          <t>THE FULL GAP</t>
        </is>
      </c>
      <c r="B4" s="199" t="inlineStr">
        <is>
          <t>BB LLC</t>
        </is>
      </c>
      <c r="C4" s="199" t="inlineStr">
        <is>
          <t>WeBike</t>
        </is>
      </c>
      <c r="D4" s="199" t="inlineStr">
        <is>
          <t>Gap</t>
        </is>
      </c>
      <c r="E4" s="259" t="inlineStr">
        <is>
          <t>Copyable in Q4?</t>
        </is>
      </c>
    </row>
    <row r="5">
      <c r="A5" s="200" t="inlineStr">
        <is>
          <t>Q3 quarterly BSC</t>
        </is>
      </c>
      <c r="B5" s="200" t="inlineStr">
        <is>
          <t>22</t>
        </is>
      </c>
      <c r="C5" s="200" t="inlineStr">
        <is>
          <t>0</t>
        </is>
      </c>
      <c r="D5" s="200" t="inlineStr">
        <is>
          <t>—</t>
        </is>
      </c>
      <c r="E5" s="260" t="inlineStr">
        <is>
          <t>outcome</t>
        </is>
      </c>
    </row>
    <row r="6">
      <c r="A6" s="200" t="inlineStr">
        <is>
          <t>Total demand</t>
        </is>
      </c>
      <c r="B6" s="200" t="inlineStr">
        <is>
          <t>1,507</t>
        </is>
      </c>
      <c r="C6" s="200" t="inlineStr">
        <is>
          <t>627</t>
        </is>
      </c>
      <c r="D6" s="200" t="inlineStr">
        <is>
          <t>2.40x</t>
        </is>
      </c>
      <c r="E6" s="260" t="inlineStr">
        <is>
          <t>outcome</t>
        </is>
      </c>
    </row>
    <row r="7">
      <c r="A7" s="200" t="inlineStr">
        <is>
          <t>Mountain demand (share)</t>
        </is>
      </c>
      <c r="B7" s="200" t="inlineStr">
        <is>
          <t>751 (46.3%)</t>
        </is>
      </c>
      <c r="C7" s="200" t="inlineStr">
        <is>
          <t>358 (22.1%)</t>
        </is>
      </c>
      <c r="D7" s="200" t="inlineStr">
        <is>
          <t>+393 units</t>
        </is>
      </c>
      <c r="E7" s="260" t="inlineStr">
        <is>
          <t>partly</t>
        </is>
      </c>
    </row>
    <row r="8">
      <c r="A8" s="200" t="inlineStr">
        <is>
          <t>Speed demand (share)</t>
        </is>
      </c>
      <c r="B8" s="200" t="inlineStr">
        <is>
          <t>657 (22.8%)</t>
        </is>
      </c>
      <c r="C8" s="200" t="inlineStr">
        <is>
          <t>216 (7.5%)</t>
        </is>
      </c>
      <c r="D8" s="200" t="inlineStr">
        <is>
          <t>+441 units</t>
        </is>
      </c>
      <c r="E8" s="260" t="inlineStr">
        <is>
          <t>partly</t>
        </is>
      </c>
    </row>
    <row r="9">
      <c r="A9" s="200" t="inlineStr">
        <is>
          <t>Demand actually served</t>
        </is>
      </c>
      <c r="B9" s="200" t="inlineStr">
        <is>
          <t>99.9%</t>
        </is>
      </c>
      <c r="C9" s="204" t="inlineStr">
        <is>
          <t>67.5%</t>
        </is>
      </c>
      <c r="D9" s="200" t="inlineStr">
        <is>
          <t>204 units lost</t>
        </is>
      </c>
      <c r="E9" s="261" t="inlineStr">
        <is>
          <t>YES — fully</t>
        </is>
      </c>
    </row>
    <row r="10">
      <c r="A10" s="200" t="inlineStr">
        <is>
          <t>Mountain brand judgment</t>
        </is>
      </c>
      <c r="B10" s="206" t="inlineStr">
        <is>
          <t>73 (Blu Ruged)</t>
        </is>
      </c>
      <c r="C10" s="206" t="inlineStr">
        <is>
          <t>73 (Hike Bike)</t>
        </is>
      </c>
      <c r="D10" s="206" t="inlineStr">
        <is>
          <t>TIED</t>
        </is>
      </c>
      <c r="E10" s="260" t="inlineStr">
        <is>
          <t>already equal</t>
        </is>
      </c>
    </row>
    <row r="11">
      <c r="A11" s="200" t="inlineStr">
        <is>
          <t>Mountain price</t>
        </is>
      </c>
      <c r="B11" s="206" t="inlineStr">
        <is>
          <t>$1,365</t>
        </is>
      </c>
      <c r="C11" s="206" t="inlineStr">
        <is>
          <t>$1,365</t>
        </is>
      </c>
      <c r="D11" s="206" t="inlineStr">
        <is>
          <t>IDENTICAL</t>
        </is>
      </c>
      <c r="E11" s="260" t="inlineStr">
        <is>
          <t>already equal</t>
        </is>
      </c>
    </row>
    <row r="12">
      <c r="A12" s="200" t="inlineStr">
        <is>
          <t>Speed brand judgment</t>
        </is>
      </c>
      <c r="B12" s="200" t="inlineStr">
        <is>
          <t>76 (Blu Tube)</t>
        </is>
      </c>
      <c r="C12" s="200" t="inlineStr">
        <is>
          <t>72 (Swift)</t>
        </is>
      </c>
      <c r="D12" s="200" t="inlineStr">
        <is>
          <t>−4</t>
        </is>
      </c>
      <c r="E12" s="260" t="inlineStr">
        <is>
          <t>YES — we can hit 77</t>
        </is>
      </c>
    </row>
    <row r="13">
      <c r="A13" s="200" t="inlineStr">
        <is>
          <t>Speed price</t>
        </is>
      </c>
      <c r="B13" s="200" t="inlineStr">
        <is>
          <t>$1,580</t>
        </is>
      </c>
      <c r="C13" s="200" t="inlineStr">
        <is>
          <t>$1,450</t>
        </is>
      </c>
      <c r="D13" s="200" t="inlineStr">
        <is>
          <t>−$130</t>
        </is>
      </c>
      <c r="E13" s="260" t="inlineStr">
        <is>
          <t>YES — exactly</t>
        </is>
      </c>
    </row>
    <row r="14">
      <c r="A14" s="200" t="inlineStr">
        <is>
          <t>Mountain ad judgment</t>
        </is>
      </c>
      <c r="B14" s="200" t="inlineStr">
        <is>
          <t>81</t>
        </is>
      </c>
      <c r="C14" s="200" t="inlineStr">
        <is>
          <t>80</t>
        </is>
      </c>
      <c r="D14" s="200" t="inlineStr">
        <is>
          <t>−1</t>
        </is>
      </c>
      <c r="E14" s="260" t="inlineStr">
        <is>
          <t>YES — worth 122 clicks</t>
        </is>
      </c>
    </row>
    <row r="15">
      <c r="A15" s="200" t="inlineStr">
        <is>
          <t>Speed ad judgment</t>
        </is>
      </c>
      <c r="B15" s="200" t="inlineStr">
        <is>
          <t>76</t>
        </is>
      </c>
      <c r="C15" s="200" t="inlineStr">
        <is>
          <t>70</t>
        </is>
      </c>
      <c r="D15" s="200" t="inlineStr">
        <is>
          <t>−6</t>
        </is>
      </c>
      <c r="E15" s="260" t="inlineStr">
        <is>
          <t>YES — we can hit 77</t>
        </is>
      </c>
    </row>
    <row r="16">
      <c r="A16" s="200" t="inlineStr">
        <is>
          <t>Media inserts / spend</t>
        </is>
      </c>
      <c r="B16" s="200" t="inlineStr">
        <is>
          <t>24 / $108,000</t>
        </is>
      </c>
      <c r="C16" s="204" t="inlineStr">
        <is>
          <t>19 / $116,000</t>
        </is>
      </c>
      <c r="D16" s="200" t="inlineStr">
        <is>
          <t>we paid MORE for LESS</t>
        </is>
      </c>
      <c r="E16" s="261" t="inlineStr">
        <is>
          <t>YES — and it SAVES $8,000</t>
        </is>
      </c>
    </row>
    <row r="17">
      <c r="A17" s="200" t="inlineStr">
        <is>
          <t>Inserts in Biking Magazines</t>
        </is>
      </c>
      <c r="B17" s="200" t="inlineStr">
        <is>
          <t>24 (100%)</t>
        </is>
      </c>
      <c r="C17" s="200" t="inlineStr">
        <is>
          <t>10 (53%)</t>
        </is>
      </c>
      <c r="D17" s="200" t="inlineStr">
        <is>
          <t>−14</t>
        </is>
      </c>
      <c r="E17" s="260" t="inlineStr">
        <is>
          <t>YES — exactly</t>
        </is>
      </c>
    </row>
    <row r="18">
      <c r="A18" s="200" t="inlineStr">
        <is>
          <t>Organic SEM clicks (same $2,000)</t>
        </is>
      </c>
      <c r="B18" s="200" t="inlineStr">
        <is>
          <t>437</t>
        </is>
      </c>
      <c r="C18" s="200" t="inlineStr">
        <is>
          <t>144</t>
        </is>
      </c>
      <c r="D18" s="200" t="inlineStr">
        <is>
          <t>−293</t>
        </is>
      </c>
      <c r="E18" s="260" t="inlineStr">
        <is>
          <t>partly</t>
        </is>
      </c>
    </row>
    <row r="19">
      <c r="A19" s="200" t="inlineStr">
        <is>
          <t>Organic rank Mountain / Speed</t>
        </is>
      </c>
      <c r="B19" s="200" t="inlineStr">
        <is>
          <t>#1 / #1</t>
        </is>
      </c>
      <c r="C19" s="200" t="inlineStr">
        <is>
          <t>#2 / #5</t>
        </is>
      </c>
      <c r="D19" s="200" t="inlineStr">
        <is>
          <t>—</t>
        </is>
      </c>
      <c r="E19" s="260" t="inlineStr">
        <is>
          <t>Mountain yes, Speed likely</t>
        </is>
      </c>
    </row>
    <row r="20">
      <c r="A20" s="200" t="inlineStr">
        <is>
          <t>Stores</t>
        </is>
      </c>
      <c r="B20" s="200" t="inlineStr">
        <is>
          <t>2 (AMS + NYC)</t>
        </is>
      </c>
      <c r="C20" s="200" t="inlineStr">
        <is>
          <t>2 (AMS + Rio)</t>
        </is>
      </c>
      <c r="D20" s="200" t="inlineStr">
        <is>
          <t>same count</t>
        </is>
      </c>
      <c r="E20" s="260" t="inlineStr">
        <is>
          <t>n/a</t>
        </is>
      </c>
    </row>
    <row r="21">
      <c r="A21" s="200" t="inlineStr">
        <is>
          <t>Store sales force</t>
        </is>
      </c>
      <c r="B21" s="200" t="inlineStr">
        <is>
          <t>14 (7 + 7)</t>
        </is>
      </c>
      <c r="C21" s="200" t="inlineStr">
        <is>
          <t>11 (7 + 4)</t>
        </is>
      </c>
      <c r="D21" s="200" t="inlineStr">
        <is>
          <t>−3</t>
        </is>
      </c>
      <c r="E21" s="260" t="inlineStr">
        <is>
          <t>YES — exactly 14</t>
        </is>
      </c>
    </row>
    <row r="22">
      <c r="A22" s="200" t="inlineStr">
        <is>
          <t>Store crew mix per city</t>
        </is>
      </c>
      <c r="B22" s="200" t="inlineStr">
        <is>
          <t>1 Svc / 3 Mtn / 3 Speed</t>
        </is>
      </c>
      <c r="C22" s="200" t="inlineStr">
        <is>
          <t>AMS 1/3/2+1 untrained</t>
        </is>
      </c>
      <c r="D22" s="200" t="inlineStr">
        <is>
          <t>mix + training</t>
        </is>
      </c>
      <c r="E22" s="260" t="inlineStr">
        <is>
          <t>YES — exactly</t>
        </is>
      </c>
    </row>
    <row r="23">
      <c r="A23" s="200" t="inlineStr">
        <is>
          <t>Web sales force</t>
        </is>
      </c>
      <c r="B23" s="200" t="inlineStr">
        <is>
          <t>7 (5 + 2)</t>
        </is>
      </c>
      <c r="C23" s="200" t="inlineStr">
        <is>
          <t>3 (2 + 1)</t>
        </is>
      </c>
      <c r="D23" s="200" t="inlineStr">
        <is>
          <t>−4</t>
        </is>
      </c>
      <c r="E23" s="260" t="inlineStr">
        <is>
          <t>YES — exactly</t>
        </is>
      </c>
    </row>
    <row r="24">
      <c r="A24" s="200" t="inlineStr">
        <is>
          <t>Web productivity tactics funded</t>
        </is>
      </c>
      <c r="B24" s="200" t="inlineStr">
        <is>
          <t>4 of 4 ($33,000)</t>
        </is>
      </c>
      <c r="C24" s="204" t="inlineStr">
        <is>
          <t>1 of 4 ($6,000)</t>
        </is>
      </c>
      <c r="D24" s="200" t="inlineStr">
        <is>
          <t>−3 tactics</t>
        </is>
      </c>
      <c r="E24" s="261" t="inlineStr">
        <is>
          <t>YES — exactly</t>
        </is>
      </c>
    </row>
    <row r="25">
      <c r="A25" s="200" t="inlineStr">
        <is>
          <t>Web units</t>
        </is>
      </c>
      <c r="B25" s="200" t="inlineStr">
        <is>
          <t>569</t>
        </is>
      </c>
      <c r="C25" s="204" t="inlineStr">
        <is>
          <t>120</t>
        </is>
      </c>
      <c r="D25" s="200" t="inlineStr">
        <is>
          <t>−449</t>
        </is>
      </c>
      <c r="E25" s="261" t="inlineStr">
        <is>
          <t>YES — pattern says 435+</t>
        </is>
      </c>
    </row>
    <row r="26">
      <c r="A26" s="200" t="inlineStr">
        <is>
          <t>Fixed capacity / day</t>
        </is>
      </c>
      <c r="B26" s="206" t="inlineStr">
        <is>
          <t>24</t>
        </is>
      </c>
      <c r="C26" s="206" t="inlineStr">
        <is>
          <t>24</t>
        </is>
      </c>
      <c r="D26" s="206" t="inlineStr">
        <is>
          <t>IDENTICAL</t>
        </is>
      </c>
      <c r="E26" s="260" t="inlineStr">
        <is>
          <t>already equal</t>
        </is>
      </c>
    </row>
    <row r="27">
      <c r="A27" s="200" t="inlineStr">
        <is>
          <t>Scheduled operating capacity / day</t>
        </is>
      </c>
      <c r="B27" s="200" t="inlineStr">
        <is>
          <t>24 (100%)</t>
        </is>
      </c>
      <c r="C27" s="204" t="inlineStr">
        <is>
          <t>8 (33%)</t>
        </is>
      </c>
      <c r="D27" s="200" t="inlineStr">
        <is>
          <t>−16</t>
        </is>
      </c>
      <c r="E27" s="261" t="inlineStr">
        <is>
          <t>YES — fully</t>
        </is>
      </c>
    </row>
    <row r="28">
      <c r="A28" s="200" t="inlineStr">
        <is>
          <t>Overtime / day</t>
        </is>
      </c>
      <c r="B28" s="200" t="inlineStr">
        <is>
          <t>6.90</t>
        </is>
      </c>
      <c r="C28" s="200" t="inlineStr">
        <is>
          <t>1.00</t>
        </is>
      </c>
      <c r="D28" s="200" t="inlineStr">
        <is>
          <t>—</t>
        </is>
      </c>
      <c r="E28" s="262" t="inlineStr">
        <is>
          <t>DON'T copy (see below)</t>
        </is>
      </c>
    </row>
    <row r="29">
      <c r="A29" s="200" t="inlineStr">
        <is>
          <t>Sales compensation / productivity</t>
        </is>
      </c>
      <c r="B29" s="200" t="inlineStr">
        <is>
          <t>$27,402 / 78%</t>
        </is>
      </c>
      <c r="C29" s="200" t="inlineStr">
        <is>
          <t>$24,425 / 70%</t>
        </is>
      </c>
      <c r="D29" s="200" t="inlineStr">
        <is>
          <t>−$2,977 / −8 pts</t>
        </is>
      </c>
      <c r="E29" s="260" t="inlineStr">
        <is>
          <t>YES — exactly</t>
        </is>
      </c>
    </row>
    <row r="30">
      <c r="A30" s="200" t="inlineStr">
        <is>
          <t>Worker compensation / productivity</t>
        </is>
      </c>
      <c r="B30" s="200" t="inlineStr">
        <is>
          <t>$23,042 / 75%</t>
        </is>
      </c>
      <c r="C30" s="200" t="inlineStr">
        <is>
          <t>$20,757 / 72%</t>
        </is>
      </c>
      <c r="D30" s="200" t="inlineStr">
        <is>
          <t>−$2,285 / −3 pts</t>
        </is>
      </c>
      <c r="E30" s="260" t="inlineStr">
        <is>
          <t>YES — exactly</t>
        </is>
      </c>
    </row>
    <row r="31">
      <c r="A31" s="200" t="inlineStr">
        <is>
          <t>Marketing Effectiveness</t>
        </is>
      </c>
      <c r="B31" s="200" t="inlineStr">
        <is>
          <t>0.765 (max)</t>
        </is>
      </c>
      <c r="C31" s="200" t="inlineStr">
        <is>
          <t>0.738</t>
        </is>
      </c>
      <c r="D31" s="200" t="inlineStr">
        <is>
          <t>−0.027</t>
        </is>
      </c>
      <c r="E31" s="260" t="inlineStr">
        <is>
          <t>YES — we can reach 0.7675</t>
        </is>
      </c>
    </row>
    <row r="32">
      <c r="A32" s="200" t="inlineStr">
        <is>
          <t>Asset Management</t>
        </is>
      </c>
      <c r="B32" s="200" t="inlineStr">
        <is>
          <t>0.920</t>
        </is>
      </c>
      <c r="C32" s="200" t="inlineStr">
        <is>
          <t>0.353</t>
        </is>
      </c>
      <c r="D32" s="200" t="inlineStr">
        <is>
          <t>idle cash</t>
        </is>
      </c>
      <c r="E32" s="260" t="inlineStr">
        <is>
          <t>YES — spend it on the above</t>
        </is>
      </c>
    </row>
    <row r="35">
      <c r="A35" s="199" t="inlineStr">
        <is>
          <t>#</t>
        </is>
      </c>
      <c r="B35" s="199" t="inlineStr">
        <is>
          <t>CHANGE — enter these in the sim</t>
        </is>
      </c>
      <c r="C35" s="199" t="inlineStr">
        <is>
          <t>Exact value</t>
        </is>
      </c>
      <c r="D35" s="199" t="inlineStr">
        <is>
          <t>Cash / qtr</t>
        </is>
      </c>
      <c r="E35" s="259" t="inlineStr">
        <is>
          <t>Why (evidence)</t>
        </is>
      </c>
    </row>
    <row r="36">
      <c r="A36" s="200" t="n">
        <v>1</v>
      </c>
      <c r="B36" s="222" t="inlineStr">
        <is>
          <t>Schedule operating capacity</t>
        </is>
      </c>
      <c r="C36" s="200" t="inlineStr">
        <is>
          <t>24 / day (100% of owned)</t>
        </is>
      </c>
      <c r="D36" s="200" t="inlineStr">
        <is>
          <t>$0</t>
        </is>
      </c>
      <c r="E36" s="260" t="inlineStr">
        <is>
          <t>BB LLC schedules all 24 owned; we scheduled 8 and stocked out on 204 of 627 units. 24/day x 74% x 65 = 1,154 units, which covers the 1,171 forecast within 1.5%. Also cuts unit cost: under-scheduling pushed labour/unit from $130 to $205.</t>
        </is>
      </c>
    </row>
    <row r="37">
      <c r="A37" s="200" t="n">
        <v>2</v>
      </c>
      <c r="B37" s="222" t="inlineStr">
        <is>
          <t>Overtime</t>
        </is>
      </c>
      <c r="C37" s="211" t="inlineStr">
        <is>
          <t>0.00 — do NOT copy BB LLC's 6.90</t>
        </is>
      </c>
      <c r="D37" s="200" t="inlineStr">
        <is>
          <t>$0</t>
        </is>
      </c>
      <c r="E37" s="260" t="inlineStr">
        <is>
          <t>Manufacturing Productivity = utilisation of scheduled OC minus half the OT ratio. BB LLC's 6.90 OT scores 0.856; scheduling 24 with zero OT scores 1.000. Copy SpaceBikes here, not BB LLC.</t>
        </is>
      </c>
    </row>
    <row r="38">
      <c r="A38" s="200" t="n">
        <v>3</v>
      </c>
      <c r="B38" s="200" t="inlineStr">
        <is>
          <t>Printers</t>
        </is>
      </c>
      <c r="C38" s="211" t="inlineStr">
        <is>
          <t>Buy NONE (unless NYC — then 1)</t>
        </is>
      </c>
      <c r="D38" s="200" t="inlineStr">
        <is>
          <t>$0</t>
        </is>
      </c>
      <c r="E38" s="260" t="inlineStr">
        <is>
          <t>We already own the same 24/day BB LLC does. The Q2 $148,652 excess-capacity charge came from SCHEDULING unused capacity, not owning it. Only scenario E (NYC) needs 32.7/day.</t>
        </is>
      </c>
    </row>
    <row r="39">
      <c r="A39" s="200" t="n">
        <v>4</v>
      </c>
      <c r="B39" s="200" t="inlineStr">
        <is>
          <t>Swift Bike design: gears</t>
        </is>
      </c>
      <c r="C39" s="200" t="inlineStr">
        <is>
          <t>24-speed -&gt; 14-speed (2 x 7)</t>
        </is>
      </c>
      <c r="D39" s="200" t="inlineStr">
        <is>
          <t>design fee</t>
        </is>
      </c>
      <c r="E39" s="260" t="inlineStr">
        <is>
          <t>+3 judgment. Swift Bike is the ONLY Speed brand in the industry running a 24-speed mountain drivetrain — it inherited Hike Bike's. 14-speed is also simpler and should cut unit cost.</t>
        </is>
      </c>
    </row>
    <row r="40">
      <c r="A40" s="200" t="n">
        <v>5</v>
      </c>
      <c r="B40" s="200" t="inlineStr">
        <is>
          <t>Swift Bike design: decals</t>
        </is>
      </c>
      <c r="C40" s="200" t="inlineStr">
        <is>
          <t>ADD colourful thin brushstrokes</t>
        </is>
      </c>
      <c r="D40" s="200" t="inlineStr">
        <is>
          <t>included</t>
        </is>
      </c>
      <c r="E40" s="260" t="inlineStr">
        <is>
          <t>+2 judgment. Takes Swift Bike 72 -&gt; 77, tying the industry Speed ceiling and BEATING BB LLC's Blu Tube at 76. Verified against a model that reproduces all 16 Mountain/Speed scores exactly.</t>
        </is>
      </c>
    </row>
    <row r="41">
      <c r="A41" s="200" t="n">
        <v>6</v>
      </c>
      <c r="B41" s="200" t="inlineStr">
        <is>
          <t>Hike Bike design</t>
        </is>
      </c>
      <c r="C41" s="211" t="inlineStr">
        <is>
          <t>NO CHANGE — 56/73/1</t>
        </is>
      </c>
      <c r="D41" s="200" t="inlineStr">
        <is>
          <t>$0</t>
        </is>
      </c>
      <c r="E41" s="260" t="inlineStr">
        <is>
          <t>73 is the industry Mountain ceiling, tied with BB LLC's own Blu Ruged Ballz. Nothing to gain.</t>
        </is>
      </c>
    </row>
    <row r="42">
      <c r="A42" s="200" t="n">
        <v>7</v>
      </c>
      <c r="B42" s="200" t="inlineStr">
        <is>
          <t>Swift Bike price</t>
        </is>
      </c>
      <c r="C42" s="200" t="inlineStr">
        <is>
          <t>$1,450 -&gt; $1,580</t>
        </is>
      </c>
      <c r="D42" s="200" t="inlineStr">
        <is>
          <t>revenue +</t>
        </is>
      </c>
      <c r="E42" s="260" t="inlineStr">
        <is>
          <t>$1,580 is BB LLC's exact Speed price and draws ZERO Speed resistance (proven by Blu Aero, Blu Tube, Armstrong at the same price). Resistance starts at $1,749. Contribution $756 -&gt; $886.</t>
        </is>
      </c>
    </row>
    <row r="43">
      <c r="A43" s="200" t="n">
        <v>8</v>
      </c>
      <c r="B43" s="200" t="inlineStr">
        <is>
          <t>Hike Bike price</t>
        </is>
      </c>
      <c r="C43" s="211" t="inlineStr">
        <is>
          <t>HOLD $1,365</t>
        </is>
      </c>
      <c r="D43" s="200" t="inlineStr">
        <is>
          <t>$0</t>
        </is>
      </c>
      <c r="E43" s="260" t="inlineStr">
        <is>
          <t>Identical to BB LLC's Mountain price, and tier 81 is the highest tier still scoring 100 in Mountain. Already optimal.</t>
        </is>
      </c>
    </row>
    <row r="44">
      <c r="A44" s="200" t="n">
        <v>9</v>
      </c>
      <c r="B44" s="200" t="inlineStr">
        <is>
          <t>Brand priority</t>
        </is>
      </c>
      <c r="C44" s="200" t="inlineStr">
        <is>
          <t>Hike Bike 1, Swift Bike 2 (unchanged)</t>
        </is>
      </c>
      <c r="D44" s="200" t="inlineStr">
        <is>
          <t>$0</t>
        </is>
      </c>
      <c r="E44" s="260" t="inlineStr">
        <is>
          <t>Same pattern BB LLC uses (Mountain brand at priority 1). Once OC is scheduled to the forecast, priority stops rationing anything.</t>
        </is>
      </c>
    </row>
    <row r="45">
      <c r="A45" s="200" t="n">
        <v>10</v>
      </c>
      <c r="B45" s="200" t="inlineStr">
        <is>
          <t>Swift Bike ad — REBUILD</t>
        </is>
      </c>
      <c r="C45" s="200" t="inlineStr">
        <is>
          <t>7 benefits, ranked (see next block)</t>
        </is>
      </c>
      <c r="D45" s="200" t="inlineStr">
        <is>
          <t>design fee</t>
        </is>
      </c>
      <c r="E45" s="260" t="inlineStr">
        <is>
          <t>70 -&gt; target 77. Our ad is the only Speed ad in the industry selling lights, reflectors and 'great price'; it leaks 52 Rec / 36 Mtn against 12-46 for everyone else.</t>
        </is>
      </c>
    </row>
    <row r="46">
      <c r="A46" s="200" t="n">
        <v>11</v>
      </c>
      <c r="B46" s="200" t="inlineStr">
        <is>
          <t>HikeBike 1 ad — try to clear 82</t>
        </is>
      </c>
      <c r="C46" s="211" t="inlineStr">
        <is>
          <t>add 'Highest rated Mountain bike' + 'Local sales &amp; service'</t>
        </is>
      </c>
      <c r="D46" s="200" t="inlineStr">
        <is>
          <t>design fee</t>
        </is>
      </c>
      <c r="E46" s="260" t="inlineStr">
        <is>
          <t>Mountain SERP rank is EXACTLY ad-judgment order (81&gt;80&gt;79&gt;78&gt;77). Beating BB Big Momma's 81 moves us from position 2 to 1: 115 -&gt; 237 clicks on a page we already pay $1,000 for. Both claims are legal (we are tied at 73) and BB LLC runs both. PREVIEW FIRST — keep Q3 copy if it drops.</t>
        </is>
      </c>
    </row>
    <row r="47">
      <c r="A47" s="200" t="n">
        <v>12</v>
      </c>
      <c r="B47" s="200" t="inlineStr">
        <is>
          <t>Media: HikeBike 1 inserts</t>
        </is>
      </c>
      <c r="C47" s="200" t="inlineStr">
        <is>
          <t>Biking 12 — and nothing else</t>
        </is>
      </c>
      <c r="D47" s="200" t="inlineStr">
        <is>
          <t>$54,000</t>
        </is>
      </c>
      <c r="E47" s="260" t="inlineStr">
        <is>
          <t>Exactly BB LLC's BB Big Momma plan. We cut HikeBike 1 Biking from 12 to 6 in Q3 to 'diversify' and spent the money on Sport/News/Venture instead. Biking is the #1 Mountain medium.</t>
        </is>
      </c>
    </row>
    <row r="48">
      <c r="A48" s="200" t="n">
        <v>13</v>
      </c>
      <c r="B48" s="200" t="inlineStr">
        <is>
          <t>Media: Swift Bike inserts</t>
        </is>
      </c>
      <c r="C48" s="200" t="inlineStr">
        <is>
          <t>Biking 12 — and nothing else</t>
        </is>
      </c>
      <c r="D48" s="200" t="inlineStr">
        <is>
          <t>$54,000</t>
        </is>
      </c>
      <c r="E48" s="260" t="inlineStr">
        <is>
          <t>Exactly BB LLC's Unleash lil pap plan. We ran only 4 Biking for Swift Bike. BB LLC owned 24 of the industry's 51 Biking pages; at 24 each we co-own the medium.</t>
        </is>
      </c>
    </row>
    <row r="49">
      <c r="A49" s="200" t="n">
        <v>14</v>
      </c>
      <c r="B49" s="222" t="inlineStr">
        <is>
          <t>Media total</t>
        </is>
      </c>
      <c r="C49" s="200" t="inlineStr">
        <is>
          <t>24 inserts / $108,000 (was 19 / $116,000)</t>
        </is>
      </c>
      <c r="D49" s="206" t="inlineStr">
        <is>
          <t>-$8,000</t>
        </is>
      </c>
      <c r="E49" s="260" t="inlineStr">
        <is>
          <t>The winning media plan is CHEAPER than what we did. More inserts, best medium, less money. Strictly dominant — the single easiest change on this list.</t>
        </is>
      </c>
    </row>
    <row r="50">
      <c r="A50" s="200" t="n">
        <v>15</v>
      </c>
      <c r="B50" s="200" t="inlineStr">
        <is>
          <t>Web tactic: toll-free phone</t>
        </is>
      </c>
      <c r="C50" s="200" t="inlineStr">
        <is>
          <t>$6,000 -&gt; $9,000</t>
        </is>
      </c>
      <c r="D50" s="200" t="inlineStr">
        <is>
          <t>$3,000</t>
        </is>
      </c>
      <c r="E50" s="260" t="inlineStr">
        <is>
          <t>BB LLC's level. Our one already-funded tactic.</t>
        </is>
      </c>
    </row>
    <row r="51">
      <c r="A51" s="200" t="n">
        <v>16</v>
      </c>
      <c r="B51" s="200" t="inlineStr">
        <is>
          <t>Web tactic: advanced shopping cart</t>
        </is>
      </c>
      <c r="C51" s="200" t="inlineStr">
        <is>
          <t>$0 -&gt; $7,000</t>
        </is>
      </c>
      <c r="D51" s="200" t="inlineStr">
        <is>
          <t>$7,000</t>
        </is>
      </c>
      <c r="E51" s="260" t="inlineStr">
        <is>
          <t>Never funded. BB LLC, LiteCycle, SpaceBikes and MILC all fund it.</t>
        </is>
      </c>
    </row>
    <row r="52">
      <c r="A52" s="200" t="n">
        <v>17</v>
      </c>
      <c r="B52" s="200" t="inlineStr">
        <is>
          <t>Web tactic: page upgrades</t>
        </is>
      </c>
      <c r="C52" s="200" t="inlineStr">
        <is>
          <t>$0 -&gt; $9,000</t>
        </is>
      </c>
      <c r="D52" s="200" t="inlineStr">
        <is>
          <t>$9,000</t>
        </is>
      </c>
      <c r="E52" s="260" t="inlineStr">
        <is>
          <t>We funded this in Q2 and STOPPED it in Q3. BB LLC spends $9,000.</t>
        </is>
      </c>
    </row>
    <row r="53">
      <c r="A53" s="200" t="n">
        <v>18</v>
      </c>
      <c r="B53" s="200" t="inlineStr">
        <is>
          <t>Web tactic: order tracking</t>
        </is>
      </c>
      <c r="C53" s="200" t="inlineStr">
        <is>
          <t>$0 -&gt; $8,000</t>
        </is>
      </c>
      <c r="D53" s="200" t="inlineStr">
        <is>
          <t>$8,000</t>
        </is>
      </c>
      <c r="E53" s="260" t="inlineStr">
        <is>
          <t>Never funded. Every firm that funds all four lands 435-569 web units; every firm that funds fewer lands 120-138. We are at 120.</t>
        </is>
      </c>
    </row>
    <row r="54">
      <c r="A54" s="200" t="n">
        <v>19</v>
      </c>
      <c r="B54" s="222" t="inlineStr">
        <is>
          <t>Web staff</t>
        </is>
      </c>
      <c r="C54" s="200" t="inlineStr">
        <is>
          <t>3 -&gt; 7 (5 sales + 2 service)</t>
        </is>
      </c>
      <c r="D54" s="200" t="inlineStr">
        <is>
          <t>~$27,400</t>
        </is>
      </c>
      <c r="E54" s="260" t="inlineStr">
        <is>
          <t>BB LLC's exact web crew. 7 is the hard cap. Web demand per head: BB LLC 81.3, WeBike 40.0 (last).</t>
        </is>
      </c>
    </row>
    <row r="55">
      <c r="A55" s="200" t="n">
        <v>20</v>
      </c>
      <c r="B55" s="200" t="inlineStr">
        <is>
          <t>Amsterdam store: train the untrained</t>
        </is>
      </c>
      <c r="C55" s="200" t="inlineStr">
        <is>
          <t>1 untrained -&gt; SPEED specialist</t>
        </is>
      </c>
      <c r="D55" s="200" t="inlineStr">
        <is>
          <t>$400</t>
        </is>
      </c>
      <c r="E55" s="260" t="inlineStr">
        <is>
          <t>Gives 1 Service / 3 Mountain / 3 Speed = BB LLC's exact crew. Amsterdam is AT the 7-person cap, so training is the only legal move there.</t>
        </is>
      </c>
    </row>
    <row r="56">
      <c r="A56" s="200" t="n">
        <v>21</v>
      </c>
      <c r="B56" s="200" t="inlineStr">
        <is>
          <t>Rio store: train the untrained</t>
        </is>
      </c>
      <c r="C56" s="200" t="inlineStr">
        <is>
          <t>1 untrained -&gt; MOUNTAIN specialist</t>
        </is>
      </c>
      <c r="D56" s="200" t="inlineStr">
        <is>
          <t>$400</t>
        </is>
      </c>
      <c r="E56" s="260" t="inlineStr">
        <is>
          <t>Only Bike Bros (last place) also carries untrained staff. The other five firms train everyone.</t>
        </is>
      </c>
    </row>
    <row r="57">
      <c r="A57" s="200" t="n">
        <v>22</v>
      </c>
      <c r="B57" s="222" t="inlineStr">
        <is>
          <t>Rio store: hire 3</t>
        </is>
      </c>
      <c r="C57" s="200" t="inlineStr">
        <is>
          <t>+1 Mountain, +2 Speed -&gt; 1 Svc / 3 Mtn / 3 Speed</t>
        </is>
      </c>
      <c r="D57" s="200" t="inlineStr">
        <is>
          <t>~$20,600</t>
        </is>
      </c>
      <c r="E57" s="260" t="inlineStr">
        <is>
          <t>Clones BB LLC's crew in our second store and takes total store force to 14 = BB LLC's 14. Rio measures 60 units/head (we are the ONLY store in the city) vs Amsterdam's 38, so this is our highest-return staffing move: roughly +180 store units.</t>
        </is>
      </c>
    </row>
    <row r="58">
      <c r="A58" s="200" t="n">
        <v>23</v>
      </c>
      <c r="B58" s="222" t="inlineStr">
        <is>
          <t>Sales compensation</t>
        </is>
      </c>
      <c r="C58" s="200" t="inlineStr">
        <is>
          <t>$22,000 salary / Expanded / 2 wk / 4% = $27,402</t>
        </is>
      </c>
      <c r="D58" s="200" t="inlineStr">
        <is>
          <t>~$15,600</t>
        </is>
      </c>
      <c r="E58" s="260" t="inlineStr">
        <is>
          <t>BB LLC's exact package — the industry's best sales productivity at 78%. Drop Full coverage: MILC pays MORE ($27,630) on Full + 1 week and scores 8.4 points WORSE. Salary is the #1 lever (87).</t>
        </is>
      </c>
    </row>
    <row r="59">
      <c r="A59" s="200" t="n">
        <v>24</v>
      </c>
      <c r="B59" s="200" t="inlineStr">
        <is>
          <t>Production compensation</t>
        </is>
      </c>
      <c r="C59" s="200" t="inlineStr">
        <is>
          <t>$18,500 salary / Expanded / 2 wk / 4% = $23,042</t>
        </is>
      </c>
      <c r="D59" s="200" t="inlineStr">
        <is>
          <t>~payroll</t>
        </is>
      </c>
      <c r="E59" s="260" t="inlineStr">
        <is>
          <t>BB LLC's exact package — best worker productivity at 75%. Our mix is already right; we are simply under on salary.</t>
        </is>
      </c>
    </row>
    <row r="60">
      <c r="A60" s="200" t="n">
        <v>25</v>
      </c>
      <c r="B60" s="200" t="inlineStr">
        <is>
          <t>Productivity assumption in the planner</t>
        </is>
      </c>
      <c r="C60" s="200" t="inlineStr">
        <is>
          <t>74% — NEVER 85%</t>
        </is>
      </c>
      <c r="D60" s="200" t="inlineStr">
        <is>
          <t>$0</t>
        </is>
      </c>
      <c r="E60" s="260" t="inlineStr">
        <is>
          <t>Q3 planned 85% and delivered 70/72. BB LLC's 78% sales is the industry ceiling. Pay buys a few HR points, not fifteen productivity points.</t>
        </is>
      </c>
    </row>
    <row r="61">
      <c r="A61" s="200" t="n">
        <v>26</v>
      </c>
      <c r="B61" s="200" t="inlineStr">
        <is>
          <t>Stock issue</t>
        </is>
      </c>
      <c r="C61" s="211" t="inlineStr">
        <is>
          <t>NONE</t>
        </is>
      </c>
      <c r="D61" s="200" t="inlineStr">
        <is>
          <t>$0</t>
        </is>
      </c>
      <c r="E61" s="260" t="inlineStr">
        <is>
          <t>$1,010,838 already sits idle; that is what Asset Management 0.353 punishes. Spend cash, don't raise more.</t>
        </is>
      </c>
    </row>
    <row r="62">
      <c r="A62" s="200" t="n">
        <v>27</v>
      </c>
      <c r="B62" s="200" t="inlineStr">
        <is>
          <t>Target segments</t>
        </is>
      </c>
      <c r="C62" s="200" t="inlineStr">
        <is>
          <t>Mountain (primary) / Speed (secondary)</t>
        </is>
      </c>
      <c r="D62" s="200" t="inlineStr">
        <is>
          <t>$0</t>
        </is>
      </c>
      <c r="E62" s="260" t="inlineStr">
        <is>
          <t>Unchanged — identical to BB LLC's targeting. No action, just don't touch it.</t>
        </is>
      </c>
    </row>
    <row r="63">
      <c r="A63" s="200" t="n">
        <v>28</v>
      </c>
      <c r="B63" s="200" t="inlineStr">
        <is>
          <t>Organic SEM pages</t>
        </is>
      </c>
      <c r="C63" s="200" t="inlineStr">
        <is>
          <t>2 pages, $1,000 each (unchanged)</t>
        </is>
      </c>
      <c r="D63" s="200" t="inlineStr">
        <is>
          <t>$0</t>
        </is>
      </c>
      <c r="E63" s="260" t="inlineStr">
        <is>
          <t>BB LLC gets 437 clicks from the SAME 2 pages and SAME $2,000 we spend. Rank, not budget, is the gap — and rank follows ad judgment, so changes 10 and 11 are the SEM fix.</t>
        </is>
      </c>
    </row>
    <row r="64">
      <c r="A64" s="200" t="n">
        <v>29</v>
      </c>
      <c r="B64" s="200" t="inlineStr">
        <is>
          <t>Rebates</t>
        </is>
      </c>
      <c r="C64" s="200" t="inlineStr">
        <is>
          <t>NONE</t>
        </is>
      </c>
      <c r="D64" s="200" t="inlineStr">
        <is>
          <t>$0</t>
        </is>
      </c>
      <c r="E64" s="260" t="inlineStr">
        <is>
          <t>Only the two Recreation price leaders use them.</t>
        </is>
      </c>
    </row>
    <row r="65">
      <c r="A65" s="200" t="n">
        <v>30</v>
      </c>
      <c r="B65" s="200" t="inlineStr">
        <is>
          <t>Recreation brand</t>
        </is>
      </c>
      <c r="C65" s="211" t="inlineStr">
        <is>
          <t>DO NOT ADD — park for Q5</t>
        </is>
      </c>
      <c r="D65" s="200" t="inlineStr">
        <is>
          <t>$0</t>
        </is>
      </c>
      <c r="E65" s="260" t="inlineStr">
        <is>
          <t>BB LLC has no Recreation brand scoring 70+ either. Brand count does not drive share: Bike Bros has 5 brands and finished last; SpaceBikes has 2 and leads cumulatively. Capacity binds.</t>
        </is>
      </c>
    </row>
    <row r="68">
      <c r="A68" s="199" t="inlineStr">
        <is>
          <t>SWIFT BIKE AD — rank order to enter (draft, preview before committing)</t>
        </is>
      </c>
      <c r="B68" s="259" t="inlineStr">
        <is>
          <t>Note</t>
        </is>
      </c>
    </row>
    <row r="69">
      <c r="A69" s="200" t="inlineStr">
        <is>
          <t>1. Mention brand name</t>
        </is>
      </c>
      <c r="B69" s="260" t="inlineStr">
        <is>
          <t>fills the Ad/Brand columns; does NOT consume an organic snippet slot</t>
        </is>
      </c>
    </row>
    <row r="70">
      <c r="A70" s="200" t="inlineStr">
        <is>
          <t>2. Ride a wind-cheater</t>
        </is>
      </c>
      <c r="B70" s="260" t="inlineStr">
        <is>
          <t>8 of 8 rival Speed ads run this; we were missing it. Aero frame makes it true.</t>
        </is>
      </c>
    </row>
    <row r="71">
      <c r="A71" s="200" t="inlineStr">
        <is>
          <t>3. Roll fast with racing tires</t>
        </is>
      </c>
      <c r="B71" s="260" t="inlineStr">
        <is>
          <t>7 of 8 rivals; the bike HAS racing tires</t>
        </is>
      </c>
    </row>
    <row r="72">
      <c r="A72" s="200" t="inlineStr">
        <is>
          <t>4. Elite look - a ride of distinction</t>
        </is>
      </c>
      <c r="B72" s="260" t="inlineStr">
        <is>
          <t>6 of 8 rivals, including both 77-point ads</t>
        </is>
      </c>
    </row>
    <row r="73">
      <c r="A73" s="200" t="inlineStr">
        <is>
          <t>5. A tailor-made bike just for you! 3D printing</t>
        </is>
      </c>
      <c r="B73" s="260" t="inlineStr">
        <is>
          <t>on both best ads; we actually 3D-print</t>
        </is>
      </c>
    </row>
    <row r="74">
      <c r="A74" s="200" t="inlineStr">
        <is>
          <t>6. Local sales &amp; service</t>
        </is>
      </c>
      <c r="B74" s="260" t="inlineStr">
        <is>
          <t>we are 80.9% store — and never claimed it</t>
        </is>
      </c>
    </row>
    <row r="75">
      <c r="A75" s="200" t="inlineStr">
        <is>
          <t>7. Picture of road race</t>
        </is>
      </c>
      <c r="B75" s="260" t="inlineStr">
        <is>
          <t>the one thing Q3 got right; ranked lower so text fills the snippet</t>
        </is>
      </c>
    </row>
    <row r="76">
      <c r="A76" s="204" t="inlineStr">
        <is>
          <t>DROP: lights, reflectors, 'carbon fiber quality at a great price', carbon-light at #2</t>
        </is>
      </c>
      <c r="B76" s="260" t="inlineStr">
        <is>
          <t>Zero of 8 rival Speed ads run lights, reflectors or great price. Ours ran all three. Do not sell 'great price' in the quarter we raise the price to $1,580.</t>
        </is>
      </c>
    </row>
    <row r="77">
      <c r="A77" s="206" t="inlineStr">
        <is>
          <t>Resulting snippet: wind-cheater / racing tires / elite look</t>
        </is>
      </c>
      <c r="B77" s="260" t="inlineStr">
        <is>
          <t>Identical to Unleash lil pap, the Speed SERP #1 with 200 clicks.</t>
        </is>
      </c>
    </row>
    <row r="78">
      <c r="A78" s="200" t="inlineStr">
        <is>
          <t>Do NOT add a second Swift Bike ad</t>
        </is>
      </c>
      <c r="B78" s="260" t="inlineStr">
        <is>
          <t>BB LLC runs 2 ads for 4 brands and leads. Bike Bros runs 5 for 5 and is last.</t>
        </is>
      </c>
    </row>
    <row r="81">
      <c r="A81" s="199" t="inlineStr">
        <is>
          <t>EXPECTED RESULT</t>
        </is>
      </c>
      <c r="B81" s="199" t="inlineStr">
        <is>
          <t>Q3 actual</t>
        </is>
      </c>
      <c r="C81" s="199" t="inlineStr">
        <is>
          <t>Q4 after the copy</t>
        </is>
      </c>
      <c r="D81" s="259" t="inlineStr">
        <is>
          <t>Basis</t>
        </is>
      </c>
    </row>
    <row r="82">
      <c r="A82" s="200" t="inlineStr">
        <is>
          <t>Units built</t>
        </is>
      </c>
      <c r="B82" s="200" t="inlineStr">
        <is>
          <t>423</t>
        </is>
      </c>
      <c r="C82" s="222" t="inlineStr">
        <is>
          <t>~1,154</t>
        </is>
      </c>
      <c r="D82" s="260" t="inlineStr">
        <is>
          <t>24/day x 74% x 65 days, zero overtime</t>
        </is>
      </c>
    </row>
    <row r="83">
      <c r="A83" s="200" t="inlineStr">
        <is>
          <t>Demand served</t>
        </is>
      </c>
      <c r="B83" s="200" t="inlineStr">
        <is>
          <t>67.5%</t>
        </is>
      </c>
      <c r="C83" s="222" t="inlineStr">
        <is>
          <t>~99%</t>
        </is>
      </c>
      <c r="D83" s="260" t="inlineStr">
        <is>
          <t>capacity finally matches the forecast</t>
        </is>
      </c>
    </row>
    <row r="84">
      <c r="A84" s="200" t="inlineStr">
        <is>
          <t>Web units</t>
        </is>
      </c>
      <c r="B84" s="200" t="inlineStr">
        <is>
          <t>120</t>
        </is>
      </c>
      <c r="C84" s="222" t="inlineStr">
        <is>
          <t>435+</t>
        </is>
      </c>
      <c r="D84" s="260" t="inlineStr">
        <is>
          <t>all 4 tactics + 7 staff — the pattern holds for 4 of 4 firms</t>
        </is>
      </c>
    </row>
    <row r="85">
      <c r="A85" s="200" t="inlineStr">
        <is>
          <t>Rio store units</t>
        </is>
      </c>
      <c r="B85" s="200" t="inlineStr">
        <is>
          <t>240</t>
        </is>
      </c>
      <c r="C85" s="222" t="inlineStr">
        <is>
          <t>~420</t>
        </is>
      </c>
      <c r="D85" s="260" t="inlineStr">
        <is>
          <t>3 more heads at Rio's measured 60/head</t>
        </is>
      </c>
    </row>
    <row r="86">
      <c r="A86" s="200" t="inlineStr">
        <is>
          <t>Mountain share</t>
        </is>
      </c>
      <c r="B86" s="200" t="inlineStr">
        <is>
          <t>22.1%</t>
        </is>
      </c>
      <c r="C86" s="222" t="inlineStr">
        <is>
          <t>~35%</t>
        </is>
      </c>
      <c r="D86" s="260" t="inlineStr">
        <is>
          <t>supply + 12 Biking inserts + Rio depth (BB LLC proves 46.3% is reachable on this product)</t>
        </is>
      </c>
    </row>
    <row r="87">
      <c r="A87" s="200" t="inlineStr">
        <is>
          <t>Speed share</t>
        </is>
      </c>
      <c r="B87" s="200" t="inlineStr">
        <is>
          <t>7.5%</t>
        </is>
      </c>
      <c r="C87" s="222" t="inlineStr">
        <is>
          <t>~17%</t>
        </is>
      </c>
      <c r="D87" s="260" t="inlineStr">
        <is>
          <t>brand 77 + ad 77 + $1,580 + 12 Biking inserts + 3 Speed heads per store</t>
        </is>
      </c>
    </row>
    <row r="88">
      <c r="A88" s="200" t="inlineStr">
        <is>
          <t>Marketing Effectiveness</t>
        </is>
      </c>
      <c r="B88" s="200" t="inlineStr">
        <is>
          <t>0.738</t>
        </is>
      </c>
      <c r="C88" s="222" t="inlineStr">
        <is>
          <t>0.7675</t>
        </is>
      </c>
      <c r="D88" s="260" t="inlineStr">
        <is>
          <t>arithmetic — formula verified on 3 firms</t>
        </is>
      </c>
    </row>
    <row r="89">
      <c r="A89" s="200" t="inlineStr">
        <is>
          <t>Manufacturing Productivity</t>
        </is>
      </c>
      <c r="B89" s="200" t="inlineStr">
        <is>
          <t>0.938</t>
        </is>
      </c>
      <c r="C89" s="222" t="inlineStr">
        <is>
          <t>1.000</t>
        </is>
      </c>
      <c r="D89" s="260" t="inlineStr">
        <is>
          <t>schedule to forecast with zero OT</t>
        </is>
      </c>
    </row>
    <row r="90">
      <c r="A90" s="200" t="inlineStr">
        <is>
          <t>Market Performance</t>
        </is>
      </c>
      <c r="B90" s="200" t="inlineStr">
        <is>
          <t>0.098</t>
        </is>
      </c>
      <c r="C90" s="222" t="inlineStr">
        <is>
          <t>~0.26</t>
        </is>
      </c>
      <c r="D90" s="260" t="inlineStr">
        <is>
          <t>avg share ~26% x ~99% served (BB LLC scored ~0.345)</t>
        </is>
      </c>
    </row>
    <row r="91">
      <c r="A91" s="200" t="inlineStr">
        <is>
          <t>Revenue</t>
        </is>
      </c>
      <c r="B91" s="200" t="inlineStr">
        <is>
          <t>$589,720</t>
        </is>
      </c>
      <c r="C91" s="222" t="inlineStr">
        <is>
          <t>~$1.5-1.7M</t>
        </is>
      </c>
      <c r="D91" s="260" t="inlineStr">
        <is>
          <t>600 Mountain at $1,365 + 450 Speed at $1,580</t>
        </is>
      </c>
    </row>
    <row r="92">
      <c r="A92" s="200" t="inlineStr">
        <is>
          <t>Asset Management</t>
        </is>
      </c>
      <c r="B92" s="200" t="inlineStr">
        <is>
          <t>0.353</t>
        </is>
      </c>
      <c r="C92" s="222" t="inlineStr">
        <is>
          <t>improves</t>
        </is>
      </c>
      <c r="D92" s="260" t="inlineStr">
        <is>
          <t>idle cash converted into staff, web and inserts</t>
        </is>
      </c>
    </row>
    <row r="95">
      <c r="A95" s="199" t="inlineStr">
        <is>
          <t>WHAT WE DELIBERATELY DO NOT COPY</t>
        </is>
      </c>
      <c r="B95" s="259" t="inlineStr">
        <is>
          <t>Reason</t>
        </is>
      </c>
    </row>
    <row r="96">
      <c r="A96" s="200" t="inlineStr">
        <is>
          <t>BB LLC's 6.90 overtime</t>
        </is>
      </c>
      <c r="B96" s="262" t="inlineStr">
        <is>
          <t>It costs Manufacturing Productivity (0.856 vs 1.000). We own the same 24 printers — we can schedule to the forecast without it. SpaceBikes is the better model here: 32 owned, 30 scheduled, zero OT.</t>
        </is>
      </c>
    </row>
    <row r="97">
      <c r="A97" s="200" t="inlineStr">
        <is>
          <t>BB LLC's 4 brands</t>
        </is>
      </c>
      <c r="B97" s="262" t="inlineStr">
        <is>
          <t>Their 3rd and 4th brands (Blu Tail, Blu Aero) run UNADVERTISED as overflow catchers at a higher price. That only works with spare capacity. Capacity binds for us in Q4. File it for Q5.</t>
        </is>
      </c>
    </row>
    <row r="98">
      <c r="A98" s="200" t="inlineStr">
        <is>
          <t>BB LLC's NYC store</t>
        </is>
      </c>
      <c r="B98" s="262" t="inlineStr">
        <is>
          <t>Tier 2 — they hold 82.8% of NYC Mountain and it needs a printer plus 7 new hires. If we go, go via SPEED (880 units, no dominant firm, Spoke'd Up's Speed ad is under 70), not Mountain. Depth in Rio and the web pays back faster.</t>
        </is>
      </c>
    </row>
    <row r="99">
      <c r="A99" s="200" t="inlineStr">
        <is>
          <t>Bike Bros' 5 ads and 5 brands</t>
        </is>
      </c>
      <c r="B99" s="262" t="inlineStr">
        <is>
          <t>Most ads and most brands in the industry — and last place. Their two Speed pages cannibalise each other into positions 7 and 8.</t>
        </is>
      </c>
    </row>
    <row r="100">
      <c r="A100" s="200" t="inlineStr">
        <is>
          <t>MILC's compensation</t>
        </is>
      </c>
      <c r="B100" s="262" t="inlineStr">
        <is>
          <t>Highest sales spend in the industry ($27,630) and 8.4 points WORSE satisfaction than BB LLC, because of Full coverage + 1 week vacation. Mix beats total.</t>
        </is>
      </c>
    </row>
    <row r="103">
      <c r="A103" s="199" t="inlineStr">
        <is>
          <t>UNVERIFIED / VOTE REQUIRED</t>
        </is>
      </c>
      <c r="B103" s="259" t="inlineStr">
        <is>
          <t>Status</t>
        </is>
      </c>
    </row>
    <row r="104">
      <c r="A104" s="200" t="inlineStr">
        <is>
          <t>Every item above</t>
        </is>
      </c>
      <c r="B104" s="260" t="inlineStr">
        <is>
          <t>ANALYSIS ONLY — nothing is locked. Majority vote required before entry.</t>
        </is>
      </c>
    </row>
    <row r="105">
      <c r="A105" s="200" t="inlineStr">
        <is>
          <t>Swift Bike ad landing score</t>
        </is>
      </c>
      <c r="B105" s="260" t="inlineStr">
        <is>
          <t>Draft ranks are modelled on the two 77-point ads. PREVIEW in the designer and read the score before committing.</t>
        </is>
      </c>
    </row>
    <row r="106">
      <c r="A106" s="200" t="inlineStr">
        <is>
          <t>HikeBike 1 modification</t>
        </is>
      </c>
      <c r="B106" s="260" t="inlineStr">
        <is>
          <t>Only commit if the preview clears 82. If it drops below 80, keep the Q3 copy exactly as is.</t>
        </is>
      </c>
    </row>
    <row r="107">
      <c r="A107" s="200" t="inlineStr">
        <is>
          <t>Speed organic rank after the fix</t>
        </is>
      </c>
      <c r="B107" s="260" t="inlineStr">
        <is>
          <t>Speed SERP does NOT follow ad judgment (AndStill scores 78 and sits 7th), so the landing position is unpredictable. Treat as upside, not forecast.</t>
        </is>
      </c>
    </row>
    <row r="108">
      <c r="A108" s="200" t="inlineStr">
        <is>
          <t>Web tactic setup fees</t>
        </is>
      </c>
      <c r="B108" s="260" t="inlineStr">
        <is>
          <t>Q2 charged setup equal to the first quarterly budget. Assume ~$27,000 one-time on the three restarts — CONFIRM in the sim.</t>
        </is>
      </c>
    </row>
    <row r="109">
      <c r="A109" s="200" t="inlineStr">
        <is>
          <t>Hiring, design and redesign fees</t>
        </is>
      </c>
      <c r="B109" s="260" t="inlineStr">
        <is>
          <t>Estimated at ~$40,000 combined. Read the actual figures.</t>
        </is>
      </c>
    </row>
    <row r="110">
      <c r="A110" s="200" t="inlineStr">
        <is>
          <t>Production worker headcount</t>
        </is>
      </c>
      <c r="B110" s="260" t="inlineStr">
        <is>
          <t>Not in the Competitors' Profiles report, so the production payroll delta is not costed. Check the pro forma.</t>
        </is>
      </c>
    </row>
    <row r="111">
      <c r="A111" s="200" t="inlineStr">
        <is>
          <t>Printer price</t>
        </is>
      </c>
      <c r="B111" s="260" t="inlineStr">
        <is>
          <t>~$240,000 assumed for the NYC tier. Verify before any purchase.</t>
        </is>
      </c>
    </row>
    <row r="112">
      <c r="A112" s="200" t="inlineStr">
        <is>
          <t>Share targets</t>
        </is>
      </c>
      <c r="B112" s="260" t="inlineStr">
        <is>
          <t>Directional. They assume the unit build lands and the mix follows Q3 proportions.</t>
        </is>
      </c>
    </row>
    <row r="113">
      <c r="A113" s="200" t="inlineStr">
        <is>
          <t>Before advancing</t>
        </is>
      </c>
      <c r="B113" s="260" t="inlineStr">
        <is>
          <t>Run Production Simulation, then Cash Flow and pro forma. Confirm ending Cash + CD &gt;= $300,000.</t>
        </is>
      </c>
    </row>
  </sheetData>
  <mergeCells count="1">
    <mergeCell ref="A2:F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cols>
    <col width="52" customWidth="1" style="146" min="1" max="1"/>
    <col width="22" customWidth="1" style="146" min="2" max="2"/>
    <col width="20" customWidth="1" style="146" min="3" max="3"/>
    <col width="24" customWidth="1" style="146" min="4" max="4"/>
    <col width="76" customWidth="1" style="146" min="5" max="5"/>
    <col width="18" customWidth="1" style="146" min="6" max="6"/>
    <col width="14" customWidth="1" style="146" min="7" max="7"/>
  </cols>
  <sheetData>
    <row r="1">
      <c r="A1" s="169" t="inlineStr">
        <is>
          <t>Do we add more bikes?  ANSWER: not in Q4 — capacity binds. Spec for Q5 below.</t>
        </is>
      </c>
    </row>
    <row r="2" ht="46" customHeight="1" s="146">
      <c r="A2" s="258" t="inlineStr">
        <is>
          <t>Brand count does not explain segment share anywhere in this industry. Effective capacity and sales coverage do. BB LLC's second brands work because they own 30.9 effective capacity and 21 sales people; Bike Bros' second brands do nothing because they own 15 and 7.</t>
        </is>
      </c>
    </row>
    <row r="4">
      <c r="A4" s="199" t="inlineStr">
        <is>
          <t>Segment</t>
        </is>
      </c>
      <c r="B4" s="199" t="inlineStr">
        <is>
          <t>Firm</t>
        </is>
      </c>
      <c r="C4" s="199" t="inlineStr">
        <is>
          <t>Brands in segment</t>
        </is>
      </c>
      <c r="D4" s="199" t="inlineStr">
        <is>
          <t>Units</t>
        </is>
      </c>
      <c r="E4" s="199" t="inlineStr">
        <is>
          <t>Share</t>
        </is>
      </c>
      <c r="F4" s="199" t="inlineStr">
        <is>
          <t>Effective OC/day</t>
        </is>
      </c>
      <c r="G4" s="199" t="inlineStr">
        <is>
          <t>Sales people</t>
        </is>
      </c>
    </row>
    <row r="5">
      <c r="A5" s="200" t="inlineStr">
        <is>
          <t>Speed</t>
        </is>
      </c>
      <c r="B5" s="200" t="inlineStr">
        <is>
          <t>BB LLC</t>
        </is>
      </c>
      <c r="C5" s="200" t="n">
        <v>2</v>
      </c>
      <c r="D5" s="200" t="n">
        <v>657</v>
      </c>
      <c r="E5" s="228" t="n">
        <v>0.2283</v>
      </c>
      <c r="F5" s="225" t="n">
        <v>30.9</v>
      </c>
      <c r="G5" s="200" t="n">
        <v>21</v>
      </c>
    </row>
    <row r="6">
      <c r="A6" s="200" t="inlineStr">
        <is>
          <t>Speed</t>
        </is>
      </c>
      <c r="B6" s="200" t="inlineStr">
        <is>
          <t>SpaceBikes</t>
        </is>
      </c>
      <c r="C6" s="200" t="n">
        <v>1</v>
      </c>
      <c r="D6" s="200" t="n">
        <v>588</v>
      </c>
      <c r="E6" s="228" t="n">
        <v>0.2043</v>
      </c>
      <c r="F6" s="225" t="n">
        <v>30</v>
      </c>
      <c r="G6" s="200" t="n">
        <v>21</v>
      </c>
    </row>
    <row r="7">
      <c r="A7" s="200" t="inlineStr">
        <is>
          <t>Speed</t>
        </is>
      </c>
      <c r="B7" s="200" t="inlineStr">
        <is>
          <t>LiteCycle</t>
        </is>
      </c>
      <c r="C7" s="200" t="n">
        <v>2</v>
      </c>
      <c r="D7" s="200" t="n">
        <v>548</v>
      </c>
      <c r="E7" s="228" t="n">
        <v>0.1904</v>
      </c>
      <c r="F7" s="225" t="n">
        <v>15.75</v>
      </c>
      <c r="G7" s="200" t="n">
        <v>17</v>
      </c>
    </row>
    <row r="8">
      <c r="A8" s="200" t="inlineStr">
        <is>
          <t>Speed</t>
        </is>
      </c>
      <c r="B8" s="200" t="inlineStr">
        <is>
          <t>Spoke'd Up</t>
        </is>
      </c>
      <c r="C8" s="200" t="n">
        <v>1</v>
      </c>
      <c r="D8" s="200" t="n">
        <v>362</v>
      </c>
      <c r="E8" s="228" t="n">
        <v>0.1258</v>
      </c>
      <c r="F8" s="225" t="n">
        <v>16.88</v>
      </c>
      <c r="G8" s="200" t="n">
        <v>14</v>
      </c>
    </row>
    <row r="9">
      <c r="A9" s="200" t="inlineStr">
        <is>
          <t>Speed</t>
        </is>
      </c>
      <c r="B9" s="200" t="inlineStr">
        <is>
          <t>MILC Bikes</t>
        </is>
      </c>
      <c r="C9" s="200" t="n">
        <v>1</v>
      </c>
      <c r="D9" s="200" t="n">
        <v>328</v>
      </c>
      <c r="E9" s="228" t="n">
        <v>0.114</v>
      </c>
      <c r="F9" s="225" t="n">
        <v>17</v>
      </c>
      <c r="G9" s="200" t="n">
        <v>14</v>
      </c>
    </row>
    <row r="10">
      <c r="A10" s="209" t="inlineStr">
        <is>
          <t>Speed</t>
        </is>
      </c>
      <c r="B10" s="209" t="inlineStr">
        <is>
          <t>WeBike</t>
        </is>
      </c>
      <c r="C10" s="209" t="n">
        <v>1</v>
      </c>
      <c r="D10" s="209" t="n">
        <v>215</v>
      </c>
      <c r="E10" s="246" t="n">
        <v>0.0747</v>
      </c>
      <c r="F10" s="226" t="n">
        <v>9</v>
      </c>
      <c r="G10" s="209" t="n">
        <v>14</v>
      </c>
    </row>
    <row r="11">
      <c r="A11" s="200" t="inlineStr">
        <is>
          <t>Speed</t>
        </is>
      </c>
      <c r="B11" s="200" t="inlineStr">
        <is>
          <t>Bike Bros</t>
        </is>
      </c>
      <c r="C11" s="200" t="n">
        <v>2</v>
      </c>
      <c r="D11" s="200" t="n">
        <v>180</v>
      </c>
      <c r="E11" s="228" t="n">
        <v>0.0625</v>
      </c>
      <c r="F11" s="225" t="n">
        <v>15</v>
      </c>
      <c r="G11" s="200" t="n">
        <v>7</v>
      </c>
    </row>
    <row r="12">
      <c r="A12" s="200" t="inlineStr">
        <is>
          <t>Mountain</t>
        </is>
      </c>
      <c r="B12" s="200" t="inlineStr">
        <is>
          <t>BB LLC</t>
        </is>
      </c>
      <c r="C12" s="200" t="n">
        <v>2</v>
      </c>
      <c r="D12" s="200" t="n">
        <v>751</v>
      </c>
      <c r="E12" s="228" t="n">
        <v>0.4633</v>
      </c>
      <c r="F12" s="225" t="n">
        <v>30.9</v>
      </c>
      <c r="G12" s="200" t="n">
        <v>21</v>
      </c>
    </row>
    <row r="13">
      <c r="A13" s="209" t="inlineStr">
        <is>
          <t>Mountain</t>
        </is>
      </c>
      <c r="B13" s="209" t="inlineStr">
        <is>
          <t>WeBike</t>
        </is>
      </c>
      <c r="C13" s="209" t="n">
        <v>1</v>
      </c>
      <c r="D13" s="209" t="n">
        <v>358</v>
      </c>
      <c r="E13" s="246" t="n">
        <v>0.2209</v>
      </c>
      <c r="F13" s="226" t="n">
        <v>9</v>
      </c>
      <c r="G13" s="209" t="n">
        <v>14</v>
      </c>
    </row>
    <row r="14">
      <c r="A14" s="200" t="inlineStr">
        <is>
          <t>Mountain</t>
        </is>
      </c>
      <c r="B14" s="200" t="inlineStr">
        <is>
          <t>LiteCycle</t>
        </is>
      </c>
      <c r="C14" s="200" t="n">
        <v>1</v>
      </c>
      <c r="D14" s="200" t="n">
        <v>340</v>
      </c>
      <c r="E14" s="228" t="n">
        <v>0.2097</v>
      </c>
      <c r="F14" s="225" t="n">
        <v>15.75</v>
      </c>
      <c r="G14" s="200" t="n">
        <v>17</v>
      </c>
    </row>
    <row r="15">
      <c r="A15" s="200" t="inlineStr">
        <is>
          <t>Mountain</t>
        </is>
      </c>
      <c r="B15" s="200" t="inlineStr">
        <is>
          <t>Bike Bros</t>
        </is>
      </c>
      <c r="C15" s="200" t="n">
        <v>2</v>
      </c>
      <c r="D15" s="200" t="n">
        <v>172</v>
      </c>
      <c r="E15" s="228" t="n">
        <v>0.1061</v>
      </c>
      <c r="F15" s="225" t="n">
        <v>15</v>
      </c>
      <c r="G15" s="200" t="n">
        <v>7</v>
      </c>
    </row>
    <row r="16">
      <c r="A16" s="200" t="inlineStr">
        <is>
          <t>Recreation</t>
        </is>
      </c>
      <c r="B16" s="200" t="inlineStr">
        <is>
          <t>SpaceBikes</t>
        </is>
      </c>
      <c r="C16" s="200" t="n">
        <v>1</v>
      </c>
      <c r="D16" s="200" t="n">
        <v>710</v>
      </c>
      <c r="E16" s="228" t="n">
        <v>0.3447</v>
      </c>
      <c r="F16" s="225" t="n">
        <v>30</v>
      </c>
      <c r="G16" s="200" t="n">
        <v>21</v>
      </c>
    </row>
    <row r="17">
      <c r="A17" s="200" t="inlineStr">
        <is>
          <t>Recreation</t>
        </is>
      </c>
      <c r="B17" s="200" t="inlineStr">
        <is>
          <t>Spoke'd Up</t>
        </is>
      </c>
      <c r="C17" s="200" t="n">
        <v>1</v>
      </c>
      <c r="D17" s="200" t="n">
        <v>492</v>
      </c>
      <c r="E17" s="228" t="n">
        <v>0.2388</v>
      </c>
      <c r="F17" s="225" t="n">
        <v>16.88</v>
      </c>
      <c r="G17" s="200" t="n">
        <v>14</v>
      </c>
    </row>
    <row r="18">
      <c r="A18" s="200" t="inlineStr">
        <is>
          <t>Recreation</t>
        </is>
      </c>
      <c r="B18" s="200" t="inlineStr">
        <is>
          <t>MILC Bikes</t>
        </is>
      </c>
      <c r="C18" s="200" t="n">
        <v>1</v>
      </c>
      <c r="D18" s="200" t="n">
        <v>471</v>
      </c>
      <c r="E18" s="228" t="n">
        <v>0.2286</v>
      </c>
      <c r="F18" s="225" t="n">
        <v>17</v>
      </c>
      <c r="G18" s="200" t="n">
        <v>14</v>
      </c>
    </row>
    <row r="19">
      <c r="A19" s="200" t="inlineStr">
        <is>
          <t>Recreation</t>
        </is>
      </c>
      <c r="B19" s="200" t="inlineStr">
        <is>
          <t>Bike Bros</t>
        </is>
      </c>
      <c r="C19" s="200" t="n">
        <v>1</v>
      </c>
      <c r="D19" s="200" t="n">
        <v>122</v>
      </c>
      <c r="E19" s="228" t="n">
        <v>0.0592</v>
      </c>
      <c r="F19" s="225" t="n">
        <v>15</v>
      </c>
      <c r="G19" s="200" t="n">
        <v>7</v>
      </c>
    </row>
    <row r="22">
      <c r="A22" s="199" t="inlineStr">
        <is>
          <t>THE COUNTEREXAMPLES THAT KILL THE 'MORE BRANDS' ARGUMENT</t>
        </is>
      </c>
      <c r="B22" s="199" t="inlineStr">
        <is>
          <t>Brands</t>
        </is>
      </c>
      <c r="C22" s="199" t="inlineStr">
        <is>
          <t>Share</t>
        </is>
      </c>
      <c r="D22" s="199" t="inlineStr">
        <is>
          <t>Effective OC</t>
        </is>
      </c>
      <c r="E22" s="259" t="inlineStr">
        <is>
          <t>Sales people</t>
        </is>
      </c>
    </row>
    <row r="23">
      <c r="A23" s="200" t="inlineStr">
        <is>
          <t>SpaceBikes in Speed</t>
        </is>
      </c>
      <c r="B23" s="206" t="n">
        <v>1</v>
      </c>
      <c r="C23" s="200" t="inlineStr">
        <is>
          <t>20.4%</t>
        </is>
      </c>
      <c r="D23" s="200" t="n">
        <v>30</v>
      </c>
      <c r="E23" s="260" t="n">
        <v>21</v>
      </c>
    </row>
    <row r="24">
      <c r="A24" s="200" t="inlineStr">
        <is>
          <t>LiteCycle in Speed</t>
        </is>
      </c>
      <c r="B24" s="200" t="n">
        <v>2</v>
      </c>
      <c r="C24" s="200" t="inlineStr">
        <is>
          <t>19.0%</t>
        </is>
      </c>
      <c r="D24" s="200" t="n">
        <v>15.75</v>
      </c>
      <c r="E24" s="260" t="n">
        <v>17</v>
      </c>
    </row>
    <row r="25">
      <c r="A25" s="200" t="inlineStr">
        <is>
          <t>Bike Bros in Speed</t>
        </is>
      </c>
      <c r="B25" s="204" t="n">
        <v>2</v>
      </c>
      <c r="C25" s="200" t="inlineStr">
        <is>
          <t>6.3%</t>
        </is>
      </c>
      <c r="D25" s="200" t="n">
        <v>15</v>
      </c>
      <c r="E25" s="260" t="n">
        <v>7</v>
      </c>
    </row>
    <row r="26">
      <c r="A26" s="200" t="inlineStr">
        <is>
          <t>WeBike in Speed</t>
        </is>
      </c>
      <c r="B26" s="200" t="n">
        <v>1</v>
      </c>
      <c r="C26" s="200" t="inlineStr">
        <is>
          <t>7.5%</t>
        </is>
      </c>
      <c r="D26" s="200" t="n">
        <v>9</v>
      </c>
      <c r="E26" s="260" t="n">
        <v>14</v>
      </c>
    </row>
    <row r="27">
      <c r="A27" s="200" t="inlineStr">
        <is>
          <t>LiteCycle in Mountain</t>
        </is>
      </c>
      <c r="B27" s="200" t="n">
        <v>1</v>
      </c>
      <c r="C27" s="200" t="inlineStr">
        <is>
          <t>21.0%</t>
        </is>
      </c>
      <c r="D27" s="200" t="n">
        <v>15.75</v>
      </c>
      <c r="E27" s="260" t="n">
        <v>17</v>
      </c>
    </row>
    <row r="28">
      <c r="A28" s="200" t="inlineStr">
        <is>
          <t>Bike Bros in Mountain</t>
        </is>
      </c>
      <c r="B28" s="206" t="n">
        <v>2</v>
      </c>
      <c r="C28" s="200" t="inlineStr">
        <is>
          <t>10.6%</t>
        </is>
      </c>
      <c r="D28" s="200" t="n">
        <v>15</v>
      </c>
      <c r="E28" s="260" t="n">
        <v>7</v>
      </c>
    </row>
    <row r="29">
      <c r="A29" s="200" t="inlineStr">
        <is>
          <t>Read</t>
        </is>
      </c>
      <c r="B29" s="200" t="n"/>
      <c r="C29" s="200" t="n"/>
      <c r="D29" s="204" t="n"/>
      <c r="E29" s="260" t="inlineStr">
        <is>
          <t>One brand with capacity beats two without it, every time. Bike Bros runs the most brands in the industry (5) and finished last.</t>
        </is>
      </c>
    </row>
    <row r="32">
      <c r="A32" s="199" t="inlineStr">
        <is>
          <t>BUT SECOND BRANDS ARE 41% OF THE LEADER'S DEMAND</t>
        </is>
      </c>
      <c r="B32" s="199" t="inlineStr">
        <is>
          <t>Judgment</t>
        </is>
      </c>
      <c r="C32" s="199" t="inlineStr">
        <is>
          <t>Price</t>
        </is>
      </c>
      <c r="D32" s="199" t="inlineStr">
        <is>
          <t>Advertised?</t>
        </is>
      </c>
      <c r="E32" s="259" t="inlineStr">
        <is>
          <t>Units</t>
        </is>
      </c>
    </row>
    <row r="33">
      <c r="A33" s="200" t="inlineStr">
        <is>
          <t>Blu Ruged Ballz (Mountain, lead)</t>
        </is>
      </c>
      <c r="B33" s="200" t="n">
        <v>73</v>
      </c>
      <c r="C33" s="200" t="n">
        <v>1365</v>
      </c>
      <c r="D33" s="200" t="inlineStr">
        <is>
          <t>yes — BB Big Momma 81</t>
        </is>
      </c>
      <c r="E33" s="260" t="n">
        <v>532</v>
      </c>
    </row>
    <row r="34">
      <c r="A34" s="200" t="inlineStr">
        <is>
          <t>Blu Tail Ballz (Mountain, second)</t>
        </is>
      </c>
      <c r="B34" s="200" t="n">
        <v>70</v>
      </c>
      <c r="C34" s="200" t="n">
        <v>1365</v>
      </c>
      <c r="D34" s="211" t="inlineStr">
        <is>
          <t>NO AD AT ALL</t>
        </is>
      </c>
      <c r="E34" s="260" t="n">
        <v>318</v>
      </c>
    </row>
    <row r="35">
      <c r="A35" s="200" t="inlineStr">
        <is>
          <t>Blu Tube Ballz (Speed, lead)</t>
        </is>
      </c>
      <c r="B35" s="200" t="n">
        <v>76</v>
      </c>
      <c r="C35" s="200" t="n">
        <v>1580</v>
      </c>
      <c r="D35" s="200" t="inlineStr">
        <is>
          <t>yes — Unleash lil pap 76</t>
        </is>
      </c>
      <c r="E35" s="260" t="n">
        <v>363</v>
      </c>
    </row>
    <row r="36">
      <c r="A36" s="200" t="inlineStr">
        <is>
          <t>Blu Aero Ballz (Speed, second)</t>
        </is>
      </c>
      <c r="B36" s="200" t="n">
        <v>74</v>
      </c>
      <c r="C36" s="200" t="n">
        <v>1580</v>
      </c>
      <c r="D36" s="211" t="inlineStr">
        <is>
          <t>NO AD AT ALL</t>
        </is>
      </c>
      <c r="E36" s="260" t="n">
        <v>294</v>
      </c>
    </row>
    <row r="37">
      <c r="A37" s="200" t="inlineStr">
        <is>
          <t>Second brands combined</t>
        </is>
      </c>
      <c r="B37" s="200" t="n"/>
      <c r="C37" s="200" t="n"/>
      <c r="D37" s="200" t="n"/>
      <c r="E37" s="263" t="n">
        <v>612</v>
      </c>
    </row>
    <row r="38">
      <c r="A38" s="200" t="inlineStr">
        <is>
          <t>Pattern</t>
        </is>
      </c>
      <c r="B38" s="200" t="n"/>
      <c r="C38" s="200" t="n"/>
      <c r="D38" s="200" t="n"/>
      <c r="E38" s="260" t="inlineStr">
        <is>
          <t>Same price as the lead brand — NOT higher. Slightly lower judgment. No advertising. 612 units, or 41% of their 1,507 total.</t>
        </is>
      </c>
    </row>
    <row r="39">
      <c r="A39" s="200" t="inlineStr">
        <is>
          <t>Hypothesis (UNVERIFIED)</t>
        </is>
      </c>
      <c r="B39" s="200" t="n"/>
      <c r="C39" s="200" t="n"/>
      <c r="D39" s="200" t="n"/>
      <c r="E39" s="262" t="inlineStr">
        <is>
          <t>The second brand omits accessories to cut unit cost while charging the same price, because Speed shows zero resistance to $1,580. Blu Aero drops decals AND lights; LiteSpeed+ drops decals AND reflectors. Alternative reading: they just didn't optimise brand #2. We have no component price list — read the costs on the Design Brand screen.</t>
        </is>
      </c>
    </row>
    <row r="42">
      <c r="A42" s="199" t="inlineStr">
        <is>
          <t>WHY NOT IN Q4 — the capacity arithmetic</t>
        </is>
      </c>
      <c r="B42" s="199" t="inlineStr">
        <is>
          <t>Units</t>
        </is>
      </c>
      <c r="C42" s="259" t="inlineStr">
        <is>
          <t>Note</t>
        </is>
      </c>
    </row>
    <row r="43">
      <c r="A43" s="200" t="inlineStr">
        <is>
          <t>Q4 plan of record demand forecast</t>
        </is>
      </c>
      <c r="B43" s="200" t="n">
        <v>1171</v>
      </c>
      <c r="C43" s="260" t="inlineStr">
        <is>
          <t>Rio filled to cap + full web rebuild</t>
        </is>
      </c>
    </row>
    <row r="44">
      <c r="A44" s="200" t="inlineStr">
        <is>
          <t>Capacity: 24/day x 74% x 65 days</t>
        </is>
      </c>
      <c r="B44" s="200" t="n">
        <v>1154</v>
      </c>
      <c r="C44" s="260" t="inlineStr">
        <is>
          <t>100% of what we own, zero overtime</t>
        </is>
      </c>
    </row>
    <row r="45">
      <c r="A45" s="200" t="inlineStr">
        <is>
          <t>Slack before adding anything</t>
        </is>
      </c>
      <c r="B45" s="204" t="n">
        <v>-17</v>
      </c>
      <c r="C45" s="260" t="inlineStr">
        <is>
          <t>we are ALREADY 1.4% over — there is no room</t>
        </is>
      </c>
    </row>
    <row r="46">
      <c r="A46" s="200" t="inlineStr">
        <is>
          <t>A second Speed brand would add</t>
        </is>
      </c>
      <c r="B46" s="200" t="n">
        <v>363</v>
      </c>
      <c r="C46" s="260" t="inlineStr">
        <is>
          <t>74–81% of the lead brand, per BB LLC and LiteCycle</t>
        </is>
      </c>
    </row>
    <row r="47">
      <c r="A47" s="200" t="inlineStr">
        <is>
          <t>Resulting unfilled demand</t>
        </is>
      </c>
      <c r="B47" s="204" t="n">
        <v>380</v>
      </c>
      <c r="C47" s="260" t="inlineStr">
        <is>
          <t>25% stock-out rate</t>
        </is>
      </c>
    </row>
    <row r="48">
      <c r="A48" s="200" t="inlineStr">
        <is>
          <t>Resulting Q5 ill will</t>
        </is>
      </c>
      <c r="B48" s="204" t="inlineStr">
        <is>
          <t>~12%</t>
        </is>
      </c>
      <c r="C48" s="260" t="inlineStr">
        <is>
          <t>half the unmet percentage</t>
        </is>
      </c>
    </row>
    <row r="49">
      <c r="A49" s="200" t="inlineStr">
        <is>
          <t>Q3 for comparison</t>
        </is>
      </c>
      <c r="B49" s="200" t="n">
        <v>204</v>
      </c>
      <c r="C49" s="260" t="inlineStr">
        <is>
          <t>33% stock-out, 16.3% ill will, LAST place in the industry</t>
        </is>
      </c>
    </row>
    <row r="50">
      <c r="A50" s="200" t="inlineStr">
        <is>
          <t>Required operating capacity</t>
        </is>
      </c>
      <c r="B50" s="200" t="inlineStr">
        <is>
          <t>31.9/day</t>
        </is>
      </c>
      <c r="C50" s="260" t="inlineStr">
        <is>
          <t>needs a 4th printer (~$240,000) to serve it</t>
        </is>
      </c>
    </row>
    <row r="51">
      <c r="A51" s="200" t="inlineStr">
        <is>
          <t>VERDICT</t>
        </is>
      </c>
      <c r="B51" s="200" t="n"/>
      <c r="C51" s="260" t="inlineStr">
        <is>
          <t>Adding a brand in Q4 recreates the exact failure we are fixing. It is not a brand decision, it is a printer decision — and the printer money is better spent on Rio staff and the web rebuild, which need no capex at all.</t>
        </is>
      </c>
    </row>
    <row r="52">
      <c r="A52" s="165" t="n"/>
      <c r="C52" s="167" t="n"/>
    </row>
    <row r="54">
      <c r="A54" s="199" t="inlineStr">
        <is>
          <t>BRAND 3 — second SPEED brand (first to add, once capacity exists)</t>
        </is>
      </c>
      <c r="B54" s="259" t="inlineStr">
        <is>
          <t>Value</t>
        </is>
      </c>
    </row>
    <row r="55">
      <c r="A55" s="200" t="inlineStr">
        <is>
          <t>Why Speed</t>
        </is>
      </c>
      <c r="B55" s="260" t="inlineStr">
        <is>
          <t>Largest segment at 2,878 vs Mountain's 1,621, we hold only 7.5%, and it is the least price-sensitive segment in the game — judgment holds at 100 up to $1,580 and resistance only starts at $1,749. Contribution at $1,580 is $886/unit, our best.</t>
        </is>
      </c>
    </row>
    <row r="56">
      <c r="A56" s="200" t="inlineStr">
        <is>
          <t>Frame</t>
        </is>
      </c>
      <c r="B56" s="260" t="inlineStr">
        <is>
          <t>Aerodynamic</t>
        </is>
      </c>
    </row>
    <row r="57">
      <c r="A57" s="200" t="inlineStr">
        <is>
          <t>Tires</t>
        </is>
      </c>
      <c r="B57" s="260" t="inlineStr">
        <is>
          <t>Racing - fast</t>
        </is>
      </c>
    </row>
    <row r="58">
      <c r="A58" s="200" t="inlineStr">
        <is>
          <t>Brakes</t>
        </is>
      </c>
      <c r="B58" s="260" t="inlineStr">
        <is>
          <t>Precision</t>
        </is>
      </c>
    </row>
    <row r="59">
      <c r="A59" s="200" t="inlineStr">
        <is>
          <t>Handlebars</t>
        </is>
      </c>
      <c r="B59" s="260" t="inlineStr">
        <is>
          <t>Basic drop down</t>
        </is>
      </c>
    </row>
    <row r="60">
      <c r="A60" s="200" t="inlineStr">
        <is>
          <t>Seat</t>
        </is>
      </c>
      <c r="B60" s="260" t="inlineStr">
        <is>
          <t>Polymer gel racing</t>
        </is>
      </c>
    </row>
    <row r="61">
      <c r="A61" s="200" t="inlineStr">
        <is>
          <t>Gears</t>
        </is>
      </c>
      <c r="B61" s="260" t="inlineStr">
        <is>
          <t>14 speed (2x7)</t>
        </is>
      </c>
    </row>
    <row r="62">
      <c r="A62" s="200" t="inlineStr">
        <is>
          <t>Decals</t>
        </is>
      </c>
      <c r="B62" s="261" t="inlineStr">
        <is>
          <t>Colorful thin brushstrokes — INCLUDE</t>
        </is>
      </c>
    </row>
    <row r="63">
      <c r="A63" s="200" t="inlineStr">
        <is>
          <t>Lights</t>
        </is>
      </c>
      <c r="B63" s="261" t="inlineStr">
        <is>
          <t>Standard — INCLUDE</t>
        </is>
      </c>
    </row>
    <row r="64">
      <c r="A64" s="200" t="inlineStr">
        <is>
          <t>Reflectors</t>
        </is>
      </c>
      <c r="B64" s="261" t="inlineStr">
        <is>
          <t>OMIT (this is what makes it 76 not 77)</t>
        </is>
      </c>
    </row>
    <row r="65">
      <c r="A65" s="200" t="inlineStr">
        <is>
          <t>Carrier / suspension</t>
        </is>
      </c>
      <c r="B65" s="260" t="inlineStr">
        <is>
          <t>none</t>
        </is>
      </c>
    </row>
    <row r="66">
      <c r="A66" s="200" t="inlineStr">
        <is>
          <t>Judgment</t>
        </is>
      </c>
      <c r="B66" s="261" t="inlineStr">
        <is>
          <t>76 — copies Blu Tube Ballz, The Armstrong AND Skim MILC, three firms that independently converged on this exact spec. Add reflectors for 77 only if the screen shows they are cheap.</t>
        </is>
      </c>
    </row>
    <row r="67">
      <c r="A67" s="200" t="inlineStr">
        <is>
          <t>Price</t>
        </is>
      </c>
      <c r="B67" s="261" t="inlineStr">
        <is>
          <t>$1,580 — identical to Swift Bike, exactly as BB LLC prices both of theirs</t>
        </is>
      </c>
    </row>
    <row r="68">
      <c r="A68" s="200" t="inlineStr">
        <is>
          <t>Advertising</t>
        </is>
      </c>
      <c r="B68" s="261" t="inlineStr">
        <is>
          <t>NONE. BB LLC leaves both second brands unadvertised and leads the industry. Keep media concentrated on the two ads we already have.</t>
        </is>
      </c>
    </row>
    <row r="69">
      <c r="A69" s="200" t="inlineStr">
        <is>
          <t>Trigger to build it</t>
        </is>
      </c>
      <c r="B69" s="262" t="inlineStr">
        <is>
          <t>Owned capacity comfortably exceeds forecast demand AND both existing brands are fully supplied. Realistically Q5, after Q4 proves the supply fix.</t>
        </is>
      </c>
    </row>
    <row r="72">
      <c r="A72" s="199" t="inlineStr">
        <is>
          <t>BRAND 4 — second MOUNTAIN brand (lower priority)</t>
        </is>
      </c>
      <c r="B72" s="259" t="inlineStr">
        <is>
          <t>Value</t>
        </is>
      </c>
    </row>
    <row r="73">
      <c r="A73" s="200" t="inlineStr">
        <is>
          <t>Why later</t>
        </is>
      </c>
      <c r="B73" s="260" t="inlineStr">
        <is>
          <t>Mountain is the smallest and slowest-growing segment (1,621) and we are already #2 at 22.1%. Speed has four times the headroom.</t>
        </is>
      </c>
    </row>
    <row r="74">
      <c r="A74" s="200" t="inlineStr">
        <is>
          <t>Spec</t>
        </is>
      </c>
      <c r="B74" s="260" t="inlineStr">
        <is>
          <t>The exact Hike Bike recipe but with the polymer gel COMFORT seat instead of all-purpose (−3 → judgment 70). This is Blu Tail Ballz and LiteTrail Pro.</t>
        </is>
      </c>
    </row>
    <row r="75">
      <c r="A75" s="200" t="inlineStr">
        <is>
          <t>Price</t>
        </is>
      </c>
      <c r="B75" s="260" t="inlineStr">
        <is>
          <t>$1,365 — identical to Hike Bike, as BB LLC does</t>
        </is>
      </c>
    </row>
    <row r="76">
      <c r="A76" s="200" t="inlineStr">
        <is>
          <t>Advertising</t>
        </is>
      </c>
      <c r="B76" s="260" t="inlineStr">
        <is>
          <t>None</t>
        </is>
      </c>
    </row>
    <row r="79">
      <c r="A79" s="199" t="inlineStr">
        <is>
          <t>BRAND 5 — RECREATION (Q5+ at the earliest; fights our margin strategy)</t>
        </is>
      </c>
      <c r="B79" s="259" t="inlineStr">
        <is>
          <t>Value</t>
        </is>
      </c>
    </row>
    <row r="80">
      <c r="A80" s="200" t="inlineStr">
        <is>
          <t>Spec = MountainCruise1, the only brand at the Recreation ceiling</t>
        </is>
      </c>
      <c r="B80" s="260" t="inlineStr">
        <is>
          <t>judgment 76</t>
        </is>
      </c>
    </row>
    <row r="81">
      <c r="A81" s="200" t="inlineStr">
        <is>
          <t>Frame</t>
        </is>
      </c>
      <c r="B81" s="260" t="inlineStr">
        <is>
          <t>Comfort (relaxed)</t>
        </is>
      </c>
    </row>
    <row r="82">
      <c r="A82" s="200" t="inlineStr">
        <is>
          <t>Tires</t>
        </is>
      </c>
      <c r="B82" s="260" t="inlineStr">
        <is>
          <t>Hybrid - road and off-road</t>
        </is>
      </c>
    </row>
    <row r="83">
      <c r="A83" s="200" t="inlineStr">
        <is>
          <t>Brakes</t>
        </is>
      </c>
      <c r="B83" s="260" t="inlineStr">
        <is>
          <t>STANDARD DISC — not precision, not standard</t>
        </is>
      </c>
    </row>
    <row r="84">
      <c r="A84" s="200" t="inlineStr">
        <is>
          <t>Handlebars</t>
        </is>
      </c>
      <c r="B84" s="260" t="inlineStr">
        <is>
          <t>Comfort straight</t>
        </is>
      </c>
    </row>
    <row r="85">
      <c r="A85" s="200" t="inlineStr">
        <is>
          <t>Gears</t>
        </is>
      </c>
      <c r="B85" s="260" t="inlineStr">
        <is>
          <t>7 speed (1x7)</t>
        </is>
      </c>
    </row>
    <row r="86">
      <c r="A86" s="200" t="inlineStr">
        <is>
          <t>Seat</t>
        </is>
      </c>
      <c r="B86" s="260" t="inlineStr">
        <is>
          <t>Polymer gel comfort</t>
        </is>
      </c>
    </row>
    <row r="87">
      <c r="A87" s="200" t="inlineStr">
        <is>
          <t>Accessories</t>
        </is>
      </c>
      <c r="B87" s="260" t="inlineStr">
        <is>
          <t>Reflectors + decals + lights + plastic basket + front shocks — all of them</t>
        </is>
      </c>
    </row>
    <row r="88">
      <c r="A88" s="200" t="inlineStr">
        <is>
          <t>THE PROBLEM</t>
        </is>
      </c>
      <c r="B88" s="264" t="inlineStr">
        <is>
          <t>Every Recreation winner sits at price judgment 100, which means cheapest in the game: Whole MILC $950 net, Spoke'd Easy $999, Mars Rover $1,050 net. Our $1,365 scores only 81 in Recreation. Entering means accepting low margin, which contradicts our locked profit-margin-leader intent. Hike Bike already scores 56 with Recreation buyers and pulled 54 units of pure spillover, so there is no cheap way in.</t>
        </is>
      </c>
    </row>
    <row r="89">
      <c r="A89" s="200" t="inlineStr">
        <is>
          <t>Caveat on the spec</t>
        </is>
      </c>
      <c r="B89" s="262" t="inlineStr">
        <is>
          <t>Only 4 Recreation brands exist and they differ in 3 places, so individual penalties are NOT uniquely identifiable. MountainCruise1's exact recipe is known to score 76; the reason each component matters is not.</t>
        </is>
      </c>
    </row>
    <row r="92">
      <c r="A92" s="199" t="inlineStr">
        <is>
          <t>WHAT WE DO INSTEAD IN Q4</t>
        </is>
      </c>
      <c r="B92" s="259" t="inlineStr">
        <is>
          <t>Why it beats a third brand</t>
        </is>
      </c>
    </row>
    <row r="93">
      <c r="A93" s="200" t="inlineStr">
        <is>
          <t>Fill Rio to the 7-person cap</t>
        </is>
      </c>
      <c r="B93" s="260" t="inlineStr">
        <is>
          <t>~+180 store units at Rio's measured 60/head. No design fee, no lease, no printer.</t>
        </is>
      </c>
    </row>
    <row r="94">
      <c r="A94" s="200" t="inlineStr">
        <is>
          <t>Rebuild the web (4 tactics + 7 staff)</t>
        </is>
      </c>
      <c r="B94" s="260" t="inlineStr">
        <is>
          <t>120 → 435+ units. Every firm funding all four lands 435–569. No printer.</t>
        </is>
      </c>
    </row>
    <row r="95">
      <c r="A95" s="200" t="inlineStr">
        <is>
          <t>Swift Bike to 77 and $1,580</t>
        </is>
      </c>
      <c r="B95" s="260" t="inlineStr">
        <is>
          <t>Raises share AND margin in the segment where a third brand would go — without adding a unit of demand we cannot build.</t>
        </is>
      </c>
    </row>
    <row r="96">
      <c r="A96" s="200" t="inlineStr">
        <is>
          <t>Restore Biking inserts to 12 + 12</t>
        </is>
      </c>
      <c r="B96" s="260" t="inlineStr">
        <is>
          <t>Five more inserts than Q3 for $8,000 LESS.</t>
        </is>
      </c>
    </row>
    <row r="97">
      <c r="A97" s="200" t="inlineStr">
        <is>
          <t>Summary</t>
        </is>
      </c>
      <c r="B97" s="260" t="inlineStr">
        <is>
          <t>Every one of these lifts the same segments a third brand would target, costs less, and does not create demand we would fail to serve. A third brand is a Q5 move that follows a printer.</t>
        </is>
      </c>
    </row>
  </sheetData>
  <mergeCells count="1">
    <mergeCell ref="A2:G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cols>
    <col width="42" customWidth="1" style="146" min="1" max="1"/>
    <col width="14" customWidth="1" style="146" min="2" max="2"/>
    <col width="14" customWidth="1" style="146" min="3" max="3"/>
    <col width="88" customWidth="1" style="146" min="4" max="4"/>
    <col width="13" customWidth="1" style="146" min="5" max="5"/>
    <col width="13" customWidth="1" style="146" min="6" max="6"/>
    <col width="13" customWidth="1" style="146" min="7" max="7"/>
    <col width="13" customWidth="1" style="146" min="8" max="8"/>
    <col width="60" customWidth="1" style="146" min="9" max="9"/>
  </cols>
  <sheetData>
    <row r="1">
      <c r="A1" s="169" t="inlineStr">
        <is>
          <t>Q4 R&amp;D — 3 project slots, scored against segment needs importance</t>
        </is>
      </c>
    </row>
    <row r="2" ht="62" customHeight="1" s="146">
      <c r="A2" s="258" t="inlineStr">
        <is>
          <t>EVERY rated brand in the industry is 'Acceptable' (70-77). Nobody has reached 'Good' (78-84), 'Very Good' (85-94) or 'Excellent' (95-100). The component ceilings are Mountain 73, Speed 77, Recreation 76 — all inside one band. R&amp;D is the only route into three unclaimed bands. Needs importance from Q1 market research (`Needs` sheet); feature-to-need mapping is our reading of the Workspace descriptions, NOT sim output.</t>
        </is>
      </c>
    </row>
    <row r="4">
      <c r="A4" s="199" t="inlineStr">
        <is>
          <t>Feature</t>
        </is>
      </c>
      <c r="B4" s="199" t="inlineStr">
        <is>
          <t>Dev cost</t>
        </is>
      </c>
      <c r="C4" s="199" t="inlineStr">
        <is>
          <t>Unit cost</t>
        </is>
      </c>
      <c r="D4" s="199" t="inlineStr">
        <is>
          <t>Fits our bikes</t>
        </is>
      </c>
      <c r="E4" s="199" t="inlineStr">
        <is>
          <t>Mtn score</t>
        </is>
      </c>
      <c r="F4" s="199" t="inlineStr">
        <is>
          <t>Speed score</t>
        </is>
      </c>
      <c r="G4" s="199" t="inlineStr">
        <is>
          <t>Usable score</t>
        </is>
      </c>
      <c r="H4" s="199" t="inlineStr">
        <is>
          <t>Score per $100k</t>
        </is>
      </c>
      <c r="I4" s="259" t="inlineStr">
        <is>
          <t>Needs claimed</t>
        </is>
      </c>
    </row>
    <row r="5">
      <c r="A5" s="222" t="inlineStr">
        <is>
          <t>Decals: bright, per segment</t>
        </is>
      </c>
      <c r="B5" s="265" t="n">
        <v>109155</v>
      </c>
      <c r="C5" s="222" t="n">
        <v>8</v>
      </c>
      <c r="D5" s="222" t="inlineStr">
        <is>
          <t>BOTH</t>
        </is>
      </c>
      <c r="E5" s="222" t="n">
        <v>472</v>
      </c>
      <c r="F5" s="222" t="n">
        <v>457</v>
      </c>
      <c r="G5" s="222" t="n">
        <v>929</v>
      </c>
      <c r="H5" s="222" t="n">
        <v>851.1</v>
      </c>
      <c r="I5" s="263" t="inlineStr">
        <is>
          <t>Colorful, Stylish, Fits rider's personality, Status symbol/exclusivity</t>
        </is>
      </c>
    </row>
    <row r="6">
      <c r="A6" s="222" t="inlineStr">
        <is>
          <t>Gears: 11 speed (1x11)</t>
        </is>
      </c>
      <c r="B6" s="265" t="n">
        <v>568514</v>
      </c>
      <c r="C6" s="222" t="n">
        <v>50</v>
      </c>
      <c r="D6" s="222" t="inlineStr">
        <is>
          <t>BOTH</t>
        </is>
      </c>
      <c r="E6" s="222" t="n">
        <v>472</v>
      </c>
      <c r="F6" s="222" t="n">
        <v>433</v>
      </c>
      <c r="G6" s="222" t="n">
        <v>905</v>
      </c>
      <c r="H6" s="222" t="n">
        <v>159.2</v>
      </c>
      <c r="I6" s="263" t="inlineStr">
        <is>
          <t>Shifts smoothly, Light weight, Easily handles change in incline, Simple to use</t>
        </is>
      </c>
    </row>
    <row r="7">
      <c r="A7" s="222" t="inlineStr">
        <is>
          <t>Enriched carbon fiber</t>
        </is>
      </c>
      <c r="B7" s="265" t="n">
        <v>1023325</v>
      </c>
      <c r="C7" s="222" t="n">
        <v>40</v>
      </c>
      <c r="D7" s="222" t="inlineStr">
        <is>
          <t>BOTH</t>
        </is>
      </c>
      <c r="E7" s="222" t="n">
        <v>365</v>
      </c>
      <c r="F7" s="222" t="n">
        <v>374</v>
      </c>
      <c r="G7" s="222" t="n">
        <v>739</v>
      </c>
      <c r="H7" s="222" t="n">
        <v>72.2</v>
      </c>
      <c r="I7" s="263" t="inlineStr">
        <is>
          <t>Light weight, Durable, Provides competitive advantage</t>
        </is>
      </c>
    </row>
    <row r="8">
      <c r="A8" s="200" t="inlineStr">
        <is>
          <t>Performance bike computer</t>
        </is>
      </c>
      <c r="B8" s="220" t="n">
        <v>682217</v>
      </c>
      <c r="C8" s="200" t="n">
        <v>60</v>
      </c>
      <c r="D8" s="200" t="inlineStr">
        <is>
          <t>BOTH</t>
        </is>
      </c>
      <c r="E8" s="200" t="n">
        <v>340</v>
      </c>
      <c r="F8" s="200" t="n">
        <v>359</v>
      </c>
      <c r="G8" s="200" t="n">
        <v>699</v>
      </c>
      <c r="H8" s="200" t="n">
        <v>102.5</v>
      </c>
      <c r="I8" s="260" t="inlineStr">
        <is>
          <t>Navigation assistance, Provides competitive advantage, Precise speed control-turns, hills</t>
        </is>
      </c>
    </row>
    <row r="9">
      <c r="A9" s="200" t="inlineStr">
        <is>
          <t>Puncture resistant slime</t>
        </is>
      </c>
      <c r="B9" s="220" t="n">
        <v>159184</v>
      </c>
      <c r="C9" s="200" t="n">
        <v>3</v>
      </c>
      <c r="D9" s="200" t="inlineStr">
        <is>
          <t>BOTH</t>
        </is>
      </c>
      <c r="E9" s="200" t="n">
        <v>341</v>
      </c>
      <c r="F9" s="200" t="n">
        <v>299</v>
      </c>
      <c r="G9" s="200" t="n">
        <v>640</v>
      </c>
      <c r="H9" s="200" t="n">
        <v>402.1</v>
      </c>
      <c r="I9" s="260" t="inlineStr">
        <is>
          <t>Durable, Safety, Simple to use</t>
        </is>
      </c>
    </row>
    <row r="10">
      <c r="A10" s="200" t="inlineStr">
        <is>
          <t>Tires: Racing sleek very fast</t>
        </is>
      </c>
      <c r="B10" s="220" t="n">
        <v>254694</v>
      </c>
      <c r="C10" s="200" t="n">
        <v>35</v>
      </c>
      <c r="D10" s="200" t="inlineStr">
        <is>
          <t>Swift Bike</t>
        </is>
      </c>
      <c r="E10" s="200" t="n">
        <v>549</v>
      </c>
      <c r="F10" s="200" t="n">
        <v>602</v>
      </c>
      <c r="G10" s="200" t="n">
        <v>602</v>
      </c>
      <c r="H10" s="200" t="n">
        <v>236.4</v>
      </c>
      <c r="I10" s="260" t="inlineStr">
        <is>
          <t>Speed, Can turn sharply, Durable, Sleek, Precise speed control-turns, hills</t>
        </is>
      </c>
    </row>
    <row r="11">
      <c r="A11" s="200" t="inlineStr">
        <is>
          <t>Suspension: full (front+back)</t>
        </is>
      </c>
      <c r="B11" s="220" t="n">
        <v>618543</v>
      </c>
      <c r="C11" s="200" t="n">
        <v>85</v>
      </c>
      <c r="D11" s="200" t="inlineStr">
        <is>
          <t>Hike Bike</t>
        </is>
      </c>
      <c r="E11" s="200" t="n">
        <v>542</v>
      </c>
      <c r="F11" s="200" t="n">
        <v>477</v>
      </c>
      <c r="G11" s="200" t="n">
        <v>542</v>
      </c>
      <c r="H11" s="200" t="n">
        <v>87.59999999999999</v>
      </c>
      <c r="I11" s="260" t="inlineStr">
        <is>
          <t>Soften the impact of rough terrain, Can handle rough terrain, Comfortable, Soft ride, Precise speed control-turns, hills</t>
        </is>
      </c>
    </row>
    <row r="12">
      <c r="A12" s="200" t="inlineStr">
        <is>
          <t>Bars: Power straight</t>
        </is>
      </c>
      <c r="B12" s="220" t="n">
        <v>181924</v>
      </c>
      <c r="C12" s="200" t="n">
        <v>17</v>
      </c>
      <c r="D12" s="200" t="inlineStr">
        <is>
          <t>Hike Bike</t>
        </is>
      </c>
      <c r="E12" s="200" t="n">
        <v>509</v>
      </c>
      <c r="F12" s="200" t="n">
        <v>438</v>
      </c>
      <c r="G12" s="200" t="n">
        <v>509</v>
      </c>
      <c r="H12" s="200" t="n">
        <v>279.8</v>
      </c>
      <c r="I12" s="260" t="inlineStr">
        <is>
          <t>Can handle rough terrain, Rider expertise required, Durable, Easily handles change in incline</t>
        </is>
      </c>
    </row>
    <row r="13">
      <c r="A13" s="200" t="inlineStr">
        <is>
          <t>Tires: Mountain super traction</t>
        </is>
      </c>
      <c r="B13" s="220" t="n">
        <v>254694</v>
      </c>
      <c r="C13" s="200" t="n">
        <v>30</v>
      </c>
      <c r="D13" s="200" t="inlineStr">
        <is>
          <t>Hike Bike</t>
        </is>
      </c>
      <c r="E13" s="200" t="n">
        <v>502</v>
      </c>
      <c r="F13" s="200" t="n">
        <v>424</v>
      </c>
      <c r="G13" s="200" t="n">
        <v>502</v>
      </c>
      <c r="H13" s="200" t="n">
        <v>197.1</v>
      </c>
      <c r="I13" s="260" t="inlineStr">
        <is>
          <t>Can handle rough terrain, Can turn sharply, Durable, Can stop quickly</t>
        </is>
      </c>
    </row>
    <row r="14">
      <c r="A14" s="200" t="inlineStr">
        <is>
          <t>Bars: Carbon aero drop down</t>
        </is>
      </c>
      <c r="B14" s="220" t="n">
        <v>336560</v>
      </c>
      <c r="C14" s="200" t="n">
        <v>40</v>
      </c>
      <c r="D14" s="200" t="inlineStr">
        <is>
          <t>Swift Bike</t>
        </is>
      </c>
      <c r="E14" s="200" t="n">
        <v>387</v>
      </c>
      <c r="F14" s="200" t="n">
        <v>475</v>
      </c>
      <c r="G14" s="200" t="n">
        <v>475</v>
      </c>
      <c r="H14" s="200" t="n">
        <v>141.1</v>
      </c>
      <c r="I14" s="260" t="inlineStr">
        <is>
          <t>Aerodynamic, Light weight, Sleek, Comfortable</t>
        </is>
      </c>
    </row>
    <row r="15">
      <c r="A15" s="200" t="inlineStr">
        <is>
          <t>Bars: Carbon fiber riser</t>
        </is>
      </c>
      <c r="B15" s="220" t="n">
        <v>227406</v>
      </c>
      <c r="C15" s="200" t="n">
        <v>24</v>
      </c>
      <c r="D15" s="200" t="inlineStr">
        <is>
          <t>Hike Bike</t>
        </is>
      </c>
      <c r="E15" s="200" t="n">
        <v>464</v>
      </c>
      <c r="F15" s="200" t="n">
        <v>439</v>
      </c>
      <c r="G15" s="200" t="n">
        <v>464</v>
      </c>
      <c r="H15" s="200" t="n">
        <v>204</v>
      </c>
      <c r="I15" s="260" t="inlineStr">
        <is>
          <t>Comfortable, Soften the impact of rough terrain, Can turn sharply, Light weight</t>
        </is>
      </c>
    </row>
    <row r="16">
      <c r="A16" s="200" t="inlineStr">
        <is>
          <t>Lights: high intensity LED</t>
        </is>
      </c>
      <c r="B16" s="220" t="n">
        <v>140991</v>
      </c>
      <c r="C16" s="200" t="n">
        <v>13</v>
      </c>
      <c r="D16" s="200" t="inlineStr">
        <is>
          <t>Swift Bike</t>
        </is>
      </c>
      <c r="E16" s="200" t="n">
        <v>215</v>
      </c>
      <c r="F16" s="200" t="n">
        <v>232</v>
      </c>
      <c r="G16" s="200" t="n">
        <v>232</v>
      </c>
      <c r="H16" s="200" t="n">
        <v>164.5</v>
      </c>
      <c r="I16" s="260" t="inlineStr">
        <is>
          <t>High visibility, Safety</t>
        </is>
      </c>
    </row>
    <row r="17">
      <c r="A17" s="200" t="inlineStr">
        <is>
          <t>Tires: Hybrid comfort</t>
        </is>
      </c>
      <c r="B17" s="220" t="n">
        <v>254694</v>
      </c>
      <c r="C17" s="200" t="n">
        <v>14</v>
      </c>
      <c r="D17" s="204" t="inlineStr">
        <is>
          <t>NEITHER</t>
        </is>
      </c>
      <c r="E17" s="200" t="n">
        <v>403</v>
      </c>
      <c r="F17" s="200" t="n">
        <v>372</v>
      </c>
      <c r="G17" s="200" t="n">
        <v>0</v>
      </c>
      <c r="H17" s="200" t="n">
        <v>0</v>
      </c>
      <c r="I17" s="260" t="inlineStr">
        <is>
          <t>Comfortable, Soft ride, Can turn sharply, On-road and off-road capabilities</t>
        </is>
      </c>
    </row>
    <row r="18">
      <c r="A18" s="200" t="inlineStr">
        <is>
          <t>Pedal-powered charger</t>
        </is>
      </c>
      <c r="B18" s="220" t="n">
        <v>291079</v>
      </c>
      <c r="C18" s="200" t="n">
        <v>28</v>
      </c>
      <c r="D18" s="204" t="inlineStr">
        <is>
          <t>NEITHER</t>
        </is>
      </c>
      <c r="E18" s="200" t="n">
        <v>232</v>
      </c>
      <c r="F18" s="200" t="n">
        <v>235</v>
      </c>
      <c r="G18" s="200" t="n">
        <v>0</v>
      </c>
      <c r="H18" s="200" t="n">
        <v>0</v>
      </c>
      <c r="I18" s="260" t="inlineStr">
        <is>
          <t>Navigation assistance, Feel young at heart</t>
        </is>
      </c>
    </row>
    <row r="19">
      <c r="A19" s="200" t="inlineStr">
        <is>
          <t>Carrier: mesh folding tote</t>
        </is>
      </c>
      <c r="B19" s="220" t="n">
        <v>90962</v>
      </c>
      <c r="C19" s="200" t="n">
        <v>12</v>
      </c>
      <c r="D19" s="204" t="inlineStr">
        <is>
          <t>NEITHER</t>
        </is>
      </c>
      <c r="E19" s="200" t="n">
        <v>206</v>
      </c>
      <c r="F19" s="200" t="n">
        <v>138</v>
      </c>
      <c r="G19" s="200" t="n">
        <v>0</v>
      </c>
      <c r="H19" s="200" t="n">
        <v>0</v>
      </c>
      <c r="I19" s="260" t="inlineStr">
        <is>
          <t>Can carry things, Simple to use</t>
        </is>
      </c>
    </row>
    <row r="22">
      <c r="A22" s="199" t="inlineStr">
        <is>
          <t>RECOMMENDED THREE — all usable on BOTH bikes</t>
        </is>
      </c>
      <c r="B22" s="199" t="inlineStr">
        <is>
          <t>Dev cost</t>
        </is>
      </c>
      <c r="C22" s="199" t="inlineStr">
        <is>
          <t>Unit cost</t>
        </is>
      </c>
      <c r="D22" s="259" t="inlineStr">
        <is>
          <t>Why this one</t>
        </is>
      </c>
    </row>
    <row r="23">
      <c r="A23" s="200" t="inlineStr">
        <is>
          <t>Decals: bright, styled per segment &amp; frame</t>
        </is>
      </c>
      <c r="B23" s="220" t="n">
        <v>109155</v>
      </c>
      <c r="C23" s="200" t="n">
        <v>8</v>
      </c>
      <c r="D23" s="260" t="inlineStr">
        <is>
          <t>Highest combined needs score on the entire list (929). Hits Colourful (Mtn 120), Status symbol (Mtn 121), Stylish (Mtn 118), Fits personality (Spd 116) — four needs all scoring 109-121 in BOTH segments. Cheapest project ($109,155) and cheapest component ($8). And decals are one of only two component classes our design model has MEASURED: worth +2 in Speed. Highest confidence per dollar on the board.</t>
        </is>
      </c>
    </row>
    <row r="24">
      <c r="A24" s="200" t="inlineStr">
        <is>
          <t>Enriched carbon fiber</t>
        </is>
      </c>
      <c r="B24" s="220" t="n">
        <v>1023325</v>
      </c>
      <c r="C24" s="200" t="n">
        <v>40</v>
      </c>
      <c r="D24" s="260" t="inlineStr">
        <is>
          <t>Hits Light weight (Speed's #2 need at 133, Mtn 121), Durable (Mountain's #3 at 127, Spd 117) and Provides competitive advantage (Spd 124, Mtn 117). Upgrades the material on BOTH bikes and every future brand, since every bike in the game carries carbon fiber. Also the single most on-strategy item we could fund — our entire company premise is licensed carbon-fiber 3D printing.</t>
        </is>
      </c>
    </row>
    <row r="25">
      <c r="A25" s="200" t="inlineStr">
        <is>
          <t>Gears: 11 speed (1x11)</t>
        </is>
      </c>
      <c r="B25" s="220" t="n">
        <v>568514</v>
      </c>
      <c r="C25" s="200" t="n">
        <v>50</v>
      </c>
      <c r="D25" s="260" t="inlineStr">
        <is>
          <t>Hits Easily handles change in incline (Mountain's #1 need at 131), Light weight (121/133) and Shifts smoothly (118/118). Gears are the STRONGEST lever our model has measured — a 16-point swing in Speed between 14sp and 7sp. Highest variance of the three: 24-speed is currently optimal in Mountain and 11 is fewer gears, though the feature text answers that directly. Bonus if it lands: ONE drivetrain optimal on both bikes, eliminating the copy-paste error that cost Swift Bike 3 points.</t>
        </is>
      </c>
    </row>
    <row r="26">
      <c r="A26" s="200" t="inlineStr">
        <is>
          <t>TOTAL</t>
        </is>
      </c>
      <c r="B26" s="249" t="n">
        <v>1700994</v>
      </c>
      <c r="C26" s="200" t="n">
        <v>98</v>
      </c>
      <c r="D26" s="260" t="inlineStr">
        <is>
          <t>48.4% of the $3,510,838 available. Gross added component cost $98/unit, but all three are REPLACEMENT parts — the true increment is the difference from what we ship today and is smaller.</t>
        </is>
      </c>
    </row>
    <row r="29">
      <c r="A29" s="199" t="inlineStr">
        <is>
          <t>SCHEDULING — 1 quarter or 2</t>
        </is>
      </c>
      <c r="B29" s="259" t="inlineStr">
        <is>
          <t>Reasoning</t>
        </is>
      </c>
    </row>
    <row r="30">
      <c r="A30" s="200" t="inlineStr">
        <is>
          <t>Recommend 1-quarter (rapid) on all three</t>
        </is>
      </c>
      <c r="B30" s="261" t="inlineStr">
        <is>
          <t>We are SLOT-constrained (3 projects), not cash-constrained ($3.5M available). When slots are scarce and money is not, buy speed: features land in Q5 designs instead of Q6, and Q5's expanded engineering capacity stays free for new projects.</t>
        </is>
      </c>
    </row>
    <row r="31">
      <c r="A31" s="200" t="inlineStr">
        <is>
          <t>The listed prices are not final</t>
        </is>
      </c>
      <c r="B31" s="260" t="inlineStr">
        <is>
          <t>The table shows 'Cost to finish' with no quarter selected. The tip says a 1-quarter schedule costs MORE in total than spreading over two, so the rapid prices will be higher than displayed. Read the real numbers after selecting a quarter.</t>
        </is>
      </c>
    </row>
    <row r="32">
      <c r="A32" s="200" t="inlineStr">
        <is>
          <t>If the total lands under the 50% floor</t>
        </is>
      </c>
      <c r="B32" s="260" t="inlineStr">
        <is>
          <t>Close the gap by paying for rapid development, NOT by adding a weaker fourth-choice feature. Three good features delivered a quarter early beats four mediocre ones.</t>
        </is>
      </c>
    </row>
    <row r="33">
      <c r="A33" s="200" t="inlineStr">
        <is>
          <t>Ask the team</t>
        </is>
      </c>
      <c r="B33" s="262" t="inlineStr">
        <is>
          <t>How many quarters remain in the simulation? If it ends at Q6, 1-quarter scheduling is mandatory — a Q6 feature would never ship. This is the one input we do not have.</t>
        </is>
      </c>
    </row>
    <row r="36">
      <c r="A36" s="199" t="inlineStr">
        <is>
          <t>FUNDING</t>
        </is>
      </c>
      <c r="B36" s="199" t="inlineStr">
        <is>
          <t>Amount</t>
        </is>
      </c>
      <c r="C36" s="259" t="inlineStr">
        <is>
          <t>Note</t>
        </is>
      </c>
    </row>
    <row r="37">
      <c r="A37" s="200" t="inlineStr">
        <is>
          <t>Cash on hand</t>
        </is>
      </c>
      <c r="B37" s="220" t="n">
        <v>1010838</v>
      </c>
      <c r="C37" s="260" t="inlineStr">
        <is>
          <t>idle — this is what Asset Management 0.353 punishes</t>
        </is>
      </c>
    </row>
    <row r="38">
      <c r="A38" s="200" t="inlineStr">
        <is>
          <t>VC raise</t>
        </is>
      </c>
      <c r="B38" s="220" t="n">
        <v>2500000</v>
      </c>
      <c r="C38" s="262" t="inlineStr">
        <is>
          <t>take the full amount. This RECONCILES with our earlier 'stop issuing stock' rule, which was conditional on the cash sitting idle. R&amp;D is the productive use that justifies a raise.</t>
        </is>
      </c>
    </row>
    <row r="39">
      <c r="A39" s="200" t="inlineStr">
        <is>
          <t>Available</t>
        </is>
      </c>
      <c r="B39" s="220" t="n">
        <v>3510838</v>
      </c>
      <c r="C39" s="260" t="inlineStr"/>
    </row>
    <row r="40">
      <c r="A40" s="200" t="inlineStr">
        <is>
          <t>50% guidance floor</t>
        </is>
      </c>
      <c r="B40" s="220" t="n">
        <v>1755419</v>
      </c>
      <c r="C40" s="260" t="inlineStr">
        <is>
          <t>instructor guidance: plan to spend 50-75% on R&amp;D</t>
        </is>
      </c>
    </row>
    <row r="41">
      <c r="A41" s="200" t="inlineStr">
        <is>
          <t>75% guidance ceiling</t>
        </is>
      </c>
      <c r="B41" s="220" t="n">
        <v>2633128</v>
      </c>
      <c r="C41" s="260" t="inlineStr"/>
    </row>
    <row r="42">
      <c r="A42" s="200" t="inlineStr">
        <is>
          <t>Recommended three (listed cost)</t>
        </is>
      </c>
      <c r="B42" s="220" t="n">
        <v>1700994</v>
      </c>
      <c r="C42" s="260" t="inlineStr">
        <is>
          <t>48.4% — just under the floor at listed prices; rapid scheduling should close it</t>
        </is>
      </c>
    </row>
    <row r="43">
      <c r="A43" s="200" t="inlineStr">
        <is>
          <t>Also committed this quarter</t>
        </is>
      </c>
      <c r="B43" s="220" t="n">
        <v>146000</v>
      </c>
      <c r="C43" s="260" t="inlineStr">
        <is>
          <t>the copy-the-leader operating plan</t>
        </is>
      </c>
    </row>
    <row r="44">
      <c r="A44" s="200" t="inlineStr">
        <is>
          <t>Hard floor</t>
        </is>
      </c>
      <c r="B44" s="220" t="n">
        <v>300000</v>
      </c>
      <c r="C44" s="260" t="inlineStr">
        <is>
          <t>ending Cash + CD must stay at or above this</t>
        </is>
      </c>
    </row>
    <row r="47">
      <c r="A47" s="199" t="inlineStr">
        <is>
          <t>BRAND P&amp;L — what it tells us about cost per unit</t>
        </is>
      </c>
      <c r="B47" s="199" t="inlineStr">
        <is>
          <t>Hike Bike</t>
        </is>
      </c>
      <c r="C47" s="259" t="inlineStr">
        <is>
          <t>Swift Bike</t>
        </is>
      </c>
    </row>
    <row r="48">
      <c r="A48" s="200" t="inlineStr">
        <is>
          <t>Units</t>
        </is>
      </c>
      <c r="B48" s="220" t="n">
        <v>278</v>
      </c>
      <c r="C48" s="266" t="n">
        <v>145</v>
      </c>
    </row>
    <row r="49">
      <c r="A49" s="200" t="inlineStr">
        <is>
          <t>Revenue</t>
        </is>
      </c>
      <c r="B49" s="220" t="n">
        <v>379470</v>
      </c>
      <c r="C49" s="266" t="n">
        <v>210250</v>
      </c>
    </row>
    <row r="50">
      <c r="A50" s="200" t="inlineStr">
        <is>
          <t>COGS</t>
        </is>
      </c>
      <c r="B50" s="220" t="n">
        <v>171741</v>
      </c>
      <c r="C50" s="266" t="n">
        <v>100599</v>
      </c>
    </row>
    <row r="51">
      <c r="A51" s="200" t="inlineStr">
        <is>
          <t>COGS per unit</t>
        </is>
      </c>
      <c r="B51" s="220" t="n">
        <v>618</v>
      </c>
      <c r="C51" s="266" t="n">
        <v>694</v>
      </c>
    </row>
    <row r="52">
      <c r="A52" s="200" t="inlineStr">
        <is>
          <t>Gross margin per unit</t>
        </is>
      </c>
      <c r="B52" s="220" t="n">
        <v>747</v>
      </c>
      <c r="C52" s="266" t="n">
        <v>756</v>
      </c>
    </row>
    <row r="53">
      <c r="A53" s="200" t="inlineStr">
        <is>
          <t>Brand expense (ad + design)</t>
        </is>
      </c>
      <c r="B53" s="220" t="n">
        <v>68732</v>
      </c>
      <c r="C53" s="266" t="n">
        <v>82433</v>
      </c>
    </row>
    <row r="54">
      <c r="A54" s="200" t="inlineStr">
        <is>
          <t>Brand expense PER UNIT</t>
        </is>
      </c>
      <c r="B54" s="220" t="n">
        <v>247</v>
      </c>
      <c r="C54" s="266" t="n">
        <v>568</v>
      </c>
    </row>
    <row r="55">
      <c r="A55" s="200" t="inlineStr">
        <is>
          <t>Profit per unit</t>
        </is>
      </c>
      <c r="B55" s="220" t="n">
        <v>500</v>
      </c>
      <c r="C55" s="266" t="n">
        <v>188</v>
      </c>
    </row>
    <row r="56">
      <c r="A56" s="200" t="inlineStr">
        <is>
          <t>Read</t>
        </is>
      </c>
      <c r="B56" s="200" t="n"/>
      <c r="C56" s="262" t="inlineStr">
        <is>
          <t>Swift Bike's $188 is not structural. It carries a one-time $30,000 design fee and spreads $45,433 of advertising over only 145 units ($313/unit). At BB LLC's Speed volume of 363 the same ad dollars cost $125/unit. Advertising is FIXED — volume is what crushes cost per unit. Swift also costs $76 more per unit to build than Hike Bike, and the 14-speed swap should narrow that.</t>
        </is>
      </c>
    </row>
    <row r="59">
      <c r="A59" s="199" t="inlineStr">
        <is>
          <t>HOLD FOR Q5 (engineering capacity expands next quarter)</t>
        </is>
      </c>
      <c r="B59" s="259" t="inlineStr">
        <is>
          <t>Why not now</t>
        </is>
      </c>
    </row>
    <row r="60">
      <c r="A60" s="200" t="inlineStr">
        <is>
          <t>Carrier: mesh folding tote</t>
        </is>
      </c>
      <c r="B60" s="264" t="inlineStr">
        <is>
          <t>Comfort frames ONLY - fits neither of our bikes. Hard exclusion.</t>
        </is>
      </c>
    </row>
    <row r="61">
      <c r="A61" s="200" t="inlineStr">
        <is>
          <t>Suspension: full (front+back)</t>
        </is>
      </c>
      <c r="B61" s="260" t="inlineStr">
        <is>
          <t>Not compatible with Aerodynamic, so Hike Bike only. Highest unit cost on the list at $85 against a $747 margin, and $618,543 to develop. Strong Mountain needs (rough terrain 128, soften impact 124) but half the reach for more money.</t>
        </is>
      </c>
    </row>
    <row r="62">
      <c r="A62" s="200" t="inlineStr">
        <is>
          <t>Tires: Hybrid comfort</t>
        </is>
      </c>
      <c r="B62" s="260" t="inlineStr">
        <is>
          <t>Recreation feature. Comfortable scores 95 in Mountain and 101 in Speed.</t>
        </is>
      </c>
    </row>
    <row r="63">
      <c r="A63" s="200" t="inlineStr">
        <is>
          <t>Pedal-powered charger</t>
        </is>
      </c>
      <c r="B63" s="260" t="inlineStr">
        <is>
          <t>Touches no top-10 need in either of our segments.</t>
        </is>
      </c>
    </row>
    <row r="64">
      <c r="A64" s="200" t="inlineStr">
        <is>
          <t>Performance bike computer</t>
        </is>
      </c>
      <c r="B64" s="260" t="inlineStr">
        <is>
          <t>$60/unit and $682,217 to develop. Navigation assistance is only 117/118 - mid-tier - and no rival ad in the game claims anything like it.</t>
        </is>
      </c>
    </row>
    <row r="65">
      <c r="A65" s="200" t="inlineStr">
        <is>
          <t>Tires: Mountain super traction</t>
        </is>
      </c>
      <c r="B65" s="260" t="inlineStr">
        <is>
          <t>Genuinely strong for Mountain (rough terrain 128, turn sharply 124, durable 127) but scores only 82 on rough terrain in Speed. Best single-segment option - hold for Q5.</t>
        </is>
      </c>
    </row>
    <row r="66">
      <c r="A66" s="200" t="inlineStr">
        <is>
          <t>Tires: Racing sleek very fast</t>
        </is>
      </c>
      <c r="B66" s="260" t="inlineStr">
        <is>
          <t>Strong for Speed (Speed 134, sleek 119) and directly supports the new Swift ad copy. Best Speed-only option - hold for Q5.</t>
        </is>
      </c>
    </row>
    <row r="67">
      <c r="A67" s="200" t="inlineStr">
        <is>
          <t>Bars: Carbon aero drop down</t>
        </is>
      </c>
      <c r="B67" s="260" t="inlineStr">
        <is>
          <t>Supports 'ride a wind-cheater', the one claim on 8 of 8 rival Speed ads. Aerodynamic scores 122 in Speed but 88 in Mountain. Hold for Q5.</t>
        </is>
      </c>
    </row>
    <row r="68">
      <c r="A68" s="200" t="inlineStr">
        <is>
          <t>Bars: Power straight / CF riser</t>
        </is>
      </c>
      <c r="B68" s="260" t="inlineStr">
        <is>
          <t>Mountain and Recreation leaning, and the Power straight text admits a downside (reduced tree clearance).</t>
        </is>
      </c>
    </row>
    <row r="69">
      <c r="A69" s="200" t="inlineStr">
        <is>
          <t>Puncture resistant slime</t>
        </is>
      </c>
      <c r="B69" s="260" t="inlineStr">
        <is>
          <t>Only $3/unit and $159,184 - the best value per unit on the list, hitting Durable (Mtn 127 / Spd 117) and Safety. It is the strongest CHEAP alternative if the team wants to conserve cash, but it touches only 2-3 needs, so it wastes a scarce slot.</t>
        </is>
      </c>
    </row>
    <row r="70">
      <c r="A70" s="200" t="inlineStr">
        <is>
          <t>Lights: high intensity LED</t>
        </is>
      </c>
      <c r="B70" s="260" t="inlineStr">
        <is>
          <t>High visibility is 119 in Speed but 103 in Mountain, and no Mountain brand in the industry ships lights at all. Our own ad analysis says drop lights from Speed copy.</t>
        </is>
      </c>
    </row>
    <row r="73">
      <c r="A73" s="199" t="inlineStr">
        <is>
          <t>CAVEATS</t>
        </is>
      </c>
      <c r="B73" s="259" t="inlineStr">
        <is>
          <t>Detail</t>
        </is>
      </c>
    </row>
    <row r="74">
      <c r="A74" s="200" t="inlineStr">
        <is>
          <t>Need mapping is our judgment</t>
        </is>
      </c>
      <c r="B74" s="260" t="inlineStr">
        <is>
          <t>The sim has not told us which needs each component satisfies. These are readings of the Workspace feature text. Use the scores as a ranking aid, not a points prediction.</t>
        </is>
      </c>
    </row>
    <row r="75">
      <c r="A75" s="200" t="inlineStr">
        <is>
          <t>Only 5 components are MEASURED</t>
        </is>
      </c>
      <c r="B75" s="260" t="inlineStr">
        <is>
          <t>Our design model derived point values for gears, seat, decals, reflectors and lights only. Frame, tires, brakes and handlebars never varied within a segment, so we have no measured evidence for upgrading them. Two of the three picks land on measured components.</t>
        </is>
      </c>
    </row>
    <row r="76">
      <c r="A76" s="200" t="inlineStr">
        <is>
          <t>11-speed is the risk</t>
        </is>
      </c>
      <c r="B76" s="260" t="inlineStr">
        <is>
          <t>24-speed is currently optimal in Mountain and our ad claims 'more gears'. The feature text answers this ('11 gears can do the job of 24... lighter, easier to shift, wide range') and 'easily handles change in incline' is Mountain's #1 need at 131 — but it is still an inference. Lower-variance swap: puncture resistant slime, $159,184 and $3/unit.</t>
        </is>
      </c>
    </row>
    <row r="77">
      <c r="A77" s="200" t="inlineStr">
        <is>
          <t>Replacement not addition</t>
        </is>
      </c>
      <c r="B77" s="260" t="inlineStr">
        <is>
          <t>All three picks replace parts we already fit, so the incremental unit cost is less than the $98 sticker. Read the delta on the Design Brand screen.</t>
        </is>
      </c>
    </row>
    <row r="78">
      <c r="A78" s="200" t="inlineStr">
        <is>
          <t>Status</t>
        </is>
      </c>
      <c r="B78" s="260" t="inlineStr">
        <is>
          <t>ANALYSIS ONLY. Three slots, majority vote required.</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2026-08-20T11:55:30Z</dcterms:created>
  <dcterms:modified xmlns:dcterms="http://purl.org/dc/terms/" xmlns:xsi="http://www.w3.org/2001/XMLSchema-instance" xsi:type="dcterms:W3CDTF">2026-09-08T16:06:34Z</dcterms:modified>
  <cp:lastModifiedBy>Conger, Kyle E.</cp:lastModifiedBy>
</cp:coreProperties>
</file>