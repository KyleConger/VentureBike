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 xmlns:r="http://schemas.openxmlformats.org/officeDocument/2006/relationships" name="Q4_RD" sheetId="48" state="visible" r:id="rId48"/>
    <sheet xmlns:r="http://schemas.openxmlformats.org/officeDocument/2006/relationships" name="Q4_Financing" sheetId="49" state="visible" r:id="rId49"/>
    <sheet xmlns:r="http://schemas.openxmlformats.org/officeDocument/2006/relationships" name="Q4_Ads_SEO_Media" sheetId="50" state="visible" r:id="rId50"/>
    <sheet xmlns:r="http://schemas.openxmlformats.org/officeDocument/2006/relationships" name="Q4_Price_Priority" sheetId="51" state="visible" r:id="rId51"/>
    <sheet xmlns:r="http://schemas.openxmlformats.org/officeDocument/2006/relationships" name="Q4_Paid_SEM" sheetId="52" state="visible" r:id="rId52"/>
    <sheet xmlns:r="http://schemas.openxmlformats.org/officeDocument/2006/relationships" name="Q4_Social_Media" sheetId="53" state="visible" r:id="rId53"/>
    <sheet xmlns:r="http://schemas.openxmlformats.org/officeDocument/2006/relationships" name="Q4_Staffing_Stores" sheetId="54" state="visible" r:id="rId54"/>
    <sheet xmlns:r="http://schemas.openxmlformats.org/officeDocument/2006/relationships" name="Q4_Screen_Audit" sheetId="55" state="visible" r:id="rId55"/>
  </sheets>
  <definedNames/>
  <calcPr calcId="191029" fullCalcOnLoad="1"/>
</workbook>
</file>

<file path=xl/styles.xml><?xml version="1.0" encoding="utf-8"?>
<styleSheet xmlns="http://schemas.openxmlformats.org/spreadsheetml/2006/main">
  <numFmts count="12">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 numFmtId="175" formatCode="+#,##0"/>
  </numFmts>
  <fonts count="35">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
      <b val="1"/>
      <sz val="11"/>
    </font>
    <font>
      <b val="1"/>
      <color rgb="00FFFFFF"/>
    </font>
  </fonts>
  <fills count="38">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
      <patternFill patternType="solid">
        <fgColor rgb="001F3864"/>
      </patternFill>
    </fill>
    <fill>
      <patternFill patternType="solid">
        <fgColor rgb="00FF7B7B"/>
      </patternFill>
    </fill>
    <fill>
      <patternFill patternType="solid">
        <fgColor rgb="00FFC000"/>
      </patternFill>
    </fill>
    <fill>
      <patternFill patternType="solid">
        <fgColor rgb="00FFE699"/>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86">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xf numFmtId="3" fontId="28" fillId="29" borderId="18" pivotButton="0" quotePrefix="0" xfId="0"/>
    <xf numFmtId="3" fontId="0" fillId="0" borderId="18" applyAlignment="1" pivotButton="0" quotePrefix="0" xfId="0">
      <alignment vertical="top" wrapText="1"/>
    </xf>
    <xf numFmtId="3" fontId="28" fillId="32" borderId="18" pivotButton="0" quotePrefix="0" xfId="0"/>
    <xf numFmtId="0" fontId="28" fillId="32" borderId="18" applyAlignment="1" pivotButton="0" quotePrefix="0" xfId="0">
      <alignment vertical="top" wrapText="1"/>
    </xf>
    <xf numFmtId="3" fontId="0" fillId="31" borderId="18" pivotButton="0" quotePrefix="0" xfId="0"/>
    <xf numFmtId="164" fontId="0" fillId="31" borderId="18" pivotButton="0" quotePrefix="0" xfId="0"/>
    <xf numFmtId="164" fontId="28" fillId="29" borderId="18" pivotButton="0" quotePrefix="0" xfId="0"/>
    <xf numFmtId="168" fontId="0" fillId="29" borderId="18" pivotButton="0" quotePrefix="0" xfId="0"/>
    <xf numFmtId="168" fontId="0" fillId="32" borderId="18" pivotButton="0" quotePrefix="0" xfId="0"/>
    <xf numFmtId="168" fontId="28" fillId="29" borderId="18" pivotButton="0" quotePrefix="0" xfId="0"/>
    <xf numFmtId="0" fontId="28" fillId="0" borderId="18" applyAlignment="1" pivotButton="0" quotePrefix="0" xfId="0">
      <alignment vertical="top" wrapText="1"/>
    </xf>
    <xf numFmtId="175" fontId="0" fillId="29" borderId="18" pivotButton="0" quotePrefix="0" xfId="0"/>
    <xf numFmtId="0" fontId="33" fillId="0" borderId="0" pivotButton="0" quotePrefix="0" xfId="0"/>
    <xf numFmtId="0" fontId="34" fillId="34" borderId="0" applyAlignment="1" pivotButton="0" quotePrefix="0" xfId="0">
      <alignment vertical="top" wrapText="1"/>
    </xf>
    <xf numFmtId="0" fontId="28" fillId="35" borderId="0" applyAlignment="1" pivotButton="0" quotePrefix="0" xfId="0">
      <alignment vertical="top" wrapText="1"/>
    </xf>
    <xf numFmtId="0" fontId="28" fillId="36" borderId="0" applyAlignment="1" pivotButton="0" quotePrefix="0" xfId="0">
      <alignment vertical="top" wrapText="1"/>
    </xf>
    <xf numFmtId="0" fontId="28" fillId="37" borderId="0" applyAlignment="1" pivotButton="0" quotePrefix="0" xfId="0">
      <alignment vertical="top" wrapText="1"/>
    </xf>
    <xf numFmtId="0" fontId="28" fillId="30" borderId="0" applyAlignment="1" pivotButton="0" quotePrefix="0" xfId="0">
      <alignment vertical="top" wrapText="1"/>
    </xf>
    <xf numFmtId="0" fontId="28" fillId="29" borderId="0" applyAlignment="1" pivotButton="0" quotePrefix="0" xfId="0">
      <alignment vertical="top" wrapText="1"/>
    </xf>
    <xf numFmtId="3" fontId="0" fillId="0" borderId="0" applyAlignment="1" pivotButton="0" quotePrefix="0" xfId="0">
      <alignment vertical="top" wrapText="1"/>
    </xf>
    <xf numFmtId="0" fontId="0" fillId="36" borderId="0" applyAlignment="1" pivotButton="0" quotePrefix="0" xfId="0">
      <alignment vertical="top" wrapText="1"/>
    </xf>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styles" Target="styles.xml" Id="rId56"/><Relationship Type="http://schemas.openxmlformats.org/officeDocument/2006/relationships/theme" Target="theme/theme1.xml" Id="rId5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42" customWidth="1" style="146" min="1" max="1"/>
    <col width="14" customWidth="1" style="146" min="2" max="2"/>
    <col width="14" customWidth="1" style="146" min="3" max="3"/>
    <col width="88" customWidth="1" style="146" min="4" max="4"/>
    <col width="13" customWidth="1" style="146" min="5" max="5"/>
    <col width="13" customWidth="1" style="146" min="6" max="6"/>
    <col width="13" customWidth="1" style="146" min="7" max="7"/>
    <col width="13" customWidth="1" style="146" min="8" max="8"/>
    <col width="60" customWidth="1" style="146" min="9" max="9"/>
  </cols>
  <sheetData>
    <row r="1">
      <c r="A1" s="169" t="inlineStr">
        <is>
          <t>Q4 R&amp;D — 3 project slots, scored against segment needs importance</t>
        </is>
      </c>
    </row>
    <row r="2" ht="62" customHeight="1" s="146">
      <c r="A2" s="258" t="inlineStr">
        <is>
          <t>EVERY rated brand in the industry is 'Acceptable' (70-77). Nobody has reached 'Good' (78-84), 'Very Good' (85-94) or 'Excellent' (95-100). The component ceilings are Mountain 73, Speed 77, Recreation 76 — all inside one band. R&amp;D is the only route into three unclaimed bands. Needs importance from Q1 market research (`Needs` sheet); feature-to-need mapping is our reading of the Workspace descriptions, NOT sim output.</t>
        </is>
      </c>
    </row>
    <row r="4">
      <c r="A4" s="199" t="inlineStr">
        <is>
          <t>Feature</t>
        </is>
      </c>
      <c r="B4" s="199" t="inlineStr">
        <is>
          <t>Dev cost</t>
        </is>
      </c>
      <c r="C4" s="199" t="inlineStr">
        <is>
          <t>Unit cost</t>
        </is>
      </c>
      <c r="D4" s="199" t="inlineStr">
        <is>
          <t>Fits our bikes</t>
        </is>
      </c>
      <c r="E4" s="199" t="inlineStr">
        <is>
          <t>Mtn score</t>
        </is>
      </c>
      <c r="F4" s="199" t="inlineStr">
        <is>
          <t>Speed score</t>
        </is>
      </c>
      <c r="G4" s="199" t="inlineStr">
        <is>
          <t>Usable score</t>
        </is>
      </c>
      <c r="H4" s="199" t="inlineStr">
        <is>
          <t>Score per $100k</t>
        </is>
      </c>
      <c r="I4" s="259" t="inlineStr">
        <is>
          <t>Needs claimed</t>
        </is>
      </c>
    </row>
    <row r="5">
      <c r="A5" s="222" t="inlineStr">
        <is>
          <t>Decals: bright, per segment</t>
        </is>
      </c>
      <c r="B5" s="265" t="n">
        <v>109155</v>
      </c>
      <c r="C5" s="222" t="n">
        <v>8</v>
      </c>
      <c r="D5" s="222" t="inlineStr">
        <is>
          <t>BOTH</t>
        </is>
      </c>
      <c r="E5" s="222" t="n">
        <v>472</v>
      </c>
      <c r="F5" s="222" t="n">
        <v>457</v>
      </c>
      <c r="G5" s="222" t="n">
        <v>929</v>
      </c>
      <c r="H5" s="222" t="n">
        <v>851.1</v>
      </c>
      <c r="I5" s="263" t="inlineStr">
        <is>
          <t>Colorful, Stylish, Fits rider's personality, Status symbol/exclusivity</t>
        </is>
      </c>
    </row>
    <row r="6">
      <c r="A6" s="222" t="inlineStr">
        <is>
          <t>Gears: 11 speed (1x11)</t>
        </is>
      </c>
      <c r="B6" s="265" t="n">
        <v>568514</v>
      </c>
      <c r="C6" s="222" t="n">
        <v>50</v>
      </c>
      <c r="D6" s="222" t="inlineStr">
        <is>
          <t>BOTH</t>
        </is>
      </c>
      <c r="E6" s="222" t="n">
        <v>472</v>
      </c>
      <c r="F6" s="222" t="n">
        <v>433</v>
      </c>
      <c r="G6" s="222" t="n">
        <v>905</v>
      </c>
      <c r="H6" s="222" t="n">
        <v>159.2</v>
      </c>
      <c r="I6" s="263" t="inlineStr">
        <is>
          <t>Shifts smoothly, Light weight, Easily handles change in incline, Simple to use</t>
        </is>
      </c>
    </row>
    <row r="7">
      <c r="A7" s="222" t="inlineStr">
        <is>
          <t>Enriched carbon fiber</t>
        </is>
      </c>
      <c r="B7" s="265" t="n">
        <v>1023325</v>
      </c>
      <c r="C7" s="222" t="n">
        <v>40</v>
      </c>
      <c r="D7" s="222" t="inlineStr">
        <is>
          <t>BOTH</t>
        </is>
      </c>
      <c r="E7" s="222" t="n">
        <v>365</v>
      </c>
      <c r="F7" s="222" t="n">
        <v>374</v>
      </c>
      <c r="G7" s="222" t="n">
        <v>739</v>
      </c>
      <c r="H7" s="222" t="n">
        <v>72.2</v>
      </c>
      <c r="I7" s="263" t="inlineStr">
        <is>
          <t>Light weight, Durable, Provides competitive advantage</t>
        </is>
      </c>
    </row>
    <row r="8">
      <c r="A8" s="200" t="inlineStr">
        <is>
          <t>Performance bike computer</t>
        </is>
      </c>
      <c r="B8" s="220" t="n">
        <v>682217</v>
      </c>
      <c r="C8" s="200" t="n">
        <v>60</v>
      </c>
      <c r="D8" s="200" t="inlineStr">
        <is>
          <t>BOTH</t>
        </is>
      </c>
      <c r="E8" s="200" t="n">
        <v>340</v>
      </c>
      <c r="F8" s="200" t="n">
        <v>359</v>
      </c>
      <c r="G8" s="200" t="n">
        <v>699</v>
      </c>
      <c r="H8" s="200" t="n">
        <v>102.5</v>
      </c>
      <c r="I8" s="260" t="inlineStr">
        <is>
          <t>Navigation assistance, Provides competitive advantage, Precise speed control-turns, hills</t>
        </is>
      </c>
    </row>
    <row r="9">
      <c r="A9" s="200" t="inlineStr">
        <is>
          <t>Puncture resistant slime</t>
        </is>
      </c>
      <c r="B9" s="220" t="n">
        <v>159184</v>
      </c>
      <c r="C9" s="200" t="n">
        <v>3</v>
      </c>
      <c r="D9" s="200" t="inlineStr">
        <is>
          <t>BOTH</t>
        </is>
      </c>
      <c r="E9" s="200" t="n">
        <v>341</v>
      </c>
      <c r="F9" s="200" t="n">
        <v>299</v>
      </c>
      <c r="G9" s="200" t="n">
        <v>640</v>
      </c>
      <c r="H9" s="200" t="n">
        <v>402.1</v>
      </c>
      <c r="I9" s="260" t="inlineStr">
        <is>
          <t>Durable, Safety, Simple to use</t>
        </is>
      </c>
    </row>
    <row r="10">
      <c r="A10" s="200" t="inlineStr">
        <is>
          <t>Tires: Racing sleek very fast</t>
        </is>
      </c>
      <c r="B10" s="220" t="n">
        <v>254694</v>
      </c>
      <c r="C10" s="200" t="n">
        <v>35</v>
      </c>
      <c r="D10" s="200" t="inlineStr">
        <is>
          <t>Swift Bike</t>
        </is>
      </c>
      <c r="E10" s="200" t="n">
        <v>549</v>
      </c>
      <c r="F10" s="200" t="n">
        <v>602</v>
      </c>
      <c r="G10" s="200" t="n">
        <v>602</v>
      </c>
      <c r="H10" s="200" t="n">
        <v>236.4</v>
      </c>
      <c r="I10" s="260" t="inlineStr">
        <is>
          <t>Speed, Can turn sharply, Durable, Sleek, Precise speed control-turns, hills</t>
        </is>
      </c>
    </row>
    <row r="11">
      <c r="A11" s="200" t="inlineStr">
        <is>
          <t>Suspension: full (front+back)</t>
        </is>
      </c>
      <c r="B11" s="220" t="n">
        <v>618543</v>
      </c>
      <c r="C11" s="200" t="n">
        <v>85</v>
      </c>
      <c r="D11" s="200" t="inlineStr">
        <is>
          <t>Hike Bike</t>
        </is>
      </c>
      <c r="E11" s="200" t="n">
        <v>542</v>
      </c>
      <c r="F11" s="200" t="n">
        <v>477</v>
      </c>
      <c r="G11" s="200" t="n">
        <v>542</v>
      </c>
      <c r="H11" s="200" t="n">
        <v>87.59999999999999</v>
      </c>
      <c r="I11" s="260" t="inlineStr">
        <is>
          <t>Soften the impact of rough terrain, Can handle rough terrain, Comfortable, Soft ride, Precise speed control-turns, hills</t>
        </is>
      </c>
    </row>
    <row r="12">
      <c r="A12" s="200" t="inlineStr">
        <is>
          <t>Bars: Power straight</t>
        </is>
      </c>
      <c r="B12" s="220" t="n">
        <v>181924</v>
      </c>
      <c r="C12" s="200" t="n">
        <v>17</v>
      </c>
      <c r="D12" s="200" t="inlineStr">
        <is>
          <t>Hike Bike</t>
        </is>
      </c>
      <c r="E12" s="200" t="n">
        <v>509</v>
      </c>
      <c r="F12" s="200" t="n">
        <v>438</v>
      </c>
      <c r="G12" s="200" t="n">
        <v>509</v>
      </c>
      <c r="H12" s="200" t="n">
        <v>279.8</v>
      </c>
      <c r="I12" s="260" t="inlineStr">
        <is>
          <t>Can handle rough terrain, Rider expertise required, Durable, Easily handles change in incline</t>
        </is>
      </c>
    </row>
    <row r="13">
      <c r="A13" s="200" t="inlineStr">
        <is>
          <t>Tires: Mountain super traction</t>
        </is>
      </c>
      <c r="B13" s="220" t="n">
        <v>254694</v>
      </c>
      <c r="C13" s="200" t="n">
        <v>30</v>
      </c>
      <c r="D13" s="200" t="inlineStr">
        <is>
          <t>Hike Bike</t>
        </is>
      </c>
      <c r="E13" s="200" t="n">
        <v>502</v>
      </c>
      <c r="F13" s="200" t="n">
        <v>424</v>
      </c>
      <c r="G13" s="200" t="n">
        <v>502</v>
      </c>
      <c r="H13" s="200" t="n">
        <v>197.1</v>
      </c>
      <c r="I13" s="260" t="inlineStr">
        <is>
          <t>Can handle rough terrain, Can turn sharply, Durable, Can stop quickly</t>
        </is>
      </c>
    </row>
    <row r="14">
      <c r="A14" s="200" t="inlineStr">
        <is>
          <t>Bars: Carbon aero drop down</t>
        </is>
      </c>
      <c r="B14" s="220" t="n">
        <v>336560</v>
      </c>
      <c r="C14" s="200" t="n">
        <v>40</v>
      </c>
      <c r="D14" s="200" t="inlineStr">
        <is>
          <t>Swift Bike</t>
        </is>
      </c>
      <c r="E14" s="200" t="n">
        <v>387</v>
      </c>
      <c r="F14" s="200" t="n">
        <v>475</v>
      </c>
      <c r="G14" s="200" t="n">
        <v>475</v>
      </c>
      <c r="H14" s="200" t="n">
        <v>141.1</v>
      </c>
      <c r="I14" s="260" t="inlineStr">
        <is>
          <t>Aerodynamic, Light weight, Sleek, Comfortable</t>
        </is>
      </c>
    </row>
    <row r="15">
      <c r="A15" s="200" t="inlineStr">
        <is>
          <t>Bars: Carbon fiber riser</t>
        </is>
      </c>
      <c r="B15" s="220" t="n">
        <v>227406</v>
      </c>
      <c r="C15" s="200" t="n">
        <v>24</v>
      </c>
      <c r="D15" s="200" t="inlineStr">
        <is>
          <t>Hike Bike</t>
        </is>
      </c>
      <c r="E15" s="200" t="n">
        <v>464</v>
      </c>
      <c r="F15" s="200" t="n">
        <v>439</v>
      </c>
      <c r="G15" s="200" t="n">
        <v>464</v>
      </c>
      <c r="H15" s="200" t="n">
        <v>204</v>
      </c>
      <c r="I15" s="260" t="inlineStr">
        <is>
          <t>Comfortable, Soften the impact of rough terrain, Can turn sharply, Light weight</t>
        </is>
      </c>
    </row>
    <row r="16">
      <c r="A16" s="200" t="inlineStr">
        <is>
          <t>Lights: high intensity LED</t>
        </is>
      </c>
      <c r="B16" s="220" t="n">
        <v>140991</v>
      </c>
      <c r="C16" s="200" t="n">
        <v>13</v>
      </c>
      <c r="D16" s="200" t="inlineStr">
        <is>
          <t>Swift Bike</t>
        </is>
      </c>
      <c r="E16" s="200" t="n">
        <v>215</v>
      </c>
      <c r="F16" s="200" t="n">
        <v>232</v>
      </c>
      <c r="G16" s="200" t="n">
        <v>232</v>
      </c>
      <c r="H16" s="200" t="n">
        <v>164.5</v>
      </c>
      <c r="I16" s="260" t="inlineStr">
        <is>
          <t>High visibility, Safety</t>
        </is>
      </c>
    </row>
    <row r="17">
      <c r="A17" s="200" t="inlineStr">
        <is>
          <t>Tires: Hybrid comfort</t>
        </is>
      </c>
      <c r="B17" s="220" t="n">
        <v>254694</v>
      </c>
      <c r="C17" s="200" t="n">
        <v>14</v>
      </c>
      <c r="D17" s="204" t="inlineStr">
        <is>
          <t>NEITHER</t>
        </is>
      </c>
      <c r="E17" s="200" t="n">
        <v>403</v>
      </c>
      <c r="F17" s="200" t="n">
        <v>372</v>
      </c>
      <c r="G17" s="200" t="n">
        <v>0</v>
      </c>
      <c r="H17" s="200" t="n">
        <v>0</v>
      </c>
      <c r="I17" s="260" t="inlineStr">
        <is>
          <t>Comfortable, Soft ride, Can turn sharply, On-road and off-road capabilities</t>
        </is>
      </c>
    </row>
    <row r="18">
      <c r="A18" s="200" t="inlineStr">
        <is>
          <t>Pedal-powered charger</t>
        </is>
      </c>
      <c r="B18" s="220" t="n">
        <v>291079</v>
      </c>
      <c r="C18" s="200" t="n">
        <v>28</v>
      </c>
      <c r="D18" s="204" t="inlineStr">
        <is>
          <t>NEITHER</t>
        </is>
      </c>
      <c r="E18" s="200" t="n">
        <v>232</v>
      </c>
      <c r="F18" s="200" t="n">
        <v>235</v>
      </c>
      <c r="G18" s="200" t="n">
        <v>0</v>
      </c>
      <c r="H18" s="200" t="n">
        <v>0</v>
      </c>
      <c r="I18" s="260" t="inlineStr">
        <is>
          <t>Navigation assistance, Feel young at heart</t>
        </is>
      </c>
    </row>
    <row r="19">
      <c r="A19" s="200" t="inlineStr">
        <is>
          <t>Carrier: mesh folding tote</t>
        </is>
      </c>
      <c r="B19" s="220" t="n">
        <v>90962</v>
      </c>
      <c r="C19" s="200" t="n">
        <v>12</v>
      </c>
      <c r="D19" s="204" t="inlineStr">
        <is>
          <t>NEITHER</t>
        </is>
      </c>
      <c r="E19" s="200" t="n">
        <v>206</v>
      </c>
      <c r="F19" s="200" t="n">
        <v>138</v>
      </c>
      <c r="G19" s="200" t="n">
        <v>0</v>
      </c>
      <c r="H19" s="200" t="n">
        <v>0</v>
      </c>
      <c r="I19" s="260" t="inlineStr">
        <is>
          <t>Can carry things, Simple to use</t>
        </is>
      </c>
    </row>
    <row r="22">
      <c r="A22" s="199" t="inlineStr">
        <is>
          <t>RECOMMENDED THREE — all usable on BOTH bikes</t>
        </is>
      </c>
      <c r="B22" s="199" t="inlineStr">
        <is>
          <t>Dev cost</t>
        </is>
      </c>
      <c r="C22" s="199" t="inlineStr">
        <is>
          <t>Unit cost</t>
        </is>
      </c>
      <c r="D22" s="259" t="inlineStr">
        <is>
          <t>Why this one</t>
        </is>
      </c>
    </row>
    <row r="23">
      <c r="A23" s="200" t="inlineStr">
        <is>
          <t>Decals: bright, styled per segment &amp; frame</t>
        </is>
      </c>
      <c r="B23" s="220" t="n">
        <v>109155</v>
      </c>
      <c r="C23" s="200" t="n">
        <v>8</v>
      </c>
      <c r="D23" s="260" t="inlineStr">
        <is>
          <t>Highest combined needs score on the entire list (929). Hits Colourful (Mtn 120), Status symbol (Mtn 121), Stylish (Mtn 118), Fits personality (Spd 116) — four needs all scoring 109-121 in BOTH segments. Cheapest project ($109,155) and cheapest component ($8). And decals are one of only two component classes our design model has MEASURED: worth +2 in Speed. Highest confidence per dollar on the board.</t>
        </is>
      </c>
    </row>
    <row r="24">
      <c r="A24" s="200" t="inlineStr">
        <is>
          <t>Enriched carbon fiber</t>
        </is>
      </c>
      <c r="B24" s="220" t="n">
        <v>1023325</v>
      </c>
      <c r="C24" s="200" t="n">
        <v>40</v>
      </c>
      <c r="D24" s="260" t="inlineStr">
        <is>
          <t>Hits Light weight (Speed's #2 need at 133, Mtn 121), Durable (Mountain's #3 at 127, Spd 117) and Provides competitive advantage (Spd 124, Mtn 117). Upgrades the material on BOTH bikes and every future brand, since every bike in the game carries carbon fiber. Also the single most on-strategy item we could fund — our entire company premise is licensed carbon-fiber 3D printing.</t>
        </is>
      </c>
    </row>
    <row r="25">
      <c r="A25" s="200" t="inlineStr">
        <is>
          <t>Gears: 11 speed (1x11)</t>
        </is>
      </c>
      <c r="B25" s="220" t="n">
        <v>568514</v>
      </c>
      <c r="C25" s="200" t="n">
        <v>50</v>
      </c>
      <c r="D25" s="260" t="inlineStr">
        <is>
          <t>Hits Easily handles change in incline (Mountain's #1 need at 131), Light weight (121/133) and Shifts smoothly (118/118). Gears are the STRONGEST lever our model has measured — a 16-point swing in Speed between 14sp and 7sp. Highest variance of the three: 24-speed is currently optimal in Mountain and 11 is fewer gears, though the feature text answers that directly. Bonus if it lands: ONE drivetrain optimal on both bikes, eliminating the copy-paste error that cost Swift Bike 3 points.</t>
        </is>
      </c>
    </row>
    <row r="26">
      <c r="A26" s="200" t="inlineStr">
        <is>
          <t>TOTAL</t>
        </is>
      </c>
      <c r="B26" s="249" t="n">
        <v>1700994</v>
      </c>
      <c r="C26" s="200" t="n">
        <v>98</v>
      </c>
      <c r="D26" s="260" t="inlineStr">
        <is>
          <t>48.4% of the $3,510,838 available. Gross added component cost $98/unit, but all three are REPLACEMENT parts — the true increment is the difference from what we ship today and is smaller.</t>
        </is>
      </c>
    </row>
    <row r="29">
      <c r="A29" s="199" t="inlineStr">
        <is>
          <t>SCHEDULING — 1 quarter or 2</t>
        </is>
      </c>
      <c r="B29" s="259" t="inlineStr">
        <is>
          <t>Reasoning</t>
        </is>
      </c>
    </row>
    <row r="30">
      <c r="A30" s="200" t="inlineStr">
        <is>
          <t>Recommend 1-quarter (rapid) on all three</t>
        </is>
      </c>
      <c r="B30" s="261" t="inlineStr">
        <is>
          <t>We are SLOT-constrained (3 projects), not cash-constrained ($3.5M available). When slots are scarce and money is not, buy speed: features land in Q5 designs instead of Q6, and Q5's expanded engineering capacity stays free for new projects.</t>
        </is>
      </c>
    </row>
    <row r="31">
      <c r="A31" s="200" t="inlineStr">
        <is>
          <t>The listed prices are not final</t>
        </is>
      </c>
      <c r="B31" s="260" t="inlineStr">
        <is>
          <t>The table shows 'Cost to finish' with no quarter selected. The tip says a 1-quarter schedule costs MORE in total than spreading over two, so the rapid prices will be higher than displayed. Read the real numbers after selecting a quarter.</t>
        </is>
      </c>
    </row>
    <row r="32">
      <c r="A32" s="200" t="inlineStr">
        <is>
          <t>If the total lands under the 50% floor</t>
        </is>
      </c>
      <c r="B32" s="260" t="inlineStr">
        <is>
          <t>Close the gap by paying for rapid development, NOT by adding a weaker fourth-choice feature. Three good features delivered a quarter early beats four mediocre ones.</t>
        </is>
      </c>
    </row>
    <row r="33">
      <c r="A33" s="200" t="inlineStr">
        <is>
          <t>Ask the team</t>
        </is>
      </c>
      <c r="B33" s="262" t="inlineStr">
        <is>
          <t>How many quarters remain in the simulation? If it ends at Q6, 1-quarter scheduling is mandatory — a Q6 feature would never ship. This is the one input we do not have.</t>
        </is>
      </c>
    </row>
    <row r="36">
      <c r="A36" s="199" t="inlineStr">
        <is>
          <t>FUNDING</t>
        </is>
      </c>
      <c r="B36" s="199" t="inlineStr">
        <is>
          <t>Amount</t>
        </is>
      </c>
      <c r="C36" s="259" t="inlineStr">
        <is>
          <t>Note</t>
        </is>
      </c>
    </row>
    <row r="37">
      <c r="A37" s="200" t="inlineStr">
        <is>
          <t>Cash on hand</t>
        </is>
      </c>
      <c r="B37" s="220" t="n">
        <v>1010838</v>
      </c>
      <c r="C37" s="260" t="inlineStr">
        <is>
          <t>idle — this is what Asset Management 0.353 punishes</t>
        </is>
      </c>
    </row>
    <row r="38">
      <c r="A38" s="200" t="inlineStr">
        <is>
          <t>VC raise</t>
        </is>
      </c>
      <c r="B38" s="220" t="n">
        <v>2500000</v>
      </c>
      <c r="C38" s="262" t="inlineStr">
        <is>
          <t>take the full amount. This RECONCILES with our earlier 'stop issuing stock' rule, which was conditional on the cash sitting idle. R&amp;D is the productive use that justifies a raise.</t>
        </is>
      </c>
    </row>
    <row r="39">
      <c r="A39" s="200" t="inlineStr">
        <is>
          <t>Available</t>
        </is>
      </c>
      <c r="B39" s="220" t="n">
        <v>3510838</v>
      </c>
      <c r="C39" s="260" t="inlineStr"/>
    </row>
    <row r="40">
      <c r="A40" s="200" t="inlineStr">
        <is>
          <t>50% guidance floor</t>
        </is>
      </c>
      <c r="B40" s="220" t="n">
        <v>1755419</v>
      </c>
      <c r="C40" s="260" t="inlineStr">
        <is>
          <t>instructor guidance: plan to spend 50-75% on R&amp;D</t>
        </is>
      </c>
    </row>
    <row r="41">
      <c r="A41" s="200" t="inlineStr">
        <is>
          <t>75% guidance ceiling</t>
        </is>
      </c>
      <c r="B41" s="220" t="n">
        <v>2633128</v>
      </c>
      <c r="C41" s="260" t="inlineStr"/>
    </row>
    <row r="42">
      <c r="A42" s="200" t="inlineStr">
        <is>
          <t>Recommended three (listed cost)</t>
        </is>
      </c>
      <c r="B42" s="220" t="n">
        <v>1700994</v>
      </c>
      <c r="C42" s="260" t="inlineStr">
        <is>
          <t>48.4% — just under the floor at listed prices; rapid scheduling should close it</t>
        </is>
      </c>
    </row>
    <row r="43">
      <c r="A43" s="200" t="inlineStr">
        <is>
          <t>Also committed this quarter</t>
        </is>
      </c>
      <c r="B43" s="220" t="n">
        <v>146000</v>
      </c>
      <c r="C43" s="260" t="inlineStr">
        <is>
          <t>the copy-the-leader operating plan</t>
        </is>
      </c>
    </row>
    <row r="44">
      <c r="A44" s="200" t="inlineStr">
        <is>
          <t>Hard floor</t>
        </is>
      </c>
      <c r="B44" s="220" t="n">
        <v>300000</v>
      </c>
      <c r="C44" s="260" t="inlineStr">
        <is>
          <t>ending Cash + CD must stay at or above this</t>
        </is>
      </c>
    </row>
    <row r="47">
      <c r="A47" s="199" t="inlineStr">
        <is>
          <t>BRAND P&amp;L — what it tells us about cost per unit</t>
        </is>
      </c>
      <c r="B47" s="199" t="inlineStr">
        <is>
          <t>Hike Bike</t>
        </is>
      </c>
      <c r="C47" s="259" t="inlineStr">
        <is>
          <t>Swift Bike</t>
        </is>
      </c>
    </row>
    <row r="48">
      <c r="A48" s="200" t="inlineStr">
        <is>
          <t>Units</t>
        </is>
      </c>
      <c r="B48" s="220" t="n">
        <v>278</v>
      </c>
      <c r="C48" s="266" t="n">
        <v>145</v>
      </c>
    </row>
    <row r="49">
      <c r="A49" s="200" t="inlineStr">
        <is>
          <t>Revenue</t>
        </is>
      </c>
      <c r="B49" s="220" t="n">
        <v>379470</v>
      </c>
      <c r="C49" s="266" t="n">
        <v>210250</v>
      </c>
    </row>
    <row r="50">
      <c r="A50" s="200" t="inlineStr">
        <is>
          <t>COGS</t>
        </is>
      </c>
      <c r="B50" s="220" t="n">
        <v>171741</v>
      </c>
      <c r="C50" s="266" t="n">
        <v>100599</v>
      </c>
    </row>
    <row r="51">
      <c r="A51" s="200" t="inlineStr">
        <is>
          <t>COGS per unit</t>
        </is>
      </c>
      <c r="B51" s="220" t="n">
        <v>618</v>
      </c>
      <c r="C51" s="266" t="n">
        <v>694</v>
      </c>
    </row>
    <row r="52">
      <c r="A52" s="200" t="inlineStr">
        <is>
          <t>Gross margin per unit</t>
        </is>
      </c>
      <c r="B52" s="220" t="n">
        <v>747</v>
      </c>
      <c r="C52" s="266" t="n">
        <v>756</v>
      </c>
    </row>
    <row r="53">
      <c r="A53" s="200" t="inlineStr">
        <is>
          <t>Brand expense (ad + design)</t>
        </is>
      </c>
      <c r="B53" s="220" t="n">
        <v>68732</v>
      </c>
      <c r="C53" s="266" t="n">
        <v>82433</v>
      </c>
    </row>
    <row r="54">
      <c r="A54" s="200" t="inlineStr">
        <is>
          <t>Brand expense PER UNIT</t>
        </is>
      </c>
      <c r="B54" s="220" t="n">
        <v>247</v>
      </c>
      <c r="C54" s="266" t="n">
        <v>568</v>
      </c>
    </row>
    <row r="55">
      <c r="A55" s="200" t="inlineStr">
        <is>
          <t>Profit per unit</t>
        </is>
      </c>
      <c r="B55" s="220" t="n">
        <v>500</v>
      </c>
      <c r="C55" s="266" t="n">
        <v>188</v>
      </c>
    </row>
    <row r="56">
      <c r="A56" s="200" t="inlineStr">
        <is>
          <t>Read</t>
        </is>
      </c>
      <c r="B56" s="200" t="n"/>
      <c r="C56" s="262" t="inlineStr">
        <is>
          <t>Swift Bike's $188 is not structural. It carries a one-time $30,000 design fee and spreads $45,433 of advertising over only 145 units ($313/unit). At BB LLC's Speed volume of 363 the same ad dollars cost $125/unit. Advertising is FIXED — volume is what crushes cost per unit. Swift also costs $76 more per unit to build than Hike Bike, and the 14-speed swap should narrow that.</t>
        </is>
      </c>
    </row>
    <row r="59">
      <c r="A59" s="199" t="inlineStr">
        <is>
          <t>HOLD FOR Q5 (engineering capacity expands next quarter)</t>
        </is>
      </c>
      <c r="B59" s="259" t="inlineStr">
        <is>
          <t>Why not now</t>
        </is>
      </c>
    </row>
    <row r="60">
      <c r="A60" s="200" t="inlineStr">
        <is>
          <t>Carrier: mesh folding tote</t>
        </is>
      </c>
      <c r="B60" s="264" t="inlineStr">
        <is>
          <t>Comfort frames ONLY - fits neither of our bikes. Hard exclusion.</t>
        </is>
      </c>
    </row>
    <row r="61">
      <c r="A61" s="200" t="inlineStr">
        <is>
          <t>Suspension: full (front+back)</t>
        </is>
      </c>
      <c r="B61" s="260" t="inlineStr">
        <is>
          <t>Not compatible with Aerodynamic, so Hike Bike only. Highest unit cost on the list at $85 against a $747 margin, and $618,543 to develop. Strong Mountain needs (rough terrain 128, soften impact 124) but half the reach for more money.</t>
        </is>
      </c>
    </row>
    <row r="62">
      <c r="A62" s="200" t="inlineStr">
        <is>
          <t>Tires: Hybrid comfort</t>
        </is>
      </c>
      <c r="B62" s="260" t="inlineStr">
        <is>
          <t>Recreation feature. Comfortable scores 95 in Mountain and 101 in Speed.</t>
        </is>
      </c>
    </row>
    <row r="63">
      <c r="A63" s="200" t="inlineStr">
        <is>
          <t>Pedal-powered charger</t>
        </is>
      </c>
      <c r="B63" s="260" t="inlineStr">
        <is>
          <t>Touches no top-10 need in either of our segments.</t>
        </is>
      </c>
    </row>
    <row r="64">
      <c r="A64" s="200" t="inlineStr">
        <is>
          <t>Performance bike computer</t>
        </is>
      </c>
      <c r="B64" s="260" t="inlineStr">
        <is>
          <t>$60/unit and $682,217 to develop. Navigation assistance is only 117/118 - mid-tier - and no rival ad in the game claims anything like it.</t>
        </is>
      </c>
    </row>
    <row r="65">
      <c r="A65" s="200" t="inlineStr">
        <is>
          <t>Tires: Mountain super traction</t>
        </is>
      </c>
      <c r="B65" s="260" t="inlineStr">
        <is>
          <t>Genuinely strong for Mountain (rough terrain 128, turn sharply 124, durable 127) but scores only 82 on rough terrain in Speed. Best single-segment option - hold for Q5.</t>
        </is>
      </c>
    </row>
    <row r="66">
      <c r="A66" s="200" t="inlineStr">
        <is>
          <t>Tires: Racing sleek very fast</t>
        </is>
      </c>
      <c r="B66" s="260" t="inlineStr">
        <is>
          <t>Strong for Speed (Speed 134, sleek 119) and directly supports the new Swift ad copy. Best Speed-only option - hold for Q5.</t>
        </is>
      </c>
    </row>
    <row r="67">
      <c r="A67" s="200" t="inlineStr">
        <is>
          <t>Bars: Carbon aero drop down</t>
        </is>
      </c>
      <c r="B67" s="260" t="inlineStr">
        <is>
          <t>Supports 'ride a wind-cheater', the one claim on 8 of 8 rival Speed ads. Aerodynamic scores 122 in Speed but 88 in Mountain. Hold for Q5.</t>
        </is>
      </c>
    </row>
    <row r="68">
      <c r="A68" s="200" t="inlineStr">
        <is>
          <t>Bars: Power straight / CF riser</t>
        </is>
      </c>
      <c r="B68" s="260" t="inlineStr">
        <is>
          <t>Mountain and Recreation leaning, and the Power straight text admits a downside (reduced tree clearance).</t>
        </is>
      </c>
    </row>
    <row r="69">
      <c r="A69" s="200" t="inlineStr">
        <is>
          <t>Puncture resistant slime</t>
        </is>
      </c>
      <c r="B69" s="260" t="inlineStr">
        <is>
          <t>Only $3/unit and $159,184 - the best value per unit on the list, hitting Durable (Mtn 127 / Spd 117) and Safety. It is the strongest CHEAP alternative if the team wants to conserve cash, but it touches only 2-3 needs, so it wastes a scarce slot.</t>
        </is>
      </c>
    </row>
    <row r="70">
      <c r="A70" s="200" t="inlineStr">
        <is>
          <t>Lights: high intensity LED</t>
        </is>
      </c>
      <c r="B70" s="260" t="inlineStr">
        <is>
          <t>High visibility is 119 in Speed but 103 in Mountain, and no Mountain brand in the industry ships lights at all. Our own ad analysis says drop lights from Speed copy.</t>
        </is>
      </c>
    </row>
    <row r="73">
      <c r="A73" s="199" t="inlineStr">
        <is>
          <t>CAVEATS</t>
        </is>
      </c>
      <c r="B73" s="259" t="inlineStr">
        <is>
          <t>Detail</t>
        </is>
      </c>
    </row>
    <row r="74">
      <c r="A74" s="200" t="inlineStr">
        <is>
          <t>Need mapping is our judgment</t>
        </is>
      </c>
      <c r="B74" s="260" t="inlineStr">
        <is>
          <t>The sim has not told us which needs each component satisfies. These are readings of the Workspace feature text. Use the scores as a ranking aid, not a points prediction.</t>
        </is>
      </c>
    </row>
    <row r="75">
      <c r="A75" s="200" t="inlineStr">
        <is>
          <t>Only 5 components are MEASURED</t>
        </is>
      </c>
      <c r="B75" s="260" t="inlineStr">
        <is>
          <t>Our design model derived point values for gears, seat, decals, reflectors and lights only. Frame, tires, brakes and handlebars never varied within a segment, so we have no measured evidence for upgrading them. Two of the three picks land on measured components.</t>
        </is>
      </c>
    </row>
    <row r="76">
      <c r="A76" s="200" t="inlineStr">
        <is>
          <t>11-speed is the risk</t>
        </is>
      </c>
      <c r="B76" s="260" t="inlineStr">
        <is>
          <t>24-speed is currently optimal in Mountain and our ad claims 'more gears'. The feature text answers this ('11 gears can do the job of 24... lighter, easier to shift, wide range') and 'easily handles change in incline' is Mountain's #1 need at 131 — but it is still an inference. Lower-variance swap: puncture resistant slime, $159,184 and $3/unit.</t>
        </is>
      </c>
    </row>
    <row r="77">
      <c r="A77" s="200" t="inlineStr">
        <is>
          <t>Replacement not addition</t>
        </is>
      </c>
      <c r="B77" s="260" t="inlineStr">
        <is>
          <t>All three picks replace parts we already fit, so the incremental unit cost is less than the $98 sticker. Read the delta on the Design Brand screen.</t>
        </is>
      </c>
    </row>
    <row r="78">
      <c r="A78" s="200" t="inlineStr">
        <is>
          <t>Status</t>
        </is>
      </c>
      <c r="B78" s="260" t="inlineStr">
        <is>
          <t>ANALYSIS ONLY. Three slots, majority vote required.</t>
        </is>
      </c>
    </row>
  </sheetData>
  <mergeCells count="1">
    <mergeCell ref="A2:H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46" customWidth="1" style="146" min="1" max="1"/>
    <col width="16" customWidth="1" style="146" min="2" max="2"/>
    <col width="96" customWidth="1" style="146" min="3" max="3"/>
    <col width="14" customWidth="1" style="146" min="4" max="4"/>
    <col width="14" customWidth="1" style="146" min="5" max="5"/>
    <col width="14" customWidth="1" style="146" min="6" max="6"/>
    <col width="14" customWidth="1" style="146" min="7" max="7"/>
    <col width="14" customWidth="1" style="146" min="8" max="8"/>
  </cols>
  <sheetData>
    <row r="1">
      <c r="A1" s="169" t="inlineStr">
        <is>
          <t>Q4 financing — DECIDED: borrow $950,000, issue no stock</t>
        </is>
      </c>
    </row>
    <row r="2" ht="62" customHeight="1" s="146">
      <c r="A2" s="258" t="inlineStr">
        <is>
          <t>Two formulas now reconcile EXACTLY. Wealth = (paid-in + RE) / paid-in = 0.6683 vs reported 0.668. Debt capacity = 1.5 x (paid-in + RE) = $2,506,257 vs reported $2,506,258. Net equity is the Wealth numerator AND the debt-capacity base, so every $1 of equity buys $1.50 of borrowing room and every $1 of loss destroys $1.50 of it. At the actual 7% annual rate, DEBT IS 2.5x LESS DAMAGING TO THE SCORECARD THAN EQUITY, and 4x less damaging than the $2.5M VC issue currently sitting in the form.</t>
        </is>
      </c>
    </row>
    <row r="4">
      <c r="A4" s="199" t="inlineStr">
        <is>
          <t>LOAN TERMS (as offered)</t>
        </is>
      </c>
      <c r="B4" s="199" t="inlineStr">
        <is>
          <t>Value</t>
        </is>
      </c>
    </row>
    <row r="5">
      <c r="A5" s="200" t="inlineStr">
        <is>
          <t>Debt capacity = 1.5 x (Equity + RE)</t>
        </is>
      </c>
      <c r="B5" s="220" t="n">
        <v>2506258</v>
      </c>
    </row>
    <row r="6">
      <c r="A6" s="200" t="inlineStr">
        <is>
          <t>Total debt to date</t>
        </is>
      </c>
      <c r="B6" s="200" t="n">
        <v>0</v>
      </c>
    </row>
    <row r="7">
      <c r="A7" s="200" t="inlineStr">
        <is>
          <t>Available to borrow</t>
        </is>
      </c>
      <c r="B7" s="220" t="n">
        <v>2506258</v>
      </c>
    </row>
    <row r="8">
      <c r="A8" s="200" t="inlineStr">
        <is>
          <t>Annual interest rate</t>
        </is>
      </c>
      <c r="B8" s="200" t="inlineStr">
        <is>
          <t>7.00%</t>
        </is>
      </c>
    </row>
    <row r="9">
      <c r="A9" s="200" t="inlineStr">
        <is>
          <t>Quarterly interest rate</t>
        </is>
      </c>
      <c r="B9" s="200" t="inlineStr">
        <is>
          <t>1.75%</t>
        </is>
      </c>
    </row>
    <row r="12">
      <c r="A12" s="199" t="inlineStr">
        <is>
          <t>STOCK HISTORY</t>
        </is>
      </c>
      <c r="B12" s="199" t="inlineStr">
        <is>
          <t>Owner</t>
        </is>
      </c>
      <c r="C12" s="199" t="inlineStr">
        <is>
          <t>Shares</t>
        </is>
      </c>
      <c r="D12" s="199" t="inlineStr">
        <is>
          <t>Price</t>
        </is>
      </c>
      <c r="E12" s="199" t="inlineStr">
        <is>
          <t>Total</t>
        </is>
      </c>
      <c r="F12" s="199" t="inlineStr">
        <is>
          <t>Quarter</t>
        </is>
      </c>
    </row>
    <row r="13">
      <c r="A13" s="200" t="inlineStr">
        <is>
          <t>Common Stock</t>
        </is>
      </c>
      <c r="B13" s="200" t="inlineStr">
        <is>
          <t>Executive Team</t>
        </is>
      </c>
      <c r="C13" s="220" t="n">
        <v>15000</v>
      </c>
      <c r="D13" s="200" t="n">
        <v>100</v>
      </c>
      <c r="E13" s="220" t="n">
        <v>1500000</v>
      </c>
      <c r="F13" s="200" t="n">
        <v>1</v>
      </c>
    </row>
    <row r="14">
      <c r="A14" s="200" t="inlineStr">
        <is>
          <t>Common Stock</t>
        </is>
      </c>
      <c r="B14" s="200" t="inlineStr">
        <is>
          <t>Executive Team</t>
        </is>
      </c>
      <c r="C14" s="220" t="n">
        <v>5000</v>
      </c>
      <c r="D14" s="200" t="n">
        <v>100</v>
      </c>
      <c r="E14" s="220" t="n">
        <v>500000</v>
      </c>
      <c r="F14" s="200" t="n">
        <v>2</v>
      </c>
    </row>
    <row r="15">
      <c r="A15" s="200" t="inlineStr">
        <is>
          <t>Common Stock</t>
        </is>
      </c>
      <c r="B15" s="200" t="inlineStr">
        <is>
          <t>Executive Team</t>
        </is>
      </c>
      <c r="C15" s="220" t="n">
        <v>5000</v>
      </c>
      <c r="D15" s="200" t="n">
        <v>100</v>
      </c>
      <c r="E15" s="220" t="n">
        <v>500000</v>
      </c>
      <c r="F15" s="200" t="n">
        <v>3</v>
      </c>
    </row>
    <row r="16">
      <c r="A16" s="219" t="inlineStr">
        <is>
          <t>Common Stock</t>
        </is>
      </c>
      <c r="B16" s="219" t="inlineStr">
        <is>
          <t>VENTURE CAPITALISTS — CURRENTLY ENTERED, REDUCE TO $0</t>
        </is>
      </c>
      <c r="C16" s="224" t="n">
        <v>25000</v>
      </c>
      <c r="D16" s="219" t="n">
        <v>100</v>
      </c>
      <c r="E16" s="224" t="n">
        <v>2500000</v>
      </c>
      <c r="F16" s="219" t="n">
        <v>4</v>
      </c>
    </row>
    <row r="18">
      <c r="A18" s="170" t="inlineStr">
        <is>
          <t>Rows 1-3 sum to 25,000 shares and $2,500,000 paid-in — exactly what the Wealth reconciliation required, so the model is confirmed. Row 4 is a LIVE DECISION, not history: as entered it doubles the share count and hands VCs 50% of the company.</t>
        </is>
      </c>
    </row>
    <row r="19">
      <c r="A19" s="199" t="inlineStr">
        <is>
          <t>USES — Q4 (team voted 2 printers)</t>
        </is>
      </c>
      <c r="B19" s="199" t="inlineStr">
        <is>
          <t>Amount</t>
        </is>
      </c>
    </row>
    <row r="20">
      <c r="A20" s="200" t="inlineStr">
        <is>
          <t>R&amp;D — decals + 11-speed, listed</t>
        </is>
      </c>
      <c r="B20" s="220" t="n">
        <v>677669</v>
      </c>
    </row>
    <row r="21">
      <c r="A21" s="200" t="inlineStr">
        <is>
          <t>R&amp;D rapid premium (~30% ESTIMATE)</t>
        </is>
      </c>
      <c r="B21" s="220" t="n">
        <v>203301</v>
      </c>
    </row>
    <row r="22">
      <c r="A22" s="200" t="inlineStr">
        <is>
          <t>Operating plan, recurring</t>
        </is>
      </c>
      <c r="B22" s="220" t="n">
        <v>146000</v>
      </c>
    </row>
    <row r="23">
      <c r="A23" s="200" t="inlineStr">
        <is>
          <t>Operating plan, one-time</t>
        </is>
      </c>
      <c r="B23" s="220" t="n">
        <v>67000</v>
      </c>
    </row>
    <row r="24">
      <c r="A24" s="200" t="inlineStr">
        <is>
          <t>Swift Bike brand redesign fee</t>
        </is>
      </c>
      <c r="B24" s="220" t="n">
        <v>30000</v>
      </c>
    </row>
    <row r="25">
      <c r="A25" s="200" t="inlineStr">
        <is>
          <t>Swift Bike ad redesign fee</t>
        </is>
      </c>
      <c r="B25" s="220" t="n">
        <v>10000</v>
      </c>
    </row>
    <row r="26">
      <c r="A26" s="200" t="inlineStr">
        <is>
          <t>Printer #4</t>
        </is>
      </c>
      <c r="B26" s="220" t="n">
        <v>240000</v>
      </c>
    </row>
    <row r="27">
      <c r="A27" s="200" t="inlineStr">
        <is>
          <t>Printer #5</t>
        </is>
      </c>
      <c r="B27" s="220" t="n">
        <v>240000</v>
      </c>
    </row>
    <row r="28">
      <c r="A28" s="200" t="inlineStr">
        <is>
          <t>TOTAL USES</t>
        </is>
      </c>
      <c r="B28" s="220" t="n">
        <v>1613970</v>
      </c>
    </row>
    <row r="29">
      <c r="A29" s="200" t="inlineStr">
        <is>
          <t>Cash on hand</t>
        </is>
      </c>
      <c r="B29" s="220" t="n">
        <v>1010838</v>
      </c>
    </row>
    <row r="30">
      <c r="A30" s="200" t="inlineStr">
        <is>
          <t>Hard floor</t>
        </is>
      </c>
      <c r="B30" s="220" t="n">
        <v>300000</v>
      </c>
    </row>
    <row r="31">
      <c r="A31" s="200" t="inlineStr">
        <is>
          <t>Deployable cash</t>
        </is>
      </c>
      <c r="B31" s="220" t="n">
        <v>710838</v>
      </c>
    </row>
    <row r="32">
      <c r="A32" s="200" t="inlineStr">
        <is>
          <t>FUNDING GAP</t>
        </is>
      </c>
      <c r="B32" s="220" t="n">
        <v>903132</v>
      </c>
    </row>
    <row r="33">
      <c r="A33" s="222" t="inlineStr">
        <is>
          <t>RECOMMENDED BORROWING</t>
        </is>
      </c>
      <c r="B33" s="265" t="n">
        <v>950000</v>
      </c>
    </row>
    <row r="36">
      <c r="A36" s="199" t="inlineStr">
        <is>
          <t>OPTION</t>
        </is>
      </c>
      <c r="B36" s="199" t="inlineStr">
        <is>
          <t>Shares after</t>
        </is>
      </c>
      <c r="C36" s="199" t="inlineStr">
        <is>
          <t>Qtrly interest</t>
        </is>
      </c>
      <c r="D36" s="199" t="inlineStr">
        <is>
          <t>Wealth</t>
        </is>
      </c>
      <c r="E36" s="199" t="inlineStr">
        <is>
          <t>vs 0.668</t>
        </is>
      </c>
      <c r="F36" s="199" t="inlineStr">
        <is>
          <t>Fin Perf</t>
        </is>
      </c>
      <c r="G36" s="199" t="inlineStr">
        <is>
          <t>vs 5.319</t>
        </is>
      </c>
      <c r="H36" s="199" t="inlineStr">
        <is>
          <t>BSC combined</t>
        </is>
      </c>
    </row>
    <row r="37">
      <c r="A37" s="206" t="inlineStr">
        <is>
          <t>ALL DEBT (recommended)</t>
        </is>
      </c>
      <c r="B37" s="244" t="n">
        <v>25000</v>
      </c>
      <c r="C37" s="244" t="n">
        <v>15805</v>
      </c>
      <c r="D37" s="206" t="n">
        <v>0.662</v>
      </c>
      <c r="E37" s="243" t="n">
        <v>-0.008962161676646874</v>
      </c>
      <c r="F37" s="206" t="n">
        <v>5.003</v>
      </c>
      <c r="G37" s="243" t="n">
        <v>-0.05942774957698804</v>
      </c>
      <c r="H37" s="243" t="n">
        <v>-0.06785731015384666</v>
      </c>
    </row>
    <row r="38">
      <c r="A38" s="200" t="inlineStr">
        <is>
          <t>ALL EQUITY</t>
        </is>
      </c>
      <c r="B38" s="220" t="n">
        <v>34031</v>
      </c>
      <c r="C38" s="220" t="n">
        <v>0</v>
      </c>
      <c r="D38" s="200" t="n">
        <v>0.756</v>
      </c>
      <c r="E38" s="228" t="n">
        <v>0.1322619372931724</v>
      </c>
      <c r="F38" s="200" t="n">
        <v>3.907</v>
      </c>
      <c r="G38" s="228" t="n">
        <v>-0.2653756868737328</v>
      </c>
      <c r="H38" s="228" t="n">
        <v>-0.1682128520369867</v>
      </c>
    </row>
    <row r="39">
      <c r="A39" s="204" t="inlineStr">
        <is>
          <t>$2.5M VC as entered</t>
        </is>
      </c>
      <c r="B39" s="269" t="n">
        <v>50000</v>
      </c>
      <c r="C39" s="269" t="n">
        <v>0</v>
      </c>
      <c r="D39" s="204" t="n">
        <v>0.834</v>
      </c>
      <c r="E39" s="270" t="n">
        <v>0.2487538922155688</v>
      </c>
      <c r="F39" s="204" t="n">
        <v>2.659</v>
      </c>
      <c r="G39" s="270" t="n">
        <v>-0.5</v>
      </c>
      <c r="H39" s="270" t="n">
        <v>-0.3756230538922156</v>
      </c>
    </row>
    <row r="42">
      <c r="A42" s="199" t="inlineStr">
        <is>
          <t>RISK — losses shrink debt capacity 1.5x</t>
        </is>
      </c>
      <c r="B42" s="199" t="inlineStr">
        <is>
          <t>New RE</t>
        </is>
      </c>
      <c r="C42" s="199" t="inlineStr">
        <is>
          <t>New capacity</t>
        </is>
      </c>
      <c r="D42" s="199" t="inlineStr">
        <is>
          <t>Borrowed $950k</t>
        </is>
      </c>
      <c r="E42" s="199" t="inlineStr">
        <is>
          <t>Headroom</t>
        </is>
      </c>
    </row>
    <row r="43">
      <c r="A43" s="200" t="inlineStr">
        <is>
          <t>Q4 net loss of $0</t>
        </is>
      </c>
      <c r="B43" s="220" t="n">
        <v>-829162</v>
      </c>
      <c r="C43" s="220" t="n">
        <v>2506257</v>
      </c>
      <c r="D43" s="220" t="n">
        <v>950000</v>
      </c>
      <c r="E43" s="220" t="n">
        <v>1556257</v>
      </c>
    </row>
    <row r="44">
      <c r="A44" s="200" t="inlineStr">
        <is>
          <t>Q4 net loss of $300,000</t>
        </is>
      </c>
      <c r="B44" s="220" t="n">
        <v>-1129162</v>
      </c>
      <c r="C44" s="220" t="n">
        <v>2056257</v>
      </c>
      <c r="D44" s="220" t="n">
        <v>950000</v>
      </c>
      <c r="E44" s="220" t="n">
        <v>1106257</v>
      </c>
    </row>
    <row r="45">
      <c r="A45" s="200" t="inlineStr">
        <is>
          <t>Q4 net loss of $500,000</t>
        </is>
      </c>
      <c r="B45" s="220" t="n">
        <v>-1329162</v>
      </c>
      <c r="C45" s="220" t="n">
        <v>1756257</v>
      </c>
      <c r="D45" s="220" t="n">
        <v>950000</v>
      </c>
      <c r="E45" s="220" t="n">
        <v>806257</v>
      </c>
    </row>
    <row r="46">
      <c r="A46" s="200" t="inlineStr">
        <is>
          <t>Q4 net loss of $760,000</t>
        </is>
      </c>
      <c r="B46" s="220" t="n">
        <v>-1589162</v>
      </c>
      <c r="C46" s="220" t="n">
        <v>1366257</v>
      </c>
      <c r="D46" s="220" t="n">
        <v>950000</v>
      </c>
      <c r="E46" s="220" t="n">
        <v>416257</v>
      </c>
    </row>
    <row r="47">
      <c r="A47" s="200" t="inlineStr">
        <is>
          <t>Q4 net loss of $1,000,000</t>
        </is>
      </c>
      <c r="B47" s="220" t="n">
        <v>-1829162</v>
      </c>
      <c r="C47" s="220" t="n">
        <v>1006257</v>
      </c>
      <c r="D47" s="220" t="n">
        <v>950000</v>
      </c>
      <c r="E47" s="220" t="n">
        <v>56257</v>
      </c>
    </row>
    <row r="48">
      <c r="A48" s="204" t="inlineStr">
        <is>
          <t>Q4 net loss of $1,200,000</t>
        </is>
      </c>
      <c r="B48" s="269" t="n">
        <v>-2029162</v>
      </c>
      <c r="C48" s="269" t="n">
        <v>706257</v>
      </c>
      <c r="D48" s="269" t="n">
        <v>950000</v>
      </c>
      <c r="E48" s="269" t="n">
        <v>-243743</v>
      </c>
    </row>
    <row r="50">
      <c r="A50" s="170" t="inlineStr">
        <is>
          <t>At plan (~1,154 units) gross margin ~$920k against ~$800k operating expense, so operations run near break-even BEFORE R&amp;D. Expensing ~$880k of R&amp;D puts the Q4 loss near $760k — still inside capacity. It only breaches if the volume plan ALSO underdelivers badly. HEDGE IF WANTED: $250,000 of equity buys $375,000 of extra capacity for only 2,500 shares.</t>
        </is>
      </c>
    </row>
    <row r="51">
      <c r="A51" s="199" t="inlineStr">
        <is>
          <t>DECISION</t>
        </is>
      </c>
      <c r="B51" s="259" t="inlineStr">
        <is>
          <t>Detail</t>
        </is>
      </c>
    </row>
    <row r="52">
      <c r="A52" s="200" t="inlineStr">
        <is>
          <t>1. Stock issue -&gt; $0</t>
        </is>
      </c>
      <c r="B52" s="261" t="inlineStr">
        <is>
          <t>Delete the Q4 Venture Capitalists row. As entered it doubles shares 25,000 -&gt; 50,000, gives VCs half the company, permanently halves Financial Performance where we are already last, and raises $900k more than we can deploy — recreating the idle-cash problem behind Asset Management 0.353.</t>
        </is>
      </c>
    </row>
    <row r="53">
      <c r="A53" s="200" t="inlineStr">
        <is>
          <t>2. Borrow $950,000</t>
        </is>
      </c>
      <c r="B53" s="261" t="inlineStr">
        <is>
          <t>Covers the $903,132 gap plus a buffer for the unknown rapid-R&amp;D premium. Interest $16,625/quarter = 1.8% of planned gross margin, and 2.6x inside the $2,506,258 capacity.</t>
        </is>
      </c>
    </row>
    <row r="54">
      <c r="A54" s="200" t="inlineStr">
        <is>
          <t>3. Buy both printers ($480,000)</t>
        </is>
      </c>
      <c r="B54" s="261" t="inlineStr">
        <is>
          <t>They arrive Q5, which is exactly when New York opens. Two printers earn $615,680/quarter against $8,400 of interest — they out-earn their own financing 73x.</t>
        </is>
      </c>
    </row>
    <row r="55">
      <c r="A55" s="200" t="inlineStr">
        <is>
          <t>4. Accept that Wealth stays ~0.66</t>
        </is>
      </c>
      <c r="B55" s="260" t="inlineStr">
        <is>
          <t>It remains our weakest indicator. The only real fix is retained earnings — actually making money. Equity would paper over it by diluting the deficit while wrecking Financial Performance to do so.</t>
        </is>
      </c>
    </row>
    <row r="56">
      <c r="A56" s="200" t="inlineStr">
        <is>
          <t>Still worth confirming</t>
        </is>
      </c>
      <c r="B56" s="262" t="inlineStr">
        <is>
          <t>Whether R&amp;D is expensed or capitalised in Q4. It does not change the debt-vs-equity answer, but it sets how much headroom Q5 has and whether the $250k equity hedge is worth taking.</t>
        </is>
      </c>
    </row>
  </sheetData>
  <mergeCells count="1">
    <mergeCell ref="A2:F2"/>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94"/>
  <sheetViews>
    <sheetView workbookViewId="0">
      <selection activeCell="A1" sqref="A1"/>
    </sheetView>
  </sheetViews>
  <sheetFormatPr baseColWidth="8" defaultRowHeight="15"/>
  <cols>
    <col width="48" customWidth="1" style="146" min="1" max="1"/>
    <col width="17" customWidth="1" style="146" min="2" max="2"/>
    <col width="100" customWidth="1" style="146" min="3" max="3"/>
    <col width="13" customWidth="1" style="146" min="4" max="4"/>
    <col width="13" customWidth="1" style="146" min="5" max="5"/>
    <col width="13" customWidth="1" style="146" min="6" max="6"/>
    <col width="13" customWidth="1" style="146" min="7" max="7"/>
    <col width="70" customWidth="1" style="146" min="8" max="8"/>
  </cols>
  <sheetData>
    <row r="1">
      <c r="A1" s="169" t="inlineStr">
        <is>
          <t>Q4 ad design, organic SEO and media placement</t>
        </is>
      </c>
    </row>
    <row r="2" ht="58" customHeight="1" s="146">
      <c r="A2" s="258" t="inlineStr">
        <is>
          <t>THE ORGANISING PRINCIPLE: ad JUDGMENT is free of the capacity constraint (Marketing Effectiveness has no volume term), but media INSERT VOLUME is pure demand generation and Q4 output is hard-capped at 1,154 units against a forecast of 1,171. So improve the COPY aggressively and RESTRAIN the PLACEMENT. This supersedes the earlier Option B media recommendation, which was written before we established that printers arrive a quarter late.</t>
        </is>
      </c>
    </row>
    <row r="4">
      <c r="A4" s="199" t="inlineStr">
        <is>
          <t>Segment</t>
        </is>
      </c>
      <c r="B4" s="199" t="inlineStr">
        <is>
          <t>Pos</t>
        </is>
      </c>
      <c r="C4" s="199" t="inlineStr">
        <is>
          <t>Ad</t>
        </is>
      </c>
      <c r="D4" s="199" t="inlineStr">
        <is>
          <t>Ad judgment</t>
        </is>
      </c>
      <c r="E4" s="199" t="inlineStr">
        <is>
          <t>Inserts</t>
        </is>
      </c>
      <c r="F4" s="199" t="inlineStr">
        <is>
          <t>Clicks</t>
        </is>
      </c>
      <c r="G4" s="199" t="inlineStr">
        <is>
          <t>Rank = judgment?</t>
        </is>
      </c>
    </row>
    <row r="5">
      <c r="A5" s="200" t="inlineStr">
        <is>
          <t>Recreation</t>
        </is>
      </c>
      <c r="B5" s="200" t="n">
        <v>1</v>
      </c>
      <c r="C5" s="200" t="inlineStr">
        <is>
          <t>Mars Rover 1 (SpaceBikes)</t>
        </is>
      </c>
      <c r="D5" s="200" t="n">
        <v>79</v>
      </c>
      <c r="E5" s="200" t="n">
        <v>7</v>
      </c>
      <c r="F5" s="200" t="n">
        <v>303</v>
      </c>
      <c r="G5" s="206" t="inlineStr">
        <is>
          <t>YES</t>
        </is>
      </c>
    </row>
    <row r="6">
      <c r="A6" s="200" t="inlineStr">
        <is>
          <t>Recreation</t>
        </is>
      </c>
      <c r="B6" s="200" t="n">
        <v>2</v>
      </c>
      <c r="C6" s="200" t="inlineStr">
        <is>
          <t>Whole MILC MKII (MILC)</t>
        </is>
      </c>
      <c r="D6" s="200" t="n">
        <v>77</v>
      </c>
      <c r="E6" s="200" t="n">
        <v>11</v>
      </c>
      <c r="F6" s="200" t="n">
        <v>144</v>
      </c>
      <c r="G6" s="206" t="inlineStr">
        <is>
          <t>YES</t>
        </is>
      </c>
    </row>
    <row r="7">
      <c r="A7" s="200" t="inlineStr">
        <is>
          <t>Recreation</t>
        </is>
      </c>
      <c r="B7" s="200" t="n">
        <v>3</v>
      </c>
      <c r="C7" s="200" t="inlineStr">
        <is>
          <t>Easy Rider (Bike Bros)</t>
        </is>
      </c>
      <c r="D7" s="200" t="n">
        <v>75</v>
      </c>
      <c r="E7" s="200" t="n">
        <v>2</v>
      </c>
      <c r="F7" s="200" t="n">
        <v>88</v>
      </c>
      <c r="G7" s="206" t="inlineStr">
        <is>
          <t>YES</t>
        </is>
      </c>
    </row>
    <row r="8">
      <c r="A8" s="200" t="inlineStr">
        <is>
          <t>Recreation</t>
        </is>
      </c>
      <c r="B8" s="200" t="n">
        <v>4</v>
      </c>
      <c r="C8" s="200" t="inlineStr">
        <is>
          <t>Spoke'd Easy (Spoke'd Up)</t>
        </is>
      </c>
      <c r="D8" s="200" t="n">
        <v>59</v>
      </c>
      <c r="E8" s="200" t="n">
        <v>7</v>
      </c>
      <c r="F8" s="200" t="n">
        <v>61</v>
      </c>
      <c r="G8" s="206" t="inlineStr">
        <is>
          <t>YES</t>
        </is>
      </c>
    </row>
    <row r="9">
      <c r="A9" s="200" t="inlineStr">
        <is>
          <t>Mountain</t>
        </is>
      </c>
      <c r="B9" s="200" t="n">
        <v>1</v>
      </c>
      <c r="C9" s="200" t="inlineStr">
        <is>
          <t>BB Big Momma (BB LLC)</t>
        </is>
      </c>
      <c r="D9" s="200" t="n">
        <v>81</v>
      </c>
      <c r="E9" s="200" t="n">
        <v>12</v>
      </c>
      <c r="F9" s="200" t="n">
        <v>237</v>
      </c>
      <c r="G9" s="206" t="inlineStr">
        <is>
          <t>YES</t>
        </is>
      </c>
    </row>
    <row r="10">
      <c r="A10" s="248" t="inlineStr">
        <is>
          <t>Mountain</t>
        </is>
      </c>
      <c r="B10" s="248" t="n">
        <v>2</v>
      </c>
      <c r="C10" s="248" t="inlineStr">
        <is>
          <t>HikeBike 1 (WeBike)</t>
        </is>
      </c>
      <c r="D10" s="248" t="n">
        <v>80</v>
      </c>
      <c r="E10" s="248" t="n">
        <v>11</v>
      </c>
      <c r="F10" s="248" t="n">
        <v>115</v>
      </c>
      <c r="G10" s="222" t="inlineStr">
        <is>
          <t>YES</t>
        </is>
      </c>
    </row>
    <row r="11">
      <c r="A11" s="200" t="inlineStr">
        <is>
          <t>Mountain</t>
        </is>
      </c>
      <c r="B11" s="200" t="n">
        <v>3</v>
      </c>
      <c r="C11" s="200" t="inlineStr">
        <is>
          <t>Trail Blazing 1 (LiteCycle)</t>
        </is>
      </c>
      <c r="D11" s="200" t="n">
        <v>79</v>
      </c>
      <c r="E11" s="200" t="n">
        <v>3</v>
      </c>
      <c r="F11" s="200" t="n">
        <v>69</v>
      </c>
      <c r="G11" s="206" t="inlineStr">
        <is>
          <t>YES</t>
        </is>
      </c>
    </row>
    <row r="12">
      <c r="A12" s="200" t="inlineStr">
        <is>
          <t>Mountain</t>
        </is>
      </c>
      <c r="B12" s="200" t="n">
        <v>4</v>
      </c>
      <c r="C12" s="200" t="inlineStr">
        <is>
          <t>TerraTech (Bike Bros)</t>
        </is>
      </c>
      <c r="D12" s="200" t="n">
        <v>78</v>
      </c>
      <c r="E12" s="200" t="n">
        <v>2</v>
      </c>
      <c r="F12" s="200" t="n">
        <v>46</v>
      </c>
      <c r="G12" s="206" t="inlineStr">
        <is>
          <t>YES</t>
        </is>
      </c>
    </row>
    <row r="13">
      <c r="A13" s="200" t="inlineStr">
        <is>
          <t>Mountain</t>
        </is>
      </c>
      <c r="B13" s="200" t="n">
        <v>5</v>
      </c>
      <c r="C13" s="200" t="inlineStr">
        <is>
          <t>Mountainability (Bike Bros)</t>
        </is>
      </c>
      <c r="D13" s="200" t="n">
        <v>77</v>
      </c>
      <c r="E13" s="200" t="n">
        <v>2</v>
      </c>
      <c r="F13" s="200" t="n">
        <v>33</v>
      </c>
      <c r="G13" s="206" t="inlineStr">
        <is>
          <t>YES</t>
        </is>
      </c>
    </row>
    <row r="14">
      <c r="A14" s="200" t="inlineStr">
        <is>
          <t>Speed</t>
        </is>
      </c>
      <c r="B14" s="200" t="n">
        <v>1</v>
      </c>
      <c r="C14" s="200" t="inlineStr">
        <is>
          <t>Unleash lil pap (BB LLC)</t>
        </is>
      </c>
      <c r="D14" s="200" t="n">
        <v>76</v>
      </c>
      <c r="E14" s="200" t="n">
        <v>12</v>
      </c>
      <c r="F14" s="200" t="n">
        <v>200</v>
      </c>
      <c r="G14" s="204" t="inlineStr">
        <is>
          <t>NO</t>
        </is>
      </c>
    </row>
    <row r="15">
      <c r="A15" s="200" t="inlineStr">
        <is>
          <t>Speed</t>
        </is>
      </c>
      <c r="B15" s="200" t="n">
        <v>2</v>
      </c>
      <c r="C15" s="200" t="inlineStr">
        <is>
          <t>The Armstrong 1 (SpaceBikes)</t>
        </is>
      </c>
      <c r="D15" s="200" t="n">
        <v>77</v>
      </c>
      <c r="E15" s="200" t="n">
        <v>10</v>
      </c>
      <c r="F15" s="200" t="n">
        <v>98</v>
      </c>
      <c r="G15" s="204" t="inlineStr">
        <is>
          <t>NO</t>
        </is>
      </c>
    </row>
    <row r="16">
      <c r="A16" s="200" t="inlineStr">
        <is>
          <t>Speed</t>
        </is>
      </c>
      <c r="B16" s="200" t="n">
        <v>3</v>
      </c>
      <c r="C16" s="200" t="inlineStr">
        <is>
          <t>Speed of Lite 1 (LiteCycle)</t>
        </is>
      </c>
      <c r="D16" s="200" t="n">
        <v>77</v>
      </c>
      <c r="E16" s="200" t="n">
        <v>5</v>
      </c>
      <c r="F16" s="200" t="n">
        <v>61</v>
      </c>
      <c r="G16" s="204" t="inlineStr">
        <is>
          <t>NO</t>
        </is>
      </c>
    </row>
    <row r="17">
      <c r="A17" s="200" t="inlineStr">
        <is>
          <t>Speed</t>
        </is>
      </c>
      <c r="B17" s="200" t="n">
        <v>4</v>
      </c>
      <c r="C17" s="200" t="inlineStr">
        <is>
          <t>Skim MILC MKII (MILC)</t>
        </is>
      </c>
      <c r="D17" s="200" t="n">
        <v>75</v>
      </c>
      <c r="E17" s="200" t="n">
        <v>5</v>
      </c>
      <c r="F17" s="200" t="n">
        <v>43</v>
      </c>
      <c r="G17" s="204" t="inlineStr">
        <is>
          <t>NO</t>
        </is>
      </c>
    </row>
    <row r="18">
      <c r="A18" s="248" t="inlineStr">
        <is>
          <t>Speed</t>
        </is>
      </c>
      <c r="B18" s="248" t="n">
        <v>5</v>
      </c>
      <c r="C18" s="248" t="inlineStr">
        <is>
          <t>Swift Bike (WeBike)</t>
        </is>
      </c>
      <c r="D18" s="248" t="n">
        <v>70</v>
      </c>
      <c r="E18" s="248" t="n">
        <v>8</v>
      </c>
      <c r="F18" s="248" t="n">
        <v>29</v>
      </c>
      <c r="G18" s="219" t="inlineStr">
        <is>
          <t>NO</t>
        </is>
      </c>
    </row>
    <row r="19">
      <c r="A19" s="200" t="inlineStr">
        <is>
          <t>Speed</t>
        </is>
      </c>
      <c r="B19" s="200" t="n">
        <v>6</v>
      </c>
      <c r="C19" s="200" t="inlineStr">
        <is>
          <t>Speed of Lite 2 (LiteCycle)</t>
        </is>
      </c>
      <c r="D19" s="200" t="n">
        <v>73</v>
      </c>
      <c r="E19" s="200" t="n">
        <v>4</v>
      </c>
      <c r="F19" s="200" t="n">
        <v>23</v>
      </c>
      <c r="G19" s="204" t="inlineStr">
        <is>
          <t>NO</t>
        </is>
      </c>
    </row>
    <row r="20">
      <c r="A20" s="200" t="inlineStr">
        <is>
          <t>Speed</t>
        </is>
      </c>
      <c r="B20" s="200" t="n">
        <v>7</v>
      </c>
      <c r="C20" s="200" t="inlineStr">
        <is>
          <t>AndStill (Bike Bros)</t>
        </is>
      </c>
      <c r="D20" s="200" t="n">
        <v>78</v>
      </c>
      <c r="E20" s="200" t="n">
        <v>2</v>
      </c>
      <c r="F20" s="200" t="n">
        <v>23</v>
      </c>
      <c r="G20" s="204" t="inlineStr">
        <is>
          <t>NO</t>
        </is>
      </c>
    </row>
    <row r="21">
      <c r="A21" s="200" t="inlineStr">
        <is>
          <t>Speed</t>
        </is>
      </c>
      <c r="B21" s="200" t="n">
        <v>8</v>
      </c>
      <c r="C21" s="200" t="inlineStr">
        <is>
          <t>Excluspeedity (Bike Bros)</t>
        </is>
      </c>
      <c r="D21" s="200" t="n">
        <v>72</v>
      </c>
      <c r="E21" s="200" t="n">
        <v>2</v>
      </c>
      <c r="F21" s="200" t="n">
        <v>23</v>
      </c>
      <c r="G21" s="204" t="inlineStr">
        <is>
          <t>NO</t>
        </is>
      </c>
    </row>
    <row r="22">
      <c r="A22" s="200" t="inlineStr">
        <is>
          <t>Speed</t>
        </is>
      </c>
      <c r="B22" s="200" t="n">
        <v>9</v>
      </c>
      <c r="C22" s="200" t="inlineStr">
        <is>
          <t>Spoke'd Speed (Spoke'd Up)</t>
        </is>
      </c>
      <c r="D22" s="200" t="n">
        <v>57</v>
      </c>
      <c r="E22" s="200" t="n">
        <v>5</v>
      </c>
      <c r="F22" s="200" t="n">
        <v>21</v>
      </c>
      <c r="G22" s="204" t="inlineStr">
        <is>
          <t>NO</t>
        </is>
      </c>
    </row>
    <row r="24">
      <c r="A24" s="170" t="inlineStr">
        <is>
          <t>RECREATION IS THE PROOF that ad judgment sets rank and media spend does not: Whole MILC ran 11 inserts vs Mars Rover's 7 and still ranked below it (judgment 77 vs 79). In Mountain both explanations agree, so only Rec separates them. SPEED IS UNEXPLAINED — AndStill has the best Speed ad at 78 and sits 7th. Partial clue: Bike Bros runs two ads for the SAME brand (MACH I.I) and both sank to 7th/8th. But even excluding those, Speed is not monotonic. So treat Speed click gains as UPSIDE, never as a forecast.</t>
        </is>
      </c>
    </row>
    <row r="25">
      <c r="A25" s="199" t="inlineStr">
        <is>
          <t>CTR by position (verified, near-identical across segments)</t>
        </is>
      </c>
      <c r="B25" s="199" t="inlineStr">
        <is>
          <t>CTR</t>
        </is>
      </c>
      <c r="C25" s="199" t="inlineStr">
        <is>
          <t>Mountain clicks at 1,027 searches</t>
        </is>
      </c>
    </row>
    <row r="26">
      <c r="A26" s="200" t="inlineStr">
        <is>
          <t>Position 1</t>
        </is>
      </c>
      <c r="B26" s="228" t="n">
        <v>0.228</v>
      </c>
      <c r="C26" s="200" t="n">
        <v>234</v>
      </c>
    </row>
    <row r="27">
      <c r="A27" s="200" t="inlineStr">
        <is>
          <t>Position 2</t>
        </is>
      </c>
      <c r="B27" s="228" t="n">
        <v>0.111</v>
      </c>
      <c r="C27" s="200" t="n">
        <v>114</v>
      </c>
    </row>
    <row r="28">
      <c r="A28" s="200" t="inlineStr">
        <is>
          <t>Position 3</t>
        </is>
      </c>
      <c r="B28" s="228" t="n">
        <v>0.067</v>
      </c>
      <c r="C28" s="200" t="n">
        <v>69</v>
      </c>
    </row>
    <row r="29">
      <c r="A29" s="200" t="inlineStr">
        <is>
          <t>Position 4</t>
        </is>
      </c>
      <c r="B29" s="228" t="n">
        <v>0.046</v>
      </c>
      <c r="C29" s="200" t="n">
        <v>47</v>
      </c>
    </row>
    <row r="30">
      <c r="A30" s="200" t="inlineStr">
        <is>
          <t>Position 5</t>
        </is>
      </c>
      <c r="B30" s="228" t="n">
        <v>0.032</v>
      </c>
      <c r="C30" s="200" t="n">
        <v>33</v>
      </c>
    </row>
    <row r="31">
      <c r="A31" s="222" t="inlineStr">
        <is>
          <t>HikeBike 1 moving position 2 -&gt; 1</t>
        </is>
      </c>
      <c r="B31" s="271" t="n">
        <v>0.117</v>
      </c>
      <c r="C31" s="222" t="n">
        <v>120</v>
      </c>
    </row>
    <row r="34">
      <c r="A34" s="199" t="inlineStr">
        <is>
          <t>HIKEBIKE 1 — recommended stack (BB LLC's verbatim)</t>
        </is>
      </c>
      <c r="B34" s="199" t="inlineStr">
        <is>
          <t>Status</t>
        </is>
      </c>
      <c r="C34" s="259" t="inlineStr">
        <is>
          <t>Why</t>
        </is>
      </c>
    </row>
    <row r="35">
      <c r="A35" s="200" t="inlineStr">
        <is>
          <t>1 Tackle steep climbs with more gears</t>
        </is>
      </c>
      <c r="B35" s="211" t="inlineStr">
        <is>
          <t>keep, promote</t>
        </is>
      </c>
      <c r="C35" s="260" t="inlineStr">
        <is>
          <t>Mountain's #1 need: easily handles change in incline, 131. 4 of 4 rivals run it.</t>
        </is>
      </c>
    </row>
    <row r="36">
      <c r="A36" s="200" t="inlineStr">
        <is>
          <t>2 Grab the path with high tread tires</t>
        </is>
      </c>
      <c r="B36" s="211" t="inlineStr">
        <is>
          <t>keep, promote</t>
        </is>
      </c>
      <c r="C36" s="260" t="inlineStr">
        <is>
          <t>Can handle rough terrain 128. 3 of 4 rivals.</t>
        </is>
      </c>
    </row>
    <row r="37">
      <c r="A37" s="200" t="inlineStr">
        <is>
          <t>3 Highest rated Mountain bike</t>
        </is>
      </c>
      <c r="B37" s="206" t="inlineStr">
        <is>
          <t>ADD</t>
        </is>
      </c>
      <c r="C37" s="260" t="inlineStr">
        <is>
          <t>TRUE — Hike Bike is TIED for best Mountain at 73 with TERRAMAX and Blu Ruged Ballz, so the claim is legal. Hits Status symbol/exclusivity 121. This is BB LLC's differentiator.</t>
        </is>
      </c>
    </row>
    <row r="38">
      <c r="A38" s="200" t="inlineStr">
        <is>
          <t>4 Local sales &amp; service</t>
        </is>
      </c>
      <c r="B38" s="206" t="inlineStr">
        <is>
          <t>ADD</t>
        </is>
      </c>
      <c r="C38" s="260" t="inlineStr">
        <is>
          <t>TRUE — Amsterdam + Rio. Hits Repair/parts/support nearby 121. 3 of 4 rival Mountain ads run it and we never have, despite being 80.9% store.</t>
        </is>
      </c>
    </row>
    <row r="39">
      <c r="A39" s="200" t="inlineStr">
        <is>
          <t>5 Mention brand name</t>
        </is>
      </c>
      <c r="B39" s="211" t="inlineStr">
        <is>
          <t>keep, demote</t>
        </is>
      </c>
      <c r="C39" s="260" t="inlineStr">
        <is>
          <t>Fills the Ad/Brand columns and does NOT consume a SERP snippet slot, so rank 1 was wasted on it.</t>
        </is>
      </c>
    </row>
    <row r="40">
      <c r="A40" s="200" t="inlineStr">
        <is>
          <t>6 Picture of a rider on a steep trail</t>
        </is>
      </c>
      <c r="B40" s="211" t="inlineStr">
        <is>
          <t>keep, demote</t>
        </is>
      </c>
      <c r="C40" s="260" t="inlineStr">
        <is>
          <t>DOES consume a snippet slot. Rec #1 and Mountain #1 both lead with a CLAIM, not a picture.</t>
        </is>
      </c>
    </row>
    <row r="41">
      <c r="A41" s="200" t="inlineStr">
        <is>
          <t>-- Have an adventure on a carbon bike!</t>
        </is>
      </c>
      <c r="B41" s="204" t="inlineStr">
        <is>
          <t>DROP</t>
        </is>
      </c>
      <c r="C41" s="260" t="inlineStr">
        <is>
          <t>Only 2 of 4 rivals. BB LLC omits it and scores higher with fewer benefits.</t>
        </is>
      </c>
    </row>
    <row r="42">
      <c r="A42" s="200" t="inlineStr">
        <is>
          <t>-- Go anywhere on a tough carbon bike</t>
        </is>
      </c>
      <c r="B42" s="204" t="inlineStr">
        <is>
          <t>DROP</t>
        </is>
      </c>
      <c r="C42" s="260" t="inlineStr">
        <is>
          <t>Weakest adoption at 1 of 4.</t>
        </is>
      </c>
    </row>
    <row r="43">
      <c r="A43" s="200" t="inlineStr">
        <is>
          <t>-- Mountains are no longer difficult</t>
        </is>
      </c>
      <c r="B43" s="204" t="inlineStr">
        <is>
          <t>DROP, then TEST</t>
        </is>
      </c>
      <c r="C43" s="260" t="inlineStr">
        <is>
          <t>Drop first. If the preview reads 81, add it back at rank 7 and preview again; keep the higher score.</t>
        </is>
      </c>
    </row>
    <row r="45">
      <c r="A45" s="170" t="inlineStr">
        <is>
          <t>BB LLC wins with SIX benefits while we run SEVEN — more claims is not better. Spoke'd Speed has all the right Speed ingredients, uses the full 9-benefit cap, and scores 57, the worst in the game. PREVIEW BEFORE COMMITTING; revert to Q3 copy if it comes in under 80.</t>
        </is>
      </c>
    </row>
    <row r="46">
      <c r="A46" s="199" t="inlineStr">
        <is>
          <t>SWIFT BIKE — recommended stack (AndStill's verbatim, the 78)</t>
        </is>
      </c>
      <c r="B46" s="199" t="inlineStr">
        <is>
          <t>Status</t>
        </is>
      </c>
      <c r="C46" s="259" t="inlineStr">
        <is>
          <t>Why</t>
        </is>
      </c>
    </row>
    <row r="47">
      <c r="A47" s="200" t="inlineStr">
        <is>
          <t>1 Picture of road race</t>
        </is>
      </c>
      <c r="B47" s="211" t="inlineStr">
        <is>
          <t>keep</t>
        </is>
      </c>
      <c r="C47" s="260" t="inlineStr">
        <is>
          <t>8 of 8 rivals. The one line we already share with the best ad.</t>
        </is>
      </c>
    </row>
    <row r="48">
      <c r="A48" s="200" t="inlineStr">
        <is>
          <t>2 Mention brand name</t>
        </is>
      </c>
      <c r="B48" s="211" t="inlineStr">
        <is>
          <t>promote</t>
        </is>
      </c>
      <c r="C48" s="260" t="inlineStr">
        <is>
          <t>8 of 8 rivals rank it 2nd. Ours sat at 4. Does not consume a snippet slot.</t>
        </is>
      </c>
    </row>
    <row r="49">
      <c r="A49" s="200" t="inlineStr">
        <is>
          <t>3 Ride a wind-cheater</t>
        </is>
      </c>
      <c r="B49" s="206" t="inlineStr">
        <is>
          <t>ADD</t>
        </is>
      </c>
      <c r="C49" s="260" t="inlineStr">
        <is>
          <t>8 of 8 rivals run it and we do not. Aerodynamic is Speed need #5 at 122, and the aero frame supports the claim.</t>
        </is>
      </c>
    </row>
    <row r="50">
      <c r="A50" s="200" t="inlineStr">
        <is>
          <t>4 Elite look - a ride of distinction</t>
        </is>
      </c>
      <c r="B50" s="206" t="inlineStr">
        <is>
          <t>ADD</t>
        </is>
      </c>
      <c r="C50" s="260" t="inlineStr">
        <is>
          <t>6 of 8, including BOTH 77-point ads. Status symbol 116.</t>
        </is>
      </c>
    </row>
    <row r="51">
      <c r="A51" s="200" t="inlineStr">
        <is>
          <t>5 A tailor-made bike just for you! 3D printing</t>
        </is>
      </c>
      <c r="B51" s="206" t="inlineStr">
        <is>
          <t>ADD</t>
        </is>
      </c>
      <c r="C51" s="260" t="inlineStr">
        <is>
          <t>3 of 8, but on BOTH of the two best ads. We actually 3D-print — this is our licensed core capability.</t>
        </is>
      </c>
    </row>
    <row r="52">
      <c r="A52" s="200" t="inlineStr">
        <is>
          <t>6 Roll fast with racing tires</t>
        </is>
      </c>
      <c r="B52" s="206" t="inlineStr">
        <is>
          <t>ADD</t>
        </is>
      </c>
      <c r="C52" s="260" t="inlineStr">
        <is>
          <t>7 of 8. The bike HAS racing tires. Speed's #1 need is Speed at 134.</t>
        </is>
      </c>
    </row>
    <row r="53">
      <c r="A53" s="200" t="inlineStr">
        <is>
          <t>7 Local sales &amp; service</t>
        </is>
      </c>
      <c r="B53" s="206" t="inlineStr">
        <is>
          <t>ADD</t>
        </is>
      </c>
      <c r="C53" s="260" t="inlineStr">
        <is>
          <t>3 of 8. We are 80.9% store and have never claimed it.</t>
        </is>
      </c>
    </row>
    <row r="54">
      <c r="A54" s="200" t="inlineStr">
        <is>
          <t>-- Carbon fiber quality at a GREAT PRICE</t>
        </is>
      </c>
      <c r="B54" s="204" t="inlineStr">
        <is>
          <t>DROP</t>
        </is>
      </c>
      <c r="C54" s="260" t="inlineStr">
        <is>
          <t>0 of 8 rivals. And we are raising Swift to $1,580 this quarter — the claim would contradict the price.</t>
        </is>
      </c>
    </row>
    <row r="55">
      <c r="A55" s="200" t="inlineStr">
        <is>
          <t>-- Ride safely after dark with LIGHTS</t>
        </is>
      </c>
      <c r="B55" s="204" t="inlineStr">
        <is>
          <t>DROP</t>
        </is>
      </c>
      <c r="C55" s="260" t="inlineStr">
        <is>
          <t>0 of 8. A Recreation cue. The bike KEEPS its lights (+1 in the Speed recipe); we just stop advertising them.</t>
        </is>
      </c>
    </row>
    <row r="56">
      <c r="A56" s="200" t="inlineStr">
        <is>
          <t>-- Added safety - REFLECTORS everywhere</t>
        </is>
      </c>
      <c r="B56" s="204" t="inlineStr">
        <is>
          <t>DROP</t>
        </is>
      </c>
      <c r="C56" s="260" t="inlineStr">
        <is>
          <t>0 of 8. Same: keep the part, drop the claim.</t>
        </is>
      </c>
    </row>
    <row r="57">
      <c r="A57" s="200" t="inlineStr">
        <is>
          <t>-- Enjoy your ride - carbon fiber light</t>
        </is>
      </c>
      <c r="B57" s="211" t="inlineStr">
        <is>
          <t>DEMOTE or drop</t>
        </is>
      </c>
      <c r="C57" s="260" t="inlineStr">
        <is>
          <t>4 of 8 run it, but it was our rank 2 and reads as Recreation comfort.</t>
        </is>
      </c>
    </row>
    <row r="58">
      <c r="A58" s="200" t="inlineStr">
        <is>
          <t>TEST: Highest rated Speed bike</t>
        </is>
      </c>
      <c r="B58" s="211" t="inlineStr">
        <is>
          <t>TEST ONLY</t>
        </is>
      </c>
      <c r="C58" s="260" t="inlineStr">
        <is>
          <t>The Armstrong runs it and sits position 2. Legal ONLY once Swift's design actually hits 77. The sim may validate against Q3 where Swift is 72 — so DESIGN THE BRAND FIRST, then the ad. If rejected, keep local sales &amp; service.</t>
        </is>
      </c>
    </row>
    <row r="60">
      <c r="A60" s="170" t="inlineStr">
        <is>
          <t>Our current Speed ad shares exactly ONE line with the best Speed ad. The three claims nobody else runs (lights / reflectors / great price) are Recreation cues and are why the ad leaks 52 Rec and 36 Mtn units at a judgment of 70. DO BOTH the design fix (24sp-&gt;14sp +3, add decals +2 =&gt; 77) AND the ad fix in the SAME quarter: together Marketing Effectiveness hits 0.7675, past BB LLC's 0.765 for industry best. Ad alone = 0.755, design alone = 0.750.</t>
        </is>
      </c>
    </row>
    <row r="61">
      <c r="A61" s="199" t="inlineStr">
        <is>
          <t>MEDIA — cost per insert</t>
        </is>
      </c>
      <c r="B61" s="199" t="inlineStr">
        <is>
          <t>Cost</t>
        </is>
      </c>
      <c r="C61" s="259" t="inlineStr">
        <is>
          <t>Note</t>
        </is>
      </c>
    </row>
    <row r="62">
      <c r="A62" s="206" t="inlineStr">
        <is>
          <t>Biking Magazines</t>
        </is>
      </c>
      <c r="B62" s="244" t="n">
        <v>4500</v>
      </c>
      <c r="C62" s="261" t="inlineStr">
        <is>
          <t>CHEAPEST and the top-preference medium for BOTH our segments (Mountain pref 134)</t>
        </is>
      </c>
    </row>
    <row r="63">
      <c r="A63" s="200" t="inlineStr">
        <is>
          <t>New Venture</t>
        </is>
      </c>
      <c r="B63" s="220" t="n">
        <v>5500</v>
      </c>
      <c r="C63" s="260" t="inlineStr"/>
    </row>
    <row r="64">
      <c r="A64" s="200" t="inlineStr">
        <is>
          <t>Health &amp; Fitness</t>
        </is>
      </c>
      <c r="B64" s="220" t="n">
        <v>7000</v>
      </c>
      <c r="C64" s="260" t="inlineStr"/>
    </row>
    <row r="65">
      <c r="A65" s="200" t="inlineStr">
        <is>
          <t>General News</t>
        </is>
      </c>
      <c r="B65" s="220" t="n">
        <v>8000</v>
      </c>
      <c r="C65" s="260" t="inlineStr"/>
    </row>
    <row r="66">
      <c r="A66" s="200" t="inlineStr">
        <is>
          <t>Business</t>
        </is>
      </c>
      <c r="B66" s="220" t="n">
        <v>9500</v>
      </c>
      <c r="C66" s="260" t="inlineStr"/>
    </row>
    <row r="67">
      <c r="A67" s="200" t="inlineStr">
        <is>
          <t>Sport</t>
        </is>
      </c>
      <c r="B67" s="220" t="n">
        <v>10000</v>
      </c>
      <c r="C67" s="260" t="inlineStr"/>
    </row>
    <row r="68">
      <c r="A68" s="200" t="inlineStr">
        <is>
          <t>Leisure &amp; Entertainment</t>
        </is>
      </c>
      <c r="B68" s="220" t="n">
        <v>10000</v>
      </c>
      <c r="C68" s="260" t="inlineStr">
        <is>
          <t>Rec-skewed — Mountain preference 60. Do not buy.</t>
        </is>
      </c>
    </row>
    <row r="71">
      <c r="A71" s="199" t="inlineStr">
        <is>
          <t>MEDIA OPTIONS</t>
        </is>
      </c>
      <c r="B71" s="199" t="inlineStr">
        <is>
          <t>Hike Biking</t>
        </is>
      </c>
      <c r="C71" s="199" t="inlineStr">
        <is>
          <t>Swift Biking</t>
        </is>
      </c>
      <c r="D71" s="199" t="inlineStr">
        <is>
          <t>Inserts</t>
        </is>
      </c>
      <c r="E71" s="199" t="inlineStr">
        <is>
          <t>Spend</t>
        </is>
      </c>
      <c r="F71" s="199" t="inlineStr">
        <is>
          <t>vs Q3</t>
        </is>
      </c>
      <c r="G71" s="199" t="inlineStr">
        <is>
          <t>Biking total</t>
        </is>
      </c>
      <c r="H71" s="259" t="inlineStr">
        <is>
          <t>Read</t>
        </is>
      </c>
    </row>
    <row r="72">
      <c r="A72" s="204" t="inlineStr">
        <is>
          <t>Q3 actual (what we did)</t>
        </is>
      </c>
      <c r="B72" s="204" t="n">
        <v>11</v>
      </c>
      <c r="C72" s="204" t="n">
        <v>8</v>
      </c>
      <c r="D72" s="204" t="n">
        <v>19</v>
      </c>
      <c r="E72" s="269" t="n">
        <v>116000</v>
      </c>
      <c r="F72" s="269" t="n">
        <v>0</v>
      </c>
      <c r="G72" s="204" t="n">
        <v>10</v>
      </c>
      <c r="H72" s="264" t="inlineStr">
        <is>
          <t>5 media, 53% Biking. The mix error.</t>
        </is>
      </c>
    </row>
    <row r="73">
      <c r="A73" s="200" t="inlineStr">
        <is>
          <t>A. Copy BB LLC exactly</t>
        </is>
      </c>
      <c r="B73" s="200" t="n">
        <v>12</v>
      </c>
      <c r="C73" s="200" t="n">
        <v>12</v>
      </c>
      <c r="D73" s="200" t="n">
        <v>24</v>
      </c>
      <c r="E73" s="220" t="n">
        <v>108000</v>
      </c>
      <c r="F73" s="220" t="n">
        <v>-8000</v>
      </c>
      <c r="G73" s="200" t="n">
        <v>24</v>
      </c>
      <c r="H73" s="260" t="inlineStr">
        <is>
          <t>Right mix, but +5 inserts of demand we cannot build.</t>
        </is>
      </c>
    </row>
    <row r="74">
      <c r="A74" s="204" t="inlineStr">
        <is>
          <t>B. My earlier rec (SUPERSEDED)</t>
        </is>
      </c>
      <c r="B74" s="204" t="n">
        <v>16</v>
      </c>
      <c r="C74" s="204" t="n">
        <v>12</v>
      </c>
      <c r="D74" s="204" t="n">
        <v>28</v>
      </c>
      <c r="E74" s="269" t="n">
        <v>143000</v>
      </c>
      <c r="F74" s="269" t="n">
        <v>27000</v>
      </c>
      <c r="G74" s="204" t="n">
        <v>24</v>
      </c>
      <c r="H74" s="264" t="inlineStr">
        <is>
          <t>+$27,000 and the most demand. Wrong for a capped quarter.</t>
        </is>
      </c>
    </row>
    <row r="75">
      <c r="A75" s="222" t="inlineStr">
        <is>
          <t>C. MIX FIX ONLY (recommended)</t>
        </is>
      </c>
      <c r="B75" s="222" t="n">
        <v>12</v>
      </c>
      <c r="C75" s="222" t="n">
        <v>4</v>
      </c>
      <c r="D75" s="222" t="n">
        <v>16</v>
      </c>
      <c r="E75" s="265" t="n">
        <v>72000</v>
      </c>
      <c r="F75" s="265" t="n">
        <v>-44000</v>
      </c>
      <c r="G75" s="222" t="n">
        <v>16</v>
      </c>
      <c r="H75" s="263" t="inlineStr">
        <is>
          <t>Matches BB LLC's 12 Biking on Mountain, holds Speed at Q3's 4, drops all off-Biking. -$44,000.</t>
        </is>
      </c>
    </row>
    <row r="76">
      <c r="A76" s="200" t="inlineStr">
        <is>
          <t>D. Minimum viable</t>
        </is>
      </c>
      <c r="B76" s="200" t="n">
        <v>8</v>
      </c>
      <c r="C76" s="200" t="n">
        <v>4</v>
      </c>
      <c r="D76" s="200" t="n">
        <v>12</v>
      </c>
      <c r="E76" s="220" t="n">
        <v>54000</v>
      </c>
      <c r="F76" s="220" t="n">
        <v>-62000</v>
      </c>
      <c r="G76" s="200" t="n">
        <v>12</v>
      </c>
      <c r="H76" s="260" t="inlineStr">
        <is>
          <t>If the team wants to protect the loan headroom harder.</t>
        </is>
      </c>
    </row>
    <row r="78">
      <c r="A78" s="170" t="inlineStr">
        <is>
          <t>WHY VOLUME MUST BE RESTRAINED: Market Performance = (avg share in targeted segments) x (percent of demand served). Q4 output is capped at 1,154 units and the plan already forecasts 1,171. With output capped, extra demand CANNOT raise units sold, so it only lowers the percent-served term — strictly negative — and it earns Q5 ill will at half the unmet percentage. Fix the MIX, hold the VOLUME, and expand to the full 24-insert BB LLC buy in Q5 when the printers land.</t>
        </is>
      </c>
    </row>
    <row r="79">
      <c r="A79" s="199" t="inlineStr">
        <is>
          <t>ORGANIC SEO — settled points</t>
        </is>
      </c>
      <c r="B79" s="259" t="inlineStr">
        <is>
          <t>Detail</t>
        </is>
      </c>
    </row>
    <row r="80">
      <c r="A80" s="200" t="inlineStr">
        <is>
          <t>Page investment is not a lever</t>
        </is>
      </c>
      <c r="B80" s="260" t="inlineStr">
        <is>
          <t>Every listing in the industry cost exactly $1,000 and nobody spent more. Leave both pages at $1,000.</t>
        </is>
      </c>
    </row>
    <row r="81">
      <c r="A81" s="200" t="inlineStr">
        <is>
          <t>Rank sets clicks; snippet wording does not</t>
        </is>
      </c>
      <c r="B81" s="260" t="inlineStr">
        <is>
          <t>CTR is a step function of position only: 22.8% / 11.1% / 6.7% / 4.6% / 3.2%. So optimise for AD JUDGMENT, which sets position, not for snippet aesthetics.</t>
        </is>
      </c>
    </row>
    <row r="82">
      <c r="A82" s="200" t="inlineStr">
        <is>
          <t>Brand name is free on the SERP</t>
        </is>
      </c>
      <c r="B82" s="260" t="inlineStr">
        <is>
          <t>'Mention brand name' fills the Ad/Brand columns and does NOT consume a snippet slot. A PICTURE does. Rec #1 and Mountain #1 both lead with a claim.</t>
        </is>
      </c>
    </row>
    <row r="83">
      <c r="A83" s="200" t="inlineStr">
        <is>
          <t>Never a second page in one segment</t>
        </is>
      </c>
      <c r="B83" s="260" t="inlineStr">
        <is>
          <t>Bike Bros' two Mountain ads drew 79 clicks combined against our single page's 115, and their two MACH I.I Speed pages sank to positions 7 and 8.</t>
        </is>
      </c>
    </row>
    <row r="84">
      <c r="A84" s="200" t="inlineStr">
        <is>
          <t>No Recreation page</t>
        </is>
      </c>
      <c r="B84" s="260" t="inlineStr">
        <is>
          <t>We have no Rec brand, and every Rec winner leads with comfort-seat copy we cannot truthfully run on Hike Bike.</t>
        </is>
      </c>
    </row>
    <row r="85">
      <c r="A85" s="200" t="inlineStr">
        <is>
          <t>SEO is NOT our web problem</t>
        </is>
      </c>
      <c r="B85" s="262" t="inlineStr">
        <is>
          <t>LiteCycle converts 153 clicks into 435 web units; we convert 144 into 120 — 3.6x worse on nearly identical traffic. The web rebuild (staff 3-&gt;7, all four tactics) is the fix, not more clicks.</t>
        </is>
      </c>
    </row>
    <row r="88">
      <c r="A88" s="199" t="inlineStr">
        <is>
          <t>Q4 DECISION SUMMARY</t>
        </is>
      </c>
      <c r="B88" s="259" t="inlineStr">
        <is>
          <t>Action</t>
        </is>
      </c>
    </row>
    <row r="89">
      <c r="A89" s="200" t="inlineStr">
        <is>
          <t>HikeBike 1 ad</t>
        </is>
      </c>
      <c r="B89" s="260" t="inlineStr">
        <is>
          <t>Redesign to BB LLC's 6-benefit stack. Add 'Highest rated Mountain bike' and 'Local sales &amp; service'; drop adventure, tough carbon, mountains-easier. Preview and target 82 for position 1 — the payoff is deterministic in Mountain.</t>
        </is>
      </c>
    </row>
    <row r="90">
      <c r="A90" s="200" t="inlineStr">
        <is>
          <t>Swift Bike ad</t>
        </is>
      </c>
      <c r="B90" s="260" t="inlineStr">
        <is>
          <t>Redesign to AndStill's 7-benefit stack. Drop lights, reflectors and great price. Design the brand FIRST so 'Highest rated Speed bike' can be tested.</t>
        </is>
      </c>
    </row>
    <row r="91">
      <c r="A91" s="200" t="inlineStr">
        <is>
          <t>Organic SEO</t>
        </is>
      </c>
      <c r="B91" s="260" t="inlineStr">
        <is>
          <t>Both pages stay at $1,000. No third page, no Rec page. Fix web OPERATIONS, not traffic.</t>
        </is>
      </c>
    </row>
    <row r="92">
      <c r="A92" s="200" t="inlineStr">
        <is>
          <t>Media</t>
        </is>
      </c>
      <c r="B92" s="260" t="inlineStr">
        <is>
          <t>Option C — Biking only, HikeBike 12 + Swift 4 = 16 inserts, $72,000, down $44,000 from Q3.</t>
        </is>
      </c>
    </row>
    <row r="93">
      <c r="A93" s="200" t="inlineStr">
        <is>
          <t>Leave alone</t>
        </is>
      </c>
      <c r="B93" s="260" t="inlineStr">
        <is>
          <t>Hike Bike's design (73, tied best, verified optimal) and its price ($1,365, already the optimal tier).</t>
        </is>
      </c>
    </row>
    <row r="94">
      <c r="A94" s="200" t="inlineStr">
        <is>
          <t>Status</t>
        </is>
      </c>
      <c r="B94" s="260" t="inlineStr">
        <is>
          <t>ANALYSIS ONLY — majority vote required. Preview every ad score in the designer before committing.</t>
        </is>
      </c>
    </row>
  </sheetData>
  <mergeCells count="1">
    <mergeCell ref="A2:G2"/>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42" customWidth="1" style="146" min="1" max="1"/>
    <col width="14" customWidth="1" style="146" min="2" max="2"/>
    <col width="100" customWidth="1" style="146" min="3" max="3"/>
    <col width="13" customWidth="1" style="146" min="4" max="4"/>
    <col width="13" customWidth="1" style="146" min="5" max="5"/>
    <col width="46" customWidth="1" style="146" min="6" max="6"/>
  </cols>
  <sheetData>
    <row r="1">
      <c r="A1" s="169" t="inlineStr">
        <is>
          <t>Q4 World Market — retail price, rebate, sales priority</t>
        </is>
      </c>
    </row>
    <row r="2" ht="48" customHeight="1" s="146">
      <c r="A2" s="258" t="inlineStr">
        <is>
          <t>BOTTOM LINE: hold Hike Bike at $1,365 (already the highest price that draws zero Mountain resistance), raise Swift Bike $1,450 -&gt; $1,580 (+$130, verified riskless by three rival brands at that exact price), keep both rebates at $0, and LEAVE the priority order alone. The priority reasoning changed: a Mountain unit is worth 1.78x a Speed unit for Market Performance because Mountain is the SMALLER segment.</t>
        </is>
      </c>
    </row>
    <row r="4">
      <c r="A4" s="199" t="inlineStr">
        <is>
          <t>WHAT TO ENTER</t>
        </is>
      </c>
      <c r="B4" s="199" t="inlineStr">
        <is>
          <t>Priority</t>
        </is>
      </c>
      <c r="C4" s="199" t="inlineStr">
        <is>
          <t>Retail price</t>
        </is>
      </c>
      <c r="D4" s="199" t="inlineStr">
        <is>
          <t>Rebate</t>
        </is>
      </c>
      <c r="E4" s="259" t="inlineStr">
        <is>
          <t>Change</t>
        </is>
      </c>
    </row>
    <row r="5">
      <c r="A5" s="200" t="inlineStr">
        <is>
          <t>Hike Bike</t>
        </is>
      </c>
      <c r="B5" s="200" t="n">
        <v>1</v>
      </c>
      <c r="C5" s="232" t="n">
        <v>1365</v>
      </c>
      <c r="D5" s="232" t="n">
        <v>0</v>
      </c>
      <c r="E5" s="260" t="inlineStr">
        <is>
          <t>NO CHANGE — Mountain price judgment is already 100 and the next step up drops it to 94</t>
        </is>
      </c>
    </row>
    <row r="6">
      <c r="A6" s="206" t="inlineStr">
        <is>
          <t>Swift Bike</t>
        </is>
      </c>
      <c r="B6" s="206" t="n">
        <v>2</v>
      </c>
      <c r="C6" s="272" t="n">
        <v>1580</v>
      </c>
      <c r="D6" s="272" t="n">
        <v>0</v>
      </c>
      <c r="E6" s="261" t="inlineStr">
        <is>
          <t>RAISE $130 from $1,450 — Speed judgment stays at 100, proven by Blu Aero, Blu Tube and The Armstrong</t>
        </is>
      </c>
    </row>
    <row r="9">
      <c r="A9" s="199" t="inlineStr">
        <is>
          <t>PRICE TIER LADDER (from Q3_Price_Judgment)</t>
        </is>
      </c>
      <c r="B9" s="199" t="inlineStr">
        <is>
          <t>Price</t>
        </is>
      </c>
      <c r="C9" s="199" t="inlineStr">
        <is>
          <t>Rec</t>
        </is>
      </c>
      <c r="D9" s="199" t="inlineStr">
        <is>
          <t>Mtn</t>
        </is>
      </c>
      <c r="E9" s="199" t="inlineStr">
        <is>
          <t>Speed</t>
        </is>
      </c>
      <c r="F9" s="259" t="inlineStr">
        <is>
          <t>Brands at this price</t>
        </is>
      </c>
    </row>
    <row r="10">
      <c r="A10" s="206" t="inlineStr"/>
      <c r="B10" s="272" t="n">
        <v>1365</v>
      </c>
      <c r="C10" s="206" t="n">
        <v>81</v>
      </c>
      <c r="D10" s="206" t="n">
        <v>100</v>
      </c>
      <c r="E10" s="206" t="n">
        <v>100</v>
      </c>
      <c r="F10" s="261" t="inlineStr">
        <is>
          <t>Hike Bike, Blu Ruged Ballz, Blu Tail Ballz</t>
        </is>
      </c>
    </row>
    <row r="11">
      <c r="A11" s="200" t="inlineStr"/>
      <c r="B11" s="232" t="n">
        <v>1450</v>
      </c>
      <c r="C11" s="200" t="n">
        <v>76</v>
      </c>
      <c r="D11" s="200" t="n">
        <v>94</v>
      </c>
      <c r="E11" s="200" t="n">
        <v>100</v>
      </c>
      <c r="F11" s="260" t="inlineStr">
        <is>
          <t>Swift Bike, Skim MILC MKII</t>
        </is>
      </c>
    </row>
    <row r="12">
      <c r="A12" s="200" t="inlineStr"/>
      <c r="B12" s="232" t="n">
        <v>1499</v>
      </c>
      <c r="C12" s="200" t="n">
        <v>73</v>
      </c>
      <c r="D12" s="200" t="n">
        <v>91</v>
      </c>
      <c r="E12" s="200" t="n">
        <v>100</v>
      </c>
      <c r="F12" s="260" t="inlineStr">
        <is>
          <t>TERRAMAX, Spoke'd Speed</t>
        </is>
      </c>
    </row>
    <row r="13">
      <c r="A13" s="200" t="inlineStr"/>
      <c r="B13" s="232" t="n">
        <v>1515</v>
      </c>
      <c r="C13" s="200" t="n">
        <v>73</v>
      </c>
      <c r="D13" s="200" t="n">
        <v>91</v>
      </c>
      <c r="E13" s="200" t="n">
        <v>100</v>
      </c>
      <c r="F13" s="260" t="inlineStr">
        <is>
          <t>LiteSpeed Pro+</t>
        </is>
      </c>
    </row>
    <row r="14">
      <c r="A14" s="200" t="inlineStr"/>
      <c r="B14" s="232" t="n">
        <v>1579</v>
      </c>
      <c r="C14" s="200" t="n">
        <v>70</v>
      </c>
      <c r="D14" s="200" t="n">
        <v>86</v>
      </c>
      <c r="E14" s="200" t="n">
        <v>100</v>
      </c>
      <c r="F14" s="260" t="inlineStr">
        <is>
          <t>Mach 0.6</t>
        </is>
      </c>
    </row>
    <row r="15">
      <c r="A15" s="211" t="inlineStr"/>
      <c r="B15" s="273" t="n">
        <v>1580</v>
      </c>
      <c r="C15" s="211" t="n">
        <v>70</v>
      </c>
      <c r="D15" s="211" t="n">
        <v>86</v>
      </c>
      <c r="E15" s="211" t="n">
        <v>100</v>
      </c>
      <c r="F15" s="262" t="inlineStr">
        <is>
          <t>Blu Aero Ballz, Blu Tube Ballz, The Armstrong</t>
        </is>
      </c>
    </row>
    <row r="16">
      <c r="A16" s="200" t="inlineStr"/>
      <c r="B16" s="232" t="n">
        <v>1749</v>
      </c>
      <c r="C16" s="200" t="n">
        <v>63</v>
      </c>
      <c r="D16" s="200" t="n">
        <v>78</v>
      </c>
      <c r="E16" s="200" t="n">
        <v>90</v>
      </c>
      <c r="F16" s="260" t="inlineStr">
        <is>
          <t>MACH I.I — most expensive in the game</t>
        </is>
      </c>
    </row>
    <row r="18">
      <c r="A18" s="170" t="inlineStr">
        <is>
          <t>Speed is the least price-sensitive segment in the game: judgment holds at 100 all the way to $1,580 and only breaks at $1,749. Mountain holds 100 only to $1,365. Swift Bike is currently the 2nd CHEAPEST of 10 Speed brands while carrying the 2nd WORST product — $97 below the $1,547 Speed median. Rivals price Speed $200+ above Mountain; BB LLC runs Mountain $1,365 (same as ours) and Speed $1,580. We copied their Mountain price and missed their Speed price.</t>
        </is>
      </c>
    </row>
    <row r="19">
      <c r="A19" s="199" t="inlineStr">
        <is>
          <t>WHY NOT GO ABOVE $1,580?</t>
        </is>
      </c>
      <c r="B19" s="259" t="inlineStr">
        <is>
          <t>Reason</t>
        </is>
      </c>
    </row>
    <row r="20">
      <c r="A20" s="200" t="inlineStr">
        <is>
          <t>$1,581-$1,748 is untested</t>
        </is>
      </c>
      <c r="B20" s="260" t="inlineStr">
        <is>
          <t>Nobody in the industry prices in that band, so we cannot see where Speed judgment breaks.</t>
        </is>
      </c>
    </row>
    <row r="21">
      <c r="A21" s="200" t="inlineStr">
        <is>
          <t>Capacity binds this quarter</t>
        </is>
      </c>
      <c r="B21" s="260" t="inlineStr">
        <is>
          <t>Forecast 1,171 vs capacity 1,154 leaves only 17 units of slack. A price rise that dents Speed demand could leave printers under-filled, and Q2 already cost us $148,652 for scheduled capacity we did not use.</t>
        </is>
      </c>
    </row>
    <row r="22">
      <c r="A22" s="200" t="inlineStr">
        <is>
          <t>$1,580 is free money; beyond is a bet</t>
        </is>
      </c>
      <c r="B22" s="260" t="inlineStr">
        <is>
          <t>It is verified by four separate brands and captures $130 of the $384 available headroom at zero risk.</t>
        </is>
      </c>
    </row>
    <row r="23">
      <c r="A23" s="200" t="inlineStr">
        <is>
          <t>Q5 is not the time either</t>
        </is>
      </c>
      <c r="B23" s="260" t="inlineStr">
        <is>
          <t>Two new printers take capacity to ~40/day, so Q5 needs MORE demand, not less. Probe higher only when demand comfortably exceeds capacity.</t>
        </is>
      </c>
    </row>
    <row r="26">
      <c r="A26" s="199" t="inlineStr">
        <is>
          <t>REBATE — keep both at $0</t>
        </is>
      </c>
      <c r="B26" s="259" t="inlineStr">
        <is>
          <t>Evidence</t>
        </is>
      </c>
    </row>
    <row r="27">
      <c r="A27" s="200" t="inlineStr">
        <is>
          <t>Only 2 brands in the game rebate</t>
        </is>
      </c>
      <c r="B27" s="260" t="inlineStr">
        <is>
          <t>Mars Rover $1,100-$50 and Whole MILC $1,050-$100. Both Recreation.</t>
        </is>
      </c>
    </row>
    <row r="28">
      <c r="A28" s="200" t="inlineStr">
        <is>
          <t>Zero Mountain, zero Speed rebates</t>
        </is>
      </c>
      <c r="B28" s="260" t="inlineStr">
        <is>
          <t>Not one rival in either of our segments discounts.</t>
        </is>
      </c>
    </row>
    <row r="29">
      <c r="A29" s="200" t="inlineStr">
        <is>
          <t>A rebate is a tier walk-back</t>
        </is>
      </c>
      <c r="B29" s="260" t="inlineStr">
        <is>
          <t>It is a price cut that prints as its own line — it moves us back DOWN the ladder we are climbing and signals discount in the two segments where we chase margin leadership.</t>
        </is>
      </c>
    </row>
    <row r="30">
      <c r="A30" s="200" t="inlineStr">
        <is>
          <t>Recreation is the price battleground</t>
        </is>
      </c>
      <c r="B30" s="260" t="inlineStr">
        <is>
          <t>Its three winners are simply the cheapest bikes in the game. Recreation stays parked.</t>
        </is>
      </c>
    </row>
    <row r="33">
      <c r="A33" s="199" t="inlineStr">
        <is>
          <t>SALES PRIORITY — the trade-off</t>
        </is>
      </c>
      <c r="B33" s="259" t="inlineStr">
        <is>
          <t>Detail</t>
        </is>
      </c>
    </row>
    <row r="34">
      <c r="A34" s="200" t="inlineStr">
        <is>
          <t>SHARE says promote Hike Bike</t>
        </is>
      </c>
      <c r="B34" s="260" t="inlineStr">
        <is>
          <t>Market Performance = avg share x pct served, and share is units / SEGMENT demand. Mountain demand is 1,621 vs Speed 2,878, so one Mountain unit = 0.0617 share points against 0.0347 for a Speed unit — a Mountain unit is worth 1.78x. This is division, not estimation.</t>
        </is>
      </c>
    </row>
    <row r="35">
      <c r="A35" s="200" t="inlineStr">
        <is>
          <t>MARGIN says promote Swift Bike</t>
        </is>
      </c>
      <c r="B35" s="260" t="inlineStr">
        <is>
          <t>Hike Bike contributes $747/unit; Swift at $1,580 contributes $886 — $139 more, and the 14-speed swap should widen it since the feature text says fewer parts than the 24-speed it replaces.</t>
        </is>
      </c>
    </row>
    <row r="36">
      <c r="A36" s="200" t="inlineStr">
        <is>
          <t>But Q3 says the field did nothing</t>
        </is>
      </c>
      <c r="B36" s="262" t="inlineStr">
        <is>
          <t>We set Hike Bike to priority 1 in Q3 and it stocked out 32.5% while Swift stocked out 32.6%. If priority rationed production, Hike Bike should have filled FIRST. It did not — the shortfall went roughly PRO-RATA. The mechanism is UNVERIFIED; do not treat priority as insurance.</t>
        </is>
      </c>
    </row>
    <row r="37">
      <c r="A37" s="200" t="inlineStr">
        <is>
          <t>And the stake is tiny at plan</t>
        </is>
      </c>
      <c r="B37" s="260" t="inlineStr">
        <is>
          <t>At the planned 17-unit shortfall the whole question is worth about $2,363. It only matters if demand overshoots — which it plausibly will once the ad rebuilds, web rebuild, Rio staffing and Biking concentration all land together.</t>
        </is>
      </c>
    </row>
    <row r="38">
      <c r="A38" s="206" t="inlineStr">
        <is>
          <t>DECISION: leave it (Hike 1, Swift 2)</t>
        </is>
      </c>
      <c r="B38" s="261" t="inlineStr">
        <is>
          <t>Mountain is the one position we can hold — 22.1% share, a product TIED for best at 73, and a Rio monopoly delivering 58% of Rio Mountain, versus 6th place and the 2nd-worst product in Speed. The margin case looks strong only through Financial Performance, whose numerator is ~$132,975, so any marginal dollar swings it wildly — an artefact of being barely profitable that breaks entirely if Q4 posts a loss. Prefer the stable arithmetic. And the $130 price rise is captured on every Swift bike we DO sell either way; priority only decides the last few units.</t>
        </is>
      </c>
    </row>
    <row r="41">
      <c r="A41" s="199" t="inlineStr">
        <is>
          <t>CHECK ON THE SCREEN</t>
        </is>
      </c>
      <c r="B41" s="259" t="inlineStr">
        <is>
          <t>Why</t>
        </is>
      </c>
    </row>
    <row r="42">
      <c r="A42" s="200" t="inlineStr">
        <is>
          <t>'Available for Sale' is BLANK for both</t>
        </is>
      </c>
      <c r="B42" s="262" t="inlineStr">
        <is>
          <t>Confirm both brands are actually enabled for World Market. We are spending ~$33,000 on web tactics and taking web staff from 3 to 7 this quarter — if a brand is not flagged available in the web channel, none of that can convert. A blank field is exactly how a brand silently fails to list.</t>
        </is>
      </c>
    </row>
    <row r="43">
      <c r="A43" s="200" t="inlineStr">
        <is>
          <t>Is this screen global or per-market?</t>
        </is>
      </c>
      <c r="B43" s="260" t="inlineStr">
        <is>
          <t>It is headed 'World Market', our web centre. Check whether Amsterdam and Rio have their own price screens. Q3 reported ONE price per brand industry-wide, suggesting pricing is global — but if it is per-market, both prices must be entered in all three places.</t>
        </is>
      </c>
    </row>
    <row r="44">
      <c r="A44" s="200" t="inlineStr">
        <is>
          <t>Sequencing</t>
        </is>
      </c>
      <c r="B44" s="260" t="inlineStr">
        <is>
          <t>Do the price rise in the SAME quarter as the design fix (24sp -&gt; 14sp, add decals =&gt; 77). A price rise on the 2nd-worst Speed product invites resistance; the same rise on a joint-best product does not.</t>
        </is>
      </c>
    </row>
  </sheetData>
  <mergeCells count="1">
    <mergeCell ref="A2:F2"/>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style="146" min="1" max="1"/>
    <col width="88" customWidth="1" style="146" min="2" max="2"/>
    <col width="20" customWidth="1" style="146" min="3" max="3"/>
    <col width="16" customWidth="1" style="146" min="4" max="4"/>
    <col width="18" customWidth="1" style="146" min="5" max="5"/>
    <col width="20" customWidth="1" style="146" min="6" max="6"/>
    <col width="26" customWidth="1" style="146" min="7" max="7"/>
  </cols>
  <sheetData>
    <row r="1">
      <c r="A1" s="169" t="inlineStr">
        <is>
          <t>Q4 paid SEM — match the posted average on the bid, throttle with the budget</t>
        </is>
      </c>
    </row>
    <row r="2" ht="72" customHeight="1" s="146">
      <c r="A2" s="258" t="inlineStr">
        <is>
          <t>Paid search is demand generation that sits ABOVE organic. Q4 output is capped at 1,154 against a 1,171 forecast (demand already 17 over), so extra clicks are strictly negative for Market Performance — the same reason media volume was restrained. Do not sit out: BB LLC will buy the slot above HikeBike 1's organic #2. Enter $2.40 / $150 on HikeBike 1 and $1.95 / $80 on Swift Bike. Keywords = the agency set already attached to each page (Mountain / Speed). OPEN — majority vote required.</t>
        </is>
      </c>
    </row>
    <row r="4">
      <c r="A4" s="199" t="inlineStr">
        <is>
          <t>Page</t>
        </is>
      </c>
      <c r="B4" s="199" t="inlineStr">
        <is>
          <t>Segment / keywords</t>
        </is>
      </c>
      <c r="C4" s="199" t="inlineStr">
        <is>
          <t>Industry avg bid</t>
        </is>
      </c>
      <c r="D4" s="199" t="inlineStr">
        <is>
          <t>OUR max bid</t>
        </is>
      </c>
      <c r="E4" s="199" t="inlineStr">
        <is>
          <t>OUR max budget</t>
        </is>
      </c>
      <c r="F4" s="199" t="inlineStr">
        <is>
          <t>Clicks at max bid</t>
        </is>
      </c>
      <c r="G4" s="199" t="inlineStr">
        <is>
          <t>Clicks if CPC = 75% of bid</t>
        </is>
      </c>
    </row>
    <row r="5">
      <c r="A5" s="206" t="inlineStr">
        <is>
          <t>HikeBike 1</t>
        </is>
      </c>
      <c r="B5" s="206" t="inlineStr">
        <is>
          <t>Mountain (agency set)</t>
        </is>
      </c>
      <c r="C5" s="206" t="n">
        <v>2.4</v>
      </c>
      <c r="D5" s="206" t="n">
        <v>2.4</v>
      </c>
      <c r="E5" s="206" t="n">
        <v>150</v>
      </c>
      <c r="F5" s="206" t="n">
        <v>62.5</v>
      </c>
      <c r="G5" s="206" t="n">
        <v>83.3</v>
      </c>
    </row>
    <row r="6">
      <c r="A6" s="206" t="inlineStr">
        <is>
          <t>Swift Bike</t>
        </is>
      </c>
      <c r="B6" s="206" t="inlineStr">
        <is>
          <t>Speed (agency set)</t>
        </is>
      </c>
      <c r="C6" s="206" t="n">
        <v>1.95</v>
      </c>
      <c r="D6" s="206" t="n">
        <v>1.95</v>
      </c>
      <c r="E6" s="206" t="n">
        <v>80</v>
      </c>
      <c r="F6" s="206" t="n">
        <v>41</v>
      </c>
      <c r="G6" s="206" t="n">
        <v>54.7</v>
      </c>
    </row>
    <row r="7">
      <c r="A7" s="200" t="inlineStr">
        <is>
          <t>TOTAL</t>
        </is>
      </c>
      <c r="B7" s="200" t="inlineStr"/>
      <c r="C7" s="200" t="inlineStr"/>
      <c r="D7" s="200" t="inlineStr"/>
      <c r="E7" s="200" t="n">
        <v>230</v>
      </c>
      <c r="F7" s="200" t="n">
        <v>103.5</v>
      </c>
      <c r="G7" s="200" t="n">
        <v>138</v>
      </c>
    </row>
    <row r="10">
      <c r="A10" s="259" t="inlineStr">
        <is>
          <t>Why this split</t>
        </is>
      </c>
      <c r="B10" s="259" t="inlineStr">
        <is>
          <t>Detail</t>
        </is>
      </c>
    </row>
    <row r="11">
      <c r="A11" s="260" t="inlineStr">
        <is>
          <t>Bid matches the posted average</t>
        </is>
      </c>
      <c r="B11" s="260" t="inlineStr">
        <is>
          <t>Classmates unlocking paid SEM will be the ones who bid $3–$4. Matching $2.40 / $1.95 IS the lecture's moderate bid: we stay in the auction all quarter as they exhaust.</t>
        </is>
      </c>
    </row>
    <row r="12">
      <c r="A12" s="260" t="inlineStr">
        <is>
          <t>Budget is the volume throttle</t>
        </is>
      </c>
      <c r="B12" s="260" t="inlineStr">
        <is>
          <t>$150 / $80 caps us at ~104 clicks if we pay the full bid. A $1,000 Hike budget would cap at 417 clicks we cannot build.</t>
        </is>
      </c>
    </row>
    <row r="13">
      <c r="A13" s="260" t="inlineStr">
        <is>
          <t>Hike Bike gets the larger budget</t>
        </is>
      </c>
      <c r="B13" s="260" t="inlineStr">
        <is>
          <t>Primary segment. Organic #2 (115 clicks) must not lose the slot above it to BB LLC. One Mountain unit = 1.78x a Speed unit for Market Performance. Ad 80 (heading to 81–82) is a quality-score advantage, so actual CPC should land below $2.40.</t>
        </is>
      </c>
    </row>
    <row r="14">
      <c r="A14" s="260" t="inlineStr">
        <is>
          <t>Swift Bike gets the probe budget</t>
        </is>
      </c>
      <c r="B14" s="260" t="inlineStr">
        <is>
          <t>Secondary segment, smallest search pool (894), Speed rank is not predicted by ad judgment, and the 72→77 brand + 70→77 ad + $1,450→$1,580 price are already adding Speed demand.</t>
        </is>
      </c>
    </row>
    <row r="15">
      <c r="A15" s="260" t="inlineStr">
        <is>
          <t>Do not bid $0</t>
        </is>
      </c>
      <c r="B15" s="260" t="inlineStr">
        <is>
          <t>Paid listings render above organic. Sitting out hands BB LLC the intercept on Mountain searches. We still have organic after the budget caps; we just do not surrender the sponsored slot for the whole quarter.</t>
        </is>
      </c>
    </row>
    <row r="16">
      <c r="A16" s="260" t="inlineStr">
        <is>
          <t>Do not bid above the average</t>
        </is>
      </c>
      <c r="B16" s="260" t="inlineStr">
        <is>
          <t>Starts the Q5 bid-inflation the lecture warns about, spends the small budget in days (high bid + small budget = the trap), and buys demand the 24 printers cannot fill.</t>
        </is>
      </c>
    </row>
    <row r="17">
      <c r="A17" s="260" t="inlineStr">
        <is>
          <t>Keywords are already set</t>
        </is>
      </c>
      <c r="B17" s="260" t="inlineStr">
        <is>
          <t>Choosing the segment when the page was created attached the agency keyword set. HikeBike 1 = Mountain. Swift Bike = Speed. Do not retarget either page at Recreation.</t>
        </is>
      </c>
    </row>
    <row r="18">
      <c r="A18" s="260" t="inlineStr">
        <is>
          <t>Cash is not the issue</t>
        </is>
      </c>
      <c r="B18" s="260" t="inlineStr">
        <is>
          <t>$230 is noise against the ~$146k operating plan and the $950k loan. The cost of over-bidding is unmet demand, not the click invoice.</t>
        </is>
      </c>
    </row>
    <row r="19">
      <c r="A19" s="260" t="inlineStr">
        <is>
          <t>Q5 is when this scales</t>
        </is>
      </c>
      <c r="B19" s="260" t="inlineStr">
        <is>
          <t>Two printers land next quarter (~40/day). Raise budgets toward $400–$600/page and re-read the new posted averages. Extra clicks can be filled then.</t>
        </is>
      </c>
    </row>
    <row r="22">
      <c r="A22" s="199" t="inlineStr">
        <is>
          <t>Rejected alternatives</t>
        </is>
      </c>
      <c r="B22" s="199" t="inlineStr">
        <is>
          <t>Bid Hike / Swift</t>
        </is>
      </c>
      <c r="C22" s="199" t="inlineStr">
        <is>
          <t>Budget Hike / Swift</t>
        </is>
      </c>
      <c r="D22" s="259" t="inlineStr">
        <is>
          <t>Why not</t>
        </is>
      </c>
    </row>
    <row r="23">
      <c r="A23" s="200" t="inlineStr">
        <is>
          <t>Sit out paid SEM</t>
        </is>
      </c>
      <c r="B23" s="200" t="inlineStr">
        <is>
          <t>$0 / $0</t>
        </is>
      </c>
      <c r="C23" s="200" t="inlineStr">
        <is>
          <t>$0 / $0</t>
        </is>
      </c>
      <c r="D23" s="260" t="inlineStr">
        <is>
          <t>Hands BB LLC the sponsored slot above our Mountain organic #2.</t>
        </is>
      </c>
    </row>
    <row r="24">
      <c r="A24" s="200" t="inlineStr">
        <is>
          <t>Shade 15c below average</t>
        </is>
      </c>
      <c r="B24" s="200" t="inlineStr">
        <is>
          <t>$2.25 / $1.80</t>
        </is>
      </c>
      <c r="C24" s="200" t="inlineStr">
        <is>
          <t>$150 / $80</t>
        </is>
      </c>
      <c r="D24" s="260" t="inlineStr">
        <is>
          <t>Fine if the auction is sleepy; risky if 6 classmates open at $3+. Match is safer.</t>
        </is>
      </c>
    </row>
    <row r="25">
      <c r="A25" s="200" t="inlineStr">
        <is>
          <t>Copy a 'win the auction' bid</t>
        </is>
      </c>
      <c r="B25" s="200" t="inlineStr">
        <is>
          <t>$3.50 / $3.00</t>
        </is>
      </c>
      <c r="C25" s="200" t="inlineStr">
        <is>
          <t>$1,000 / $600</t>
        </is>
      </c>
      <c r="D25" s="260" t="inlineStr">
        <is>
          <t>Burns cash in days, inflates Q5 averages, and dumps 400+ clicks on a 17-unit hole.</t>
        </is>
      </c>
    </row>
    <row r="26">
      <c r="A26" s="200" t="inlineStr">
        <is>
          <t>Equal budgets</t>
        </is>
      </c>
      <c r="B26" s="200" t="inlineStr">
        <is>
          <t>$2.40 / $1.95</t>
        </is>
      </c>
      <c r="C26" s="200" t="inlineStr">
        <is>
          <t>$115 / $115</t>
        </is>
      </c>
      <c r="D26" s="260" t="inlineStr">
        <is>
          <t>Ignores Mountain-primary and the organic-#2 defense. Speed is the smaller search pool.</t>
        </is>
      </c>
    </row>
  </sheetData>
  <mergeCells count="1">
    <mergeCell ref="A2:G2"/>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50" customWidth="1" style="146" min="1" max="1"/>
    <col width="16" customWidth="1" style="146" min="2" max="2"/>
    <col width="100" customWidth="1" style="146" min="3" max="3"/>
    <col width="44" customWidth="1" style="146" min="4" max="4"/>
    <col width="14" customWidth="1" style="146" min="5" max="5"/>
  </cols>
  <sheetData>
    <row r="1">
      <c r="A1" s="169" t="inlineStr">
        <is>
          <t>Q4 social media — START Social Networking at $10,000</t>
        </is>
      </c>
    </row>
    <row r="2" ht="58" customHeight="1" s="146">
      <c r="A2" s="258" t="inlineStr">
        <is>
          <t>THE CASE IS ENTIRELY ABOUT TIMING. Media inserts deliver demand THIS quarter, which is why we cut them — Q4 output is capped at 1,154 units against a 1,171 forecast. Social media delivers almost NO demand this quarter (the brief says so explicitly) and matures in Q5-Q6, exactly when two new printers take capacity to 1,924 units and a New York store opens. Its ramp curve matches our capacity curve. And the clock only runs once we start: waiting does not skip the learning curve, it shifts it right.</t>
        </is>
      </c>
    </row>
    <row r="4">
      <c r="A4" s="199" t="inlineStr">
        <is>
          <t>TIMING — ramp curve vs capacity curve</t>
        </is>
      </c>
      <c r="B4" s="199" t="inlineStr">
        <is>
          <t>Capacity (units)</t>
        </is>
      </c>
      <c r="C4" s="199" t="inlineStr">
        <is>
          <t>Social media state</t>
        </is>
      </c>
      <c r="D4" s="199" t="inlineStr">
        <is>
          <t>Can we use new demand?</t>
        </is>
      </c>
    </row>
    <row r="5">
      <c r="A5" s="200" t="inlineStr">
        <is>
          <t>Q4</t>
        </is>
      </c>
      <c r="B5" s="220" t="n">
        <v>1154</v>
      </c>
      <c r="C5" s="200" t="inlineStr">
        <is>
          <t>contributes ~nothing</t>
        </is>
      </c>
      <c r="D5" s="204" t="inlineStr">
        <is>
          <t>NO — capped, forecast already 1,171</t>
        </is>
      </c>
    </row>
    <row r="6">
      <c r="A6" s="200" t="inlineStr">
        <is>
          <t>Q5</t>
        </is>
      </c>
      <c r="B6" s="220" t="n">
        <v>1924</v>
      </c>
      <c r="C6" s="200" t="inlineStr">
        <is>
          <t>starting to work</t>
        </is>
      </c>
      <c r="D6" s="206" t="inlineStr">
        <is>
          <t>YES — 2 printers land, New York opens</t>
        </is>
      </c>
    </row>
    <row r="7">
      <c r="A7" s="200" t="inlineStr">
        <is>
          <t>Q6</t>
        </is>
      </c>
      <c r="B7" s="220" t="n">
        <v>1924</v>
      </c>
      <c r="C7" s="200" t="inlineStr">
        <is>
          <t>near peak</t>
        </is>
      </c>
      <c r="D7" s="206" t="inlineStr">
        <is>
          <t>YES — needs several hundred new units</t>
        </is>
      </c>
    </row>
    <row r="10">
      <c r="A10" s="199" t="inlineStr">
        <is>
          <t>WHY NOT WAIT</t>
        </is>
      </c>
      <c r="B10" s="259" t="inlineStr">
        <is>
          <t>Detail</t>
        </is>
      </c>
    </row>
    <row r="11">
      <c r="A11" s="200" t="inlineStr">
        <is>
          <t>The clock is start-date driven, not calendar driven</t>
        </is>
      </c>
      <c r="B11" s="260" t="inlineStr">
        <is>
          <t>The tip is explicit: 'if you decide to wait, you just push back the time it takes for search engines to do their work and your social media team to learn.' Delaying does not let us skip the ramp later — it moves the whole curve right. Every quarter of delay is a quarter of maturity we can never recover.</t>
        </is>
      </c>
    </row>
    <row r="12">
      <c r="A12" s="200" t="inlineStr">
        <is>
          <t>Two independent sources of delay</t>
        </is>
      </c>
      <c r="B12" s="260" t="inlineStr">
        <is>
          <t>Search engines must find and cross-list us, AND our own team must learn by trial and error. Neither can be bought later.</t>
        </is>
      </c>
    </row>
    <row r="13">
      <c r="A13" s="200" t="inlineStr">
        <is>
          <t>Same logic as the rapid R&amp;D schedule</t>
        </is>
      </c>
      <c r="B13" s="260" t="inlineStr">
        <is>
          <t>When the scarce resource is TIME rather than money, buy time. The team already accepted that reasoning when scheduling both R&amp;D projects as 1-quarter.</t>
        </is>
      </c>
    </row>
    <row r="16">
      <c r="A16" s="199" t="inlineStr">
        <is>
          <t>NO COMPETITOR BENCHMARK EXISTS (verified across all 52 sheets)</t>
        </is>
      </c>
      <c r="B16" s="259" t="inlineStr">
        <is>
          <t>Detail</t>
        </is>
      </c>
    </row>
    <row r="17">
      <c r="A17" s="200" t="inlineStr">
        <is>
          <t>Zero social media data anywhere</t>
        </is>
      </c>
      <c r="B17" s="260" t="inlineStr">
        <is>
          <t>Checked Competitor Profiles, Media, Organic SEM, Ad Judgment and Web Ops. Nothing. The Q2 internet-marketing background listed social as a tool that 'unlocks over later quarters' — this is that unlock.</t>
        </is>
      </c>
    </row>
    <row r="18">
      <c r="A18" s="200" t="inlineStr">
        <is>
          <t>So EVERY firm starts from zero</t>
        </is>
      </c>
      <c r="B18" s="260" t="inlineStr">
        <is>
          <t>For once we are not behind. Every rival faces the same unknown effectiveness and the same ramp delay, starting now.</t>
        </is>
      </c>
    </row>
    <row r="19">
      <c r="A19" s="200" t="inlineStr">
        <is>
          <t>Spend anchors we DO have</t>
        </is>
      </c>
      <c r="B19" s="260" t="inlineStr">
        <is>
          <t>Organic SEM page $1,000 (industry-wide) · ad design $6,000 · Biking insert $4,500 · BB LLC web tactics: toll-free $9,000, page upgrades $9,000, order tracking $8,000, cart $7,000. The sim's unit for one meaningful activity is roughly $5,000-$10,000 a quarter.</t>
        </is>
      </c>
    </row>
    <row r="22">
      <c r="A22" s="199" t="inlineStr">
        <is>
          <t>WHICH MEDIUM — needs evidence</t>
        </is>
      </c>
      <c r="B22" s="199" t="inlineStr">
        <is>
          <t>Mountain</t>
        </is>
      </c>
      <c r="C22" s="199" t="inlineStr">
        <is>
          <t>Speed</t>
        </is>
      </c>
      <c r="D22" s="259" t="inlineStr">
        <is>
          <t>Fit</t>
        </is>
      </c>
    </row>
    <row r="23">
      <c r="A23" s="206" t="inlineStr">
        <is>
          <t>Status symbol/exclusivity</t>
        </is>
      </c>
      <c r="B23" s="206" t="n">
        <v>121</v>
      </c>
      <c r="C23" s="206" t="n">
        <v>116</v>
      </c>
      <c r="D23" s="261" t="inlineStr">
        <is>
          <t>Social Networking (identity/image cluster)</t>
        </is>
      </c>
    </row>
    <row r="24">
      <c r="A24" s="206" t="inlineStr">
        <is>
          <t>Colorful</t>
        </is>
      </c>
      <c r="B24" s="206" t="n">
        <v>120</v>
      </c>
      <c r="C24" s="206" t="n">
        <v>109</v>
      </c>
      <c r="D24" s="261" t="inlineStr">
        <is>
          <t>Social Networking (identity/image cluster)</t>
        </is>
      </c>
    </row>
    <row r="25">
      <c r="A25" s="206" t="inlineStr">
        <is>
          <t>Stylish</t>
        </is>
      </c>
      <c r="B25" s="206" t="n">
        <v>118</v>
      </c>
      <c r="C25" s="206" t="n">
        <v>116</v>
      </c>
      <c r="D25" s="261" t="inlineStr">
        <is>
          <t>Social Networking (identity/image cluster)</t>
        </is>
      </c>
    </row>
    <row r="26">
      <c r="A26" s="206" t="inlineStr">
        <is>
          <t>Feel young at heart</t>
        </is>
      </c>
      <c r="B26" s="206" t="n">
        <v>115</v>
      </c>
      <c r="C26" s="206" t="n">
        <v>117</v>
      </c>
      <c r="D26" s="261" t="inlineStr">
        <is>
          <t>Social Networking (identity/image cluster)</t>
        </is>
      </c>
    </row>
    <row r="27">
      <c r="A27" s="206" t="inlineStr">
        <is>
          <t>Fits rider's personality</t>
        </is>
      </c>
      <c r="B27" s="206" t="n">
        <v>113</v>
      </c>
      <c r="C27" s="206" t="n">
        <v>116</v>
      </c>
      <c r="D27" s="261" t="inlineStr">
        <is>
          <t>Social Networking (identity/image cluster)</t>
        </is>
      </c>
    </row>
    <row r="28">
      <c r="A28" s="200" t="inlineStr">
        <is>
          <t>Rider expertise required</t>
        </is>
      </c>
      <c r="B28" s="200" t="n">
        <v>123</v>
      </c>
      <c r="C28" s="200" t="n">
        <v>126</v>
      </c>
      <c r="D28" s="260" t="inlineStr">
        <is>
          <t>Blog / Newsletter — Q6 candidate</t>
        </is>
      </c>
    </row>
    <row r="29">
      <c r="A29" s="200" t="inlineStr">
        <is>
          <t>Provides competitive advantage</t>
        </is>
      </c>
      <c r="B29" s="200" t="n">
        <v>117</v>
      </c>
      <c r="C29" s="200" t="n">
        <v>124</v>
      </c>
      <c r="D29" s="260" t="inlineStr">
        <is>
          <t>Blog / Newsletter — Q6 candidate</t>
        </is>
      </c>
    </row>
    <row r="31">
      <c r="A31" s="170" t="inlineStr">
        <is>
          <t>Social Networking maps onto five needs that ALL score 109-121 in BOTH our segments — the same cluster the bright-colourful-decals R&amp;D project targets, so the two reinforce each other. No reason to override the agency. PRE-REGISTERING Q5: VIDEO SHARING. Bicycles are a visual action product and the most-used benefit in the whole industry is a PICTURE ('rider on a steep trail' on 4 of 4 Mountain ads, 'road race' on 8 of 8 Speed ads). Video extends the one creative device every firm already agrees on. Q6: Blog, for 'Rider expertise required' (Mtn 123, Speed 126) — a top-scoring need we currently do nothing about.</t>
        </is>
      </c>
    </row>
    <row r="32">
      <c r="A32" s="199" t="inlineStr">
        <is>
          <t>BUDGET OPTIONS</t>
        </is>
      </c>
      <c r="B32" s="199" t="inlineStr">
        <is>
          <t>Amount</t>
        </is>
      </c>
      <c r="C32" s="259" t="inlineStr">
        <is>
          <t>Read</t>
        </is>
      </c>
    </row>
    <row r="33">
      <c r="A33" s="200" t="inlineStr">
        <is>
          <t>Skip it</t>
        </is>
      </c>
      <c r="B33" s="232" t="n">
        <v>0</v>
      </c>
      <c r="C33" s="260" t="inlineStr">
        <is>
          <t>Only defensible if the simulation ends at Q5. A channel needing 'a few quarters' to mature would never pay back.</t>
        </is>
      </c>
    </row>
    <row r="34">
      <c r="A34" s="200" t="inlineStr">
        <is>
          <t>Pure clock-start</t>
        </is>
      </c>
      <c r="B34" s="232" t="n">
        <v>5000</v>
      </c>
      <c r="C34" s="260" t="inlineStr">
        <is>
          <t>Cheapest way to avoid losing a quarter of ramp.</t>
        </is>
      </c>
    </row>
    <row r="35">
      <c r="A35" s="222" t="inlineStr">
        <is>
          <t>RECOMMENDED</t>
        </is>
      </c>
      <c r="B35" s="274" t="n">
        <v>10000</v>
      </c>
      <c r="C35" s="263" t="inlineStr">
        <is>
          <t>Top of the sim's observed per-activity unit, so credible rather than token. Starts the clock, buys the MEASUREMENT cheaply, and is 1% of the loan. Same principle the team already accepted on R&amp;D: calibrate first, then size the bet.</t>
        </is>
      </c>
    </row>
    <row r="36">
      <c r="A36" s="200" t="inlineStr">
        <is>
          <t>Aggressive</t>
        </is>
      </c>
      <c r="B36" s="232" t="n">
        <v>20000</v>
      </c>
      <c r="C36" s="260" t="inlineStr">
        <is>
          <t>Only if the team believes trial-and-error learning scales with headcount. The brief pulls both ways — budget drives headcount, but the delay is attributed to INEXPERIENCE, and a bigger team during the ramp is a bigger team that does not yet know what it is doing.</t>
        </is>
      </c>
    </row>
    <row r="39">
      <c r="A39" s="199" t="inlineStr">
        <is>
          <t>REVISED Q4 CASH</t>
        </is>
      </c>
      <c r="B39" s="199" t="inlineStr">
        <is>
          <t>Amount</t>
        </is>
      </c>
      <c r="C39" s="259" t="inlineStr">
        <is>
          <t>Note</t>
        </is>
      </c>
    </row>
    <row r="40">
      <c r="A40" s="200" t="inlineStr">
        <is>
          <t>R&amp;D — decals + 11-speed, listed</t>
        </is>
      </c>
      <c r="B40" s="220" t="n">
        <v>677669</v>
      </c>
      <c r="C40" s="260" t="inlineStr"/>
    </row>
    <row r="41">
      <c r="A41" s="200" t="inlineStr">
        <is>
          <t>R&amp;D rapid premium (~30% ESTIMATE)</t>
        </is>
      </c>
      <c r="B41" s="220" t="n">
        <v>203301</v>
      </c>
      <c r="C41" s="260" t="inlineStr">
        <is>
          <t>biggest unknown in the plan</t>
        </is>
      </c>
    </row>
    <row r="42">
      <c r="A42" s="200" t="inlineStr">
        <is>
          <t>Operating plan, recurring</t>
        </is>
      </c>
      <c r="B42" s="220" t="n">
        <v>75000</v>
      </c>
      <c r="C42" s="260" t="inlineStr">
        <is>
          <t>was $146,000 — media swings from +$27,000 to -$44,000 under Option C</t>
        </is>
      </c>
    </row>
    <row r="43">
      <c r="A43" s="200" t="inlineStr">
        <is>
          <t>Operating plan, one-time</t>
        </is>
      </c>
      <c r="B43" s="220" t="n">
        <v>67000</v>
      </c>
      <c r="C43" s="260" t="inlineStr">
        <is>
          <t>hiring and setup</t>
        </is>
      </c>
    </row>
    <row r="44">
      <c r="A44" s="200" t="inlineStr">
        <is>
          <t>Swift Bike brand redesign</t>
        </is>
      </c>
      <c r="B44" s="220" t="n">
        <v>30000</v>
      </c>
      <c r="C44" s="260" t="inlineStr">
        <is>
          <t>14-speed + decals =&gt; 77</t>
        </is>
      </c>
    </row>
    <row r="45">
      <c r="A45" s="200" t="inlineStr">
        <is>
          <t>Swift Bike ad redesign</t>
        </is>
      </c>
      <c r="B45" s="220" t="n">
        <v>10000</v>
      </c>
      <c r="C45" s="260" t="inlineStr">
        <is>
          <t>AndStill's stack</t>
        </is>
      </c>
    </row>
    <row r="46">
      <c r="A46" s="200" t="inlineStr">
        <is>
          <t>HikeBike 1 ad redesign</t>
        </is>
      </c>
      <c r="B46" s="220" t="n">
        <v>10000</v>
      </c>
      <c r="C46" s="260" t="inlineStr">
        <is>
          <t>BB LLC's stack — this was missing from my earlier table</t>
        </is>
      </c>
    </row>
    <row r="47">
      <c r="A47" s="200" t="inlineStr">
        <is>
          <t>Printers #4 and #5</t>
        </is>
      </c>
      <c r="B47" s="220" t="n">
        <v>480000</v>
      </c>
      <c r="C47" s="260" t="inlineStr">
        <is>
          <t>arrive Q5, when New York opens</t>
        </is>
      </c>
    </row>
    <row r="48">
      <c r="A48" s="222" t="inlineStr">
        <is>
          <t>SOCIAL NETWORKING</t>
        </is>
      </c>
      <c r="B48" s="265" t="n">
        <v>10000</v>
      </c>
      <c r="C48" s="263" t="inlineStr">
        <is>
          <t>NEW — starts the ramp clock</t>
        </is>
      </c>
    </row>
    <row r="49">
      <c r="A49" s="200" t="inlineStr">
        <is>
          <t>TOTAL USES</t>
        </is>
      </c>
      <c r="B49" s="220" t="n">
        <v>1562970</v>
      </c>
      <c r="C49" s="260" t="inlineStr"/>
    </row>
    <row r="50">
      <c r="A50" s="200" t="inlineStr">
        <is>
          <t>Cash on hand</t>
        </is>
      </c>
      <c r="B50" s="220" t="n">
        <v>1010838</v>
      </c>
      <c r="C50" s="260" t="inlineStr"/>
    </row>
    <row r="51">
      <c r="A51" s="200" t="inlineStr">
        <is>
          <t>Bank loan</t>
        </is>
      </c>
      <c r="B51" s="220" t="n">
        <v>950000</v>
      </c>
      <c r="C51" s="260" t="inlineStr">
        <is>
          <t>7% annual</t>
        </is>
      </c>
    </row>
    <row r="52">
      <c r="A52" s="200" t="inlineStr">
        <is>
          <t>Total available</t>
        </is>
      </c>
      <c r="B52" s="220" t="n">
        <v>1960838</v>
      </c>
      <c r="C52" s="260" t="inlineStr"/>
    </row>
    <row r="53">
      <c r="A53" s="200" t="inlineStr">
        <is>
          <t>ENDING CASH</t>
        </is>
      </c>
      <c r="B53" s="220" t="n">
        <v>397868</v>
      </c>
      <c r="C53" s="260" t="inlineStr"/>
    </row>
    <row r="54">
      <c r="A54" s="200" t="inlineStr">
        <is>
          <t>Hard floor</t>
        </is>
      </c>
      <c r="B54" s="220" t="n">
        <v>300000</v>
      </c>
      <c r="C54" s="260" t="inlineStr">
        <is>
          <t>ending Cash + CD must stay at or above</t>
        </is>
      </c>
    </row>
    <row r="55">
      <c r="A55" s="223" t="inlineStr">
        <is>
          <t>HEADROOM ABOVE FLOOR</t>
        </is>
      </c>
      <c r="B55" s="267" t="n">
        <v>97868</v>
      </c>
      <c r="C55" s="268" t="inlineStr"/>
    </row>
    <row r="57">
      <c r="A57" s="170" t="inlineStr">
        <is>
          <t>THE MEDIA DECISION FUNDED THIS OUTRIGHT. Option C takes inserts from $116,000 to $72,000; against the superseded Option B (+$27,000) that is a $71,000 swing, seven times the social media budget. We are not adding spend — we are REALLOCATING it out of a channel that would have generated demand we cannot build, into one that generates demand exactly when we can. Note the HikeBike 1 ad redesign fee was missing from my earlier sources-and-uses table and is now included.</t>
        </is>
      </c>
    </row>
    <row r="58">
      <c r="A58" s="199" t="inlineStr">
        <is>
          <t>THE CASE AGAINST</t>
        </is>
      </c>
      <c r="B58" s="259" t="inlineStr">
        <is>
          <t>Rebuttal</t>
        </is>
      </c>
    </row>
    <row r="59">
      <c r="A59" s="200" t="inlineStr">
        <is>
          <t>Attribution will be impossible — Q4 already changes 11 other things</t>
        </is>
      </c>
      <c r="B59" s="260" t="inlineStr">
        <is>
          <t>Real. But it argues for a SMALL STEADY budget we do not fiddle with, not for delay. Delay does not improve attribution; it just costs a quarter of ramp.</t>
        </is>
      </c>
    </row>
    <row r="60">
      <c r="A60" s="200" t="inlineStr">
        <is>
          <t>We are last and should fix basics first</t>
        </is>
      </c>
      <c r="B60" s="260" t="inlineStr">
        <is>
          <t>Also true, and precisely why the number is $10,000 not $50,000. At 1% of the loan it does not compete with the capacity and web fixes for resources.</t>
        </is>
      </c>
    </row>
    <row r="61">
      <c r="A61" s="200" t="inlineStr">
        <is>
          <t>Effectiveness may be zero for carbon bikes</t>
        </is>
      </c>
      <c r="B61" s="260" t="inlineStr">
        <is>
          <t>Which is why we buy the small version. And 'You can stop these activities at any time' — this is a cheap OPTION, not a commitment.</t>
        </is>
      </c>
    </row>
    <row r="62">
      <c r="A62" s="200" t="inlineStr">
        <is>
          <t>HOW MANY QUARTERS REMAIN? — the real caveat</t>
        </is>
      </c>
      <c r="B62" s="262" t="inlineStr">
        <is>
          <t>Same unanswered question hanging over the R&amp;D schedule. If the sim ends at Q5, the honest answer is $0. If it runs to Q6+, starting now is clearly right. The ASYMMETRY is why I still recommend starting: downside $10,000, upside a matured demand channel, and we can stop any time.</t>
        </is>
      </c>
    </row>
    <row r="65">
      <c r="A65" s="199" t="inlineStr">
        <is>
          <t>DECISION</t>
        </is>
      </c>
      <c r="B65" s="259" t="inlineStr">
        <is>
          <t>Action</t>
        </is>
      </c>
    </row>
    <row r="66">
      <c r="A66" s="200" t="inlineStr">
        <is>
          <t>Start Social Networking</t>
        </is>
      </c>
      <c r="B66" s="260" t="inlineStr">
        <is>
          <t>$10,000 for Q4.</t>
        </is>
      </c>
    </row>
    <row r="67">
      <c r="A67" s="200" t="inlineStr">
        <is>
          <t>Follow the agency's cadence</t>
        </is>
      </c>
      <c r="B67" s="260" t="inlineStr">
        <is>
          <t>One medium now, add one per quarter. Q5 Video sharing, Q6 Blog/Newsletter.</t>
        </is>
      </c>
    </row>
    <row r="68">
      <c r="A68" s="200" t="inlineStr">
        <is>
          <t>Expect nothing this quarter</t>
        </is>
      </c>
      <c r="B68" s="260" t="inlineStr">
        <is>
          <t>Judge it on the Q5 and Q6 trend, not on Q4 results.</t>
        </is>
      </c>
    </row>
    <row r="69">
      <c r="A69" s="200" t="inlineStr">
        <is>
          <t>Do not cut it later</t>
        </is>
      </c>
      <c r="B69" s="260" t="inlineStr">
        <is>
          <t>Cutting restarts the very clock we are paying to start. Hold the budget unless we see a signal.</t>
        </is>
      </c>
    </row>
    <row r="70">
      <c r="A70" s="200" t="inlineStr">
        <is>
          <t>Record the baseline</t>
        </is>
      </c>
      <c r="B70" s="260" t="inlineStr">
        <is>
          <t>Log the $10,000 now so Q5 has something clean to measure against.</t>
        </is>
      </c>
    </row>
    <row r="71">
      <c r="A71" s="200" t="inlineStr">
        <is>
          <t>Status</t>
        </is>
      </c>
      <c r="B71" s="260" t="inlineStr">
        <is>
          <t>ANALYSIS ONLY — majority vote required.</t>
        </is>
      </c>
    </row>
  </sheetData>
  <mergeCells count="1">
    <mergeCell ref="A2:E2"/>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46" customWidth="1" style="146" min="1" max="1"/>
    <col width="14" customWidth="1" style="146" min="2" max="2"/>
    <col width="100" customWidth="1" style="146" min="3" max="3"/>
    <col width="12" customWidth="1" style="146" min="4" max="4"/>
    <col width="12" customWidth="1" style="146" min="5" max="5"/>
    <col width="66" customWidth="1" style="146" min="6" max="6"/>
    <col width="14" customWidth="1" style="146" min="7" max="7"/>
  </cols>
  <sheetData>
    <row r="1">
      <c r="A1" s="169" t="inlineStr">
        <is>
          <t>Q4 sales force and stores — hire 7, train 2, open NO new store</t>
        </is>
      </c>
    </row>
    <row r="2" ht="58" customHeight="1" s="146">
      <c r="A2" s="258" t="inlineStr">
        <is>
          <t>ANSWER: YES change the people, NO change the stores. Train both untrained staff ($800), fill Rio's 3 open slots and take the web centre from 3 to 7. That clones BB LLC exactly — 14 store people, 7 web, 21 total, with 6 Mountain and 6 Speed specialists. But NO new store: printers arrive a quarter late, so Q4 capacity is 1,154 against a forecast that already assumes these hires. New York opens in Q5, into capacity that exists, entering via SPEED.</t>
        </is>
      </c>
    </row>
    <row r="4">
      <c r="A4" s="199" t="inlineStr">
        <is>
          <t>ROSTER — city by city</t>
        </is>
      </c>
      <c r="B4" s="199" t="inlineStr">
        <is>
          <t>Role</t>
        </is>
      </c>
      <c r="C4" s="199" t="inlineStr">
        <is>
          <t>Now</t>
        </is>
      </c>
      <c r="D4" s="199" t="inlineStr">
        <is>
          <t>Target</t>
        </is>
      </c>
      <c r="E4" s="199" t="inlineStr">
        <is>
          <t>Change</t>
        </is>
      </c>
      <c r="F4" s="259" t="inlineStr">
        <is>
          <t>How</t>
        </is>
      </c>
    </row>
    <row r="5">
      <c r="A5" s="200" t="inlineStr">
        <is>
          <t>Amsterdam</t>
        </is>
      </c>
      <c r="B5" s="200" t="inlineStr">
        <is>
          <t>Service</t>
        </is>
      </c>
      <c r="C5" s="200" t="n">
        <v>1</v>
      </c>
      <c r="D5" s="200" t="n">
        <v>1</v>
      </c>
      <c r="E5" s="200" t="n">
        <v>0</v>
      </c>
      <c r="F5" s="260" t="inlineStr">
        <is>
          <t>no change</t>
        </is>
      </c>
    </row>
    <row r="6">
      <c r="A6" s="200" t="inlineStr">
        <is>
          <t>Amsterdam</t>
        </is>
      </c>
      <c r="B6" s="200" t="inlineStr">
        <is>
          <t>Recreation</t>
        </is>
      </c>
      <c r="C6" s="200" t="n">
        <v>0</v>
      </c>
      <c r="D6" s="200" t="n">
        <v>0</v>
      </c>
      <c r="E6" s="200" t="n">
        <v>0</v>
      </c>
      <c r="F6" s="260" t="inlineStr">
        <is>
          <t>no change</t>
        </is>
      </c>
    </row>
    <row r="7">
      <c r="A7" s="200" t="inlineStr">
        <is>
          <t>Amsterdam</t>
        </is>
      </c>
      <c r="B7" s="200" t="inlineStr">
        <is>
          <t>Mountain</t>
        </is>
      </c>
      <c r="C7" s="200" t="n">
        <v>3</v>
      </c>
      <c r="D7" s="200" t="n">
        <v>3</v>
      </c>
      <c r="E7" s="200" t="n">
        <v>0</v>
      </c>
      <c r="F7" s="260" t="inlineStr">
        <is>
          <t>no change</t>
        </is>
      </c>
    </row>
    <row r="8">
      <c r="A8" s="200" t="inlineStr">
        <is>
          <t>Amsterdam</t>
        </is>
      </c>
      <c r="B8" s="200" t="inlineStr">
        <is>
          <t>Speed</t>
        </is>
      </c>
      <c r="C8" s="200" t="n">
        <v>2</v>
      </c>
      <c r="D8" s="200" t="n">
        <v>3</v>
      </c>
      <c r="E8" s="206" t="n">
        <v>1</v>
      </c>
      <c r="F8" s="260" t="inlineStr">
        <is>
          <t>TRAIN the 1 untrained -&gt; Speed ($400). NO HIRE — city is at the 7-person cap.</t>
        </is>
      </c>
    </row>
    <row r="9">
      <c r="A9" s="248" t="inlineStr">
        <is>
          <t>Amsterdam</t>
        </is>
      </c>
      <c r="B9" s="248" t="inlineStr">
        <is>
          <t>TOTAL</t>
        </is>
      </c>
      <c r="C9" s="248" t="n">
        <v>7</v>
      </c>
      <c r="D9" s="248" t="n">
        <v>7</v>
      </c>
      <c r="E9" s="248" t="n">
        <v>0</v>
      </c>
      <c r="F9" s="275" t="inlineStr">
        <is>
          <t>AT CAP already — 0 hires</t>
        </is>
      </c>
    </row>
    <row r="10">
      <c r="A10" s="200" t="inlineStr">
        <is>
          <t>Rio de Janeiro</t>
        </is>
      </c>
      <c r="B10" s="200" t="inlineStr">
        <is>
          <t>Service</t>
        </is>
      </c>
      <c r="C10" s="200" t="n">
        <v>1</v>
      </c>
      <c r="D10" s="200" t="n">
        <v>1</v>
      </c>
      <c r="E10" s="200" t="n">
        <v>0</v>
      </c>
      <c r="F10" s="260" t="inlineStr">
        <is>
          <t>no change</t>
        </is>
      </c>
    </row>
    <row r="11">
      <c r="A11" s="200" t="inlineStr">
        <is>
          <t>Rio de Janeiro</t>
        </is>
      </c>
      <c r="B11" s="200" t="inlineStr">
        <is>
          <t>Recreation</t>
        </is>
      </c>
      <c r="C11" s="200" t="n">
        <v>0</v>
      </c>
      <c r="D11" s="200" t="n">
        <v>0</v>
      </c>
      <c r="E11" s="200" t="n">
        <v>0</v>
      </c>
      <c r="F11" s="260" t="inlineStr">
        <is>
          <t>no change</t>
        </is>
      </c>
    </row>
    <row r="12">
      <c r="A12" s="200" t="inlineStr">
        <is>
          <t>Rio de Janeiro</t>
        </is>
      </c>
      <c r="B12" s="200" t="inlineStr">
        <is>
          <t>Mountain</t>
        </is>
      </c>
      <c r="C12" s="200" t="n">
        <v>1</v>
      </c>
      <c r="D12" s="200" t="n">
        <v>3</v>
      </c>
      <c r="E12" s="206" t="n">
        <v>2</v>
      </c>
      <c r="F12" s="260" t="inlineStr">
        <is>
          <t>TRAIN the 1 untrained -&gt; Mountain ($400), then HIRE +1</t>
        </is>
      </c>
    </row>
    <row r="13">
      <c r="A13" s="200" t="inlineStr">
        <is>
          <t>Rio de Janeiro</t>
        </is>
      </c>
      <c r="B13" s="200" t="inlineStr">
        <is>
          <t>Speed</t>
        </is>
      </c>
      <c r="C13" s="200" t="n">
        <v>1</v>
      </c>
      <c r="D13" s="200" t="n">
        <v>3</v>
      </c>
      <c r="E13" s="206" t="n">
        <v>2</v>
      </c>
      <c r="F13" s="260" t="inlineStr">
        <is>
          <t>HIRE +2</t>
        </is>
      </c>
    </row>
    <row r="14">
      <c r="A14" s="248" t="inlineStr">
        <is>
          <t>Rio de Janeiro</t>
        </is>
      </c>
      <c r="B14" s="248" t="inlineStr">
        <is>
          <t>TOTAL</t>
        </is>
      </c>
      <c r="C14" s="248" t="n">
        <v>4</v>
      </c>
      <c r="D14" s="248" t="n">
        <v>7</v>
      </c>
      <c r="E14" s="222" t="n">
        <v>3</v>
      </c>
      <c r="F14" s="275" t="inlineStr">
        <is>
          <t>fills all 3 open slots</t>
        </is>
      </c>
    </row>
    <row r="15">
      <c r="A15" s="200" t="inlineStr">
        <is>
          <t>Web centre</t>
        </is>
      </c>
      <c r="B15" s="200" t="inlineStr">
        <is>
          <t>Sales</t>
        </is>
      </c>
      <c r="C15" s="200" t="n">
        <v>2</v>
      </c>
      <c r="D15" s="200" t="n">
        <v>5</v>
      </c>
      <c r="E15" s="206" t="n">
        <v>3</v>
      </c>
      <c r="F15" s="260" t="inlineStr">
        <is>
          <t>BB LLC runs 5 sales + 2 service = 7</t>
        </is>
      </c>
    </row>
    <row r="16">
      <c r="A16" s="200" t="inlineStr">
        <is>
          <t>Web centre</t>
        </is>
      </c>
      <c r="B16" s="200" t="inlineStr">
        <is>
          <t>Service</t>
        </is>
      </c>
      <c r="C16" s="200" t="n">
        <v>1</v>
      </c>
      <c r="D16" s="200" t="n">
        <v>2</v>
      </c>
      <c r="E16" s="206" t="n">
        <v>1</v>
      </c>
      <c r="F16" s="260" t="inlineStr">
        <is>
          <t>BB LLC runs 5 sales + 2 service = 7</t>
        </is>
      </c>
    </row>
    <row r="17">
      <c r="A17" s="248" t="inlineStr">
        <is>
          <t>Web centre</t>
        </is>
      </c>
      <c r="B17" s="248" t="inlineStr">
        <is>
          <t>TOTAL</t>
        </is>
      </c>
      <c r="C17" s="248" t="n">
        <v>3</v>
      </c>
      <c r="D17" s="248" t="n">
        <v>7</v>
      </c>
      <c r="E17" s="222" t="n">
        <v>4</v>
      </c>
      <c r="F17" s="275" t="inlineStr">
        <is>
          <t>4 open slots — same 7-person ceiling as a store</t>
        </is>
      </c>
    </row>
    <row r="20">
      <c r="A20" s="199" t="inlineStr">
        <is>
          <t>SPECIALIST COUNT</t>
        </is>
      </c>
      <c r="B20" s="199" t="inlineStr">
        <is>
          <t>WeBike now</t>
        </is>
      </c>
      <c r="C20" s="199" t="inlineStr">
        <is>
          <t>WeBike Q4</t>
        </is>
      </c>
      <c r="D20" s="199" t="inlineStr">
        <is>
          <t>BB LLC</t>
        </is>
      </c>
      <c r="E20" s="259" t="inlineStr">
        <is>
          <t>Note</t>
        </is>
      </c>
    </row>
    <row r="21">
      <c r="A21" s="200" t="inlineStr">
        <is>
          <t>Service</t>
        </is>
      </c>
      <c r="B21" s="200" t="n">
        <v>2</v>
      </c>
      <c r="C21" s="200" t="n">
        <v>2</v>
      </c>
      <c r="D21" s="200" t="n">
        <v>2</v>
      </c>
      <c r="E21" s="260" t="inlineStr">
        <is>
          <t>Already at BB LLC's level.</t>
        </is>
      </c>
    </row>
    <row r="22">
      <c r="A22" s="200" t="inlineStr">
        <is>
          <t>Recreation</t>
        </is>
      </c>
      <c r="B22" s="200" t="n">
        <v>0</v>
      </c>
      <c r="C22" s="200" t="n">
        <v>0</v>
      </c>
      <c r="D22" s="200" t="n">
        <v>0</v>
      </c>
      <c r="E22" s="260" t="inlineStr">
        <is>
          <t>Stay at 0 — BB LLC also runs 0. Recreation is parked.</t>
        </is>
      </c>
    </row>
    <row r="23">
      <c r="A23" s="200" t="inlineStr">
        <is>
          <t>Mountain</t>
        </is>
      </c>
      <c r="B23" s="200" t="n">
        <v>4</v>
      </c>
      <c r="C23" s="200" t="n">
        <v>6</v>
      </c>
      <c r="D23" s="200" t="n">
        <v>6</v>
      </c>
      <c r="E23" s="260" t="inlineStr">
        <is>
          <t>Matches BB LLC, who took 46.3% Mountain share with exactly these 6.</t>
        </is>
      </c>
    </row>
    <row r="24">
      <c r="A24" s="200" t="inlineStr">
        <is>
          <t>Speed</t>
        </is>
      </c>
      <c r="B24" s="200" t="n">
        <v>3</v>
      </c>
      <c r="C24" s="200" t="n">
        <v>6</v>
      </c>
      <c r="D24" s="200" t="n">
        <v>6</v>
      </c>
      <c r="E24" s="261" t="inlineStr">
        <is>
          <t>DOUBLED — the largest segment (2,878 units) where we hold only 7.5%, and where we are ALSO fixing the product 72-&gt;77 and the ad 70-&gt;77 this quarter. Coverage is what lets those fixes convert.</t>
        </is>
      </c>
    </row>
    <row r="25">
      <c r="A25" s="248" t="inlineStr">
        <is>
          <t>Store people</t>
        </is>
      </c>
      <c r="B25" s="248" t="n">
        <v>11</v>
      </c>
      <c r="C25" s="248" t="n">
        <v>14</v>
      </c>
      <c r="D25" s="248" t="n">
        <v>14</v>
      </c>
      <c r="E25" s="275" t="inlineStr">
        <is>
          <t>exact match</t>
        </is>
      </c>
    </row>
    <row r="26">
      <c r="A26" s="248" t="inlineStr">
        <is>
          <t>Web people</t>
        </is>
      </c>
      <c r="B26" s="248" t="n">
        <v>3</v>
      </c>
      <c r="C26" s="248" t="n">
        <v>7</v>
      </c>
      <c r="D26" s="248" t="n">
        <v>7</v>
      </c>
      <c r="E26" s="275" t="inlineStr">
        <is>
          <t>exact match</t>
        </is>
      </c>
    </row>
    <row r="27">
      <c r="A27" s="248" t="inlineStr">
        <is>
          <t>TOTAL PEOPLE</t>
        </is>
      </c>
      <c r="B27" s="248" t="n">
        <v>14</v>
      </c>
      <c r="C27" s="248" t="n">
        <v>21</v>
      </c>
      <c r="D27" s="248" t="n">
        <v>21</v>
      </c>
      <c r="E27" s="275" t="inlineStr">
        <is>
          <t>exact match</t>
        </is>
      </c>
    </row>
    <row r="30">
      <c r="A30" s="199" t="inlineStr">
        <is>
          <t>COST AND RETURN</t>
        </is>
      </c>
      <c r="B30" s="199" t="inlineStr">
        <is>
          <t>Cost/qtr</t>
        </is>
      </c>
      <c r="C30" s="259" t="inlineStr">
        <is>
          <t>Return</t>
        </is>
      </c>
      <c r="D30" s="199" t="inlineStr">
        <is>
          <t>Net/qtr</t>
        </is>
      </c>
    </row>
    <row r="31">
      <c r="A31" s="200" t="inlineStr">
        <is>
          <t>Train 2 untrained (1 Rio Mountain, 1 AMS Speed)</t>
        </is>
      </c>
      <c r="B31" s="220" t="n">
        <v>800</v>
      </c>
      <c r="C31" s="260" t="inlineStr">
        <is>
          <t>free productivity — we pay 2 full salaries for untrained sellers</t>
        </is>
      </c>
      <c r="D31" s="200" t="inlineStr">
        <is>
          <t>cheapest item on the Q4 board</t>
        </is>
      </c>
    </row>
    <row r="32">
      <c r="A32" s="200" t="inlineStr">
        <is>
          <t>Rio: hire +3 (1 Mountain, 2 Speed)</t>
        </is>
      </c>
      <c r="B32" s="220" t="n">
        <v>20553</v>
      </c>
      <c r="C32" s="260" t="inlineStr">
        <is>
          <t>~+190 units at Rio's measured 60-67/head</t>
        </is>
      </c>
      <c r="D32" s="276" t="n">
        <v>131447</v>
      </c>
    </row>
    <row r="33">
      <c r="A33" s="200" t="inlineStr">
        <is>
          <t>Web: hire +4 (3 sales, 1 service)</t>
        </is>
      </c>
      <c r="B33" s="220" t="n">
        <v>27404</v>
      </c>
      <c r="C33" s="260" t="inlineStr">
        <is>
          <t>~+315 units (120 -&gt; 435, the full-tactic cohort floor)</t>
        </is>
      </c>
      <c r="D33" s="276" t="n">
        <v>186846</v>
      </c>
    </row>
    <row r="34">
      <c r="A34" s="200" t="inlineStr">
        <is>
          <t>TOTAL</t>
        </is>
      </c>
      <c r="B34" s="220" t="n">
        <v>48757</v>
      </c>
      <c r="C34" s="260" t="inlineStr"/>
      <c r="D34" s="200" t="inlineStr"/>
    </row>
    <row r="36">
      <c r="A36" s="170" t="inlineStr">
        <is>
          <t>The web hires ONLY deliver alongside funding all four web productivity tactics ($22,000 more). Every firm funding all four lands at 435-569 web units; both firms funding fewer land at 120-138. Staff and tactics move together, so do not split them.</t>
        </is>
      </c>
    </row>
    <row r="37">
      <c r="A37" s="199" t="inlineStr">
        <is>
          <t>STORES — no change in Q4</t>
        </is>
      </c>
      <c r="B37" s="259" t="inlineStr">
        <is>
          <t>Detail</t>
        </is>
      </c>
    </row>
    <row r="38">
      <c r="A38" s="200" t="inlineStr">
        <is>
          <t>New York IS the right third city</t>
        </is>
      </c>
      <c r="B38" s="260" t="inlineStr">
        <is>
          <t>2,039 units and 31.1% of the market against Bangalore's 761. Only 3 of 7 firms have a store there, and NOBODY in the industry has three stores — city #3 is unclaimed.</t>
        </is>
      </c>
    </row>
    <row r="39">
      <c r="A39" s="200" t="inlineStr">
        <is>
          <t>The store effect is roughly 10x</t>
        </is>
      </c>
      <c r="B39" s="260" t="inlineStr">
        <is>
          <t>No store = 1.9-3.2% share. A store against 6 rivals = 9.9%. SOLE store in a city = 34.9% (us in Rio) to 48.6% (LiteCycle in Bangalore). Highest-leverage decision we have.</t>
        </is>
      </c>
    </row>
    <row r="40">
      <c r="A40" s="200" t="inlineStr">
        <is>
          <t>BUT IT CANNOT OPEN IN Q4</t>
        </is>
      </c>
      <c r="B40" s="264" t="inlineStr">
        <is>
          <t>Printers arrive a quarter late, so Q4 capacity is 1,154 units against a forecast of 1,171 that ALREADY assumes these hires — -17 units of spare. An NYC store adds 340-570 on top. That is a direct repeat of Q3: 33% stocked out, 16.3% ill will carried forward.</t>
        </is>
      </c>
    </row>
    <row r="41">
      <c r="A41" s="200" t="inlineStr">
        <is>
          <t>Worst possible city to stock out in</t>
        </is>
      </c>
      <c r="B41" s="260" t="inlineStr">
        <is>
          <t>BB LLC already holds 82.8% of NYC Mountain. Arriving and immediately failing to supply hands them the city.</t>
        </is>
      </c>
    </row>
    <row r="42">
      <c r="A42" s="200" t="inlineStr">
        <is>
          <t>THE SEQUENCE</t>
        </is>
      </c>
      <c r="B42" s="261" t="inlineStr">
        <is>
          <t>Q4 buy printers #4 and #5 ($480,000, loan-funded), capacity stays 1,154. Q5 printers come online at 1,924 units, THEN open New York — entering via SPEED (NYC Speed is 880 units with no dominant firm, best is Armstrong at 272) on the back of the Swift Bike fix to 77.</t>
        </is>
      </c>
    </row>
    <row r="43">
      <c r="A43" s="200" t="inlineStr">
        <is>
          <t>Amsterdam cannot be deepened</t>
        </is>
      </c>
      <c r="B43" s="260" t="inlineStr">
        <is>
          <t>It is at the 7-person hard cap. Not one firm in any of the 12 city rows exceeds 7. 'Invest more in our best city' is not a legal move.</t>
        </is>
      </c>
    </row>
    <row r="46">
      <c r="A46" s="199" t="inlineStr">
        <is>
          <t>WHY THIS DOES NOT CONTRADICT CUTTING MEDIA INSERTS</t>
        </is>
      </c>
      <c r="B46" s="259" t="inlineStr">
        <is>
          <t>Detail</t>
        </is>
      </c>
    </row>
    <row r="47">
      <c r="A47" s="200" t="inlineStr">
        <is>
          <t>The staffing is already INSIDE the forecast</t>
        </is>
      </c>
      <c r="B47" s="260" t="inlineStr">
        <is>
          <t>The 1,171-unit number is not a do-nothing baseline — it is scenario D, which explicitly assumes Rio filled to the cap AND the full web rebuild. These hires ARE the plan that produces 1,171 against 1,154 of capacity.</t>
        </is>
      </c>
    </row>
    <row r="48">
      <c r="A48" s="200" t="inlineStr">
        <is>
          <t>Removing them causes the OPPOSITE failure</t>
        </is>
      </c>
      <c r="B48" s="260" t="inlineStr">
        <is>
          <t>Without the hires demand falls to roughly 656 units, or 13.6/day against 24/day of owned capacity. That is under-scheduling — the Q3 mistake that followed the Q2 mistake of $148,652 in excess-capacity charges.</t>
        </is>
      </c>
    </row>
    <row r="49">
      <c r="A49" s="200" t="inlineStr">
        <is>
          <t>Ads and media were the OVERSHOOT</t>
        </is>
      </c>
      <c r="B49" s="260" t="inlineStr">
        <is>
          <t>The ad rebuilds and Biking concentration stack on top of the staffed plan. That is why the media insert cut is the right offset: inserts are discretionary and purely demand-generating, while people are the capability that produces the base plan.</t>
        </is>
      </c>
    </row>
    <row r="50">
      <c r="A50" s="200" t="inlineStr">
        <is>
          <t>And people are DURABLE</t>
        </is>
      </c>
      <c r="B50" s="261" t="inlineStr">
        <is>
          <t>Q5 capacity roughly doubles to 1,924 units and New York unlocks 7 MORE slots. These 7 hires need to be trained and productive BEFORE that, not during it. Same timing argument as rapid R&amp;D and the social media start.</t>
        </is>
      </c>
    </row>
    <row r="53">
      <c r="A53" s="199" t="inlineStr">
        <is>
          <t>WHAT NOT TO DO</t>
        </is>
      </c>
      <c r="B53" s="259" t="inlineStr">
        <is>
          <t>Why</t>
        </is>
      </c>
    </row>
    <row r="54">
      <c r="A54" s="200" t="inlineStr">
        <is>
          <t>Do not cut anyone</t>
        </is>
      </c>
      <c r="B54" s="260" t="inlineStr">
        <is>
          <t>We cut web staff 5 -&gt; 3 in Q3 and web demand per head is now 40, worst of any firm with a web centre. Bike Bros is the cautionary tale: 1 store, 0 web, 7 people, LAST place.</t>
        </is>
      </c>
    </row>
    <row r="55">
      <c r="A55" s="200" t="inlineStr">
        <is>
          <t>Do not hire Recreation specialists</t>
        </is>
      </c>
      <c r="B55" s="260" t="inlineStr">
        <is>
          <t>We run 0 and so does BB LLC. Hike Bike scores 56 with Rec buyers against dedicated Rec brands at 73-76, so spillover cannot win. Rec stays parked.</t>
        </is>
      </c>
    </row>
    <row r="56">
      <c r="A56" s="200" t="inlineStr">
        <is>
          <t>Do not try to add in Amsterdam</t>
        </is>
      </c>
      <c r="B56" s="260" t="inlineStr">
        <is>
          <t>At the 7-person cap. Illegal move.</t>
        </is>
      </c>
    </row>
    <row r="57">
      <c r="A57" s="200" t="inlineStr">
        <is>
          <t>Do not open Bangalore</t>
        </is>
      </c>
      <c r="B57" s="260" t="inlineStr">
        <is>
          <t>761 units against New York's 2,039, and LiteCycle already holds 48.6% of it.</t>
        </is>
      </c>
    </row>
    <row r="58">
      <c r="A58" s="200" t="inlineStr">
        <is>
          <t>Do not put new hires on the old package</t>
        </is>
      </c>
      <c r="B58" s="260" t="inlineStr">
        <is>
          <t>Move sales to BB LLC's exact terms ($22,000 / Expanded / 2 weeks / 4% = $27,402), which produced the industry-best 78% sales productivity. And budget 73-75% productivity, NEVER the 85% we assumed in Q3.</t>
        </is>
      </c>
    </row>
  </sheetData>
  <mergeCells count="1">
    <mergeCell ref="A2:G2"/>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75"/>
  <sheetViews>
    <sheetView workbookViewId="0">
      <selection activeCell="A1" sqref="A1"/>
    </sheetView>
  </sheetViews>
  <sheetFormatPr baseColWidth="8" defaultRowHeight="15"/>
  <cols>
    <col width="38" customWidth="1" style="146" min="1" max="1"/>
    <col width="52" customWidth="1" style="146" min="2" max="2"/>
    <col width="42" customWidth="1" style="146" min="3" max="3"/>
    <col width="11" customWidth="1" style="146" min="4" max="4"/>
    <col width="72" customWidth="1" style="146" min="5" max="5"/>
  </cols>
  <sheetData>
    <row r="1">
      <c r="A1" s="257" t="inlineStr">
        <is>
          <t>Q4 decision screen audit - dump vs plan of record</t>
        </is>
      </c>
    </row>
    <row r="2">
      <c r="A2" t="inlineStr">
        <is>
          <t>5 blockers, 3 misses, 14 items correct. The brand, ads, staffing, R&amp;D and printer decisions are all in correctly; the gaps are capacity, financing and the web tactic Start checkboxes.</t>
        </is>
      </c>
    </row>
    <row r="4">
      <c r="A4" s="277" t="inlineStr">
        <is>
          <t>Line-by-line</t>
        </is>
      </c>
    </row>
    <row r="5">
      <c r="A5" s="278" t="inlineStr">
        <is>
          <t>Screen area</t>
        </is>
      </c>
      <c r="B5" s="278" t="inlineStr">
        <is>
          <t>What the screen shows</t>
        </is>
      </c>
      <c r="C5" s="278" t="inlineStr">
        <is>
          <t>What the plan says</t>
        </is>
      </c>
      <c r="D5" s="278" t="inlineStr">
        <is>
          <t>Verdict</t>
        </is>
      </c>
      <c r="E5" s="278" t="inlineStr">
        <is>
          <t>Consequence</t>
        </is>
      </c>
    </row>
    <row r="6">
      <c r="A6" s="258" t="inlineStr">
        <is>
          <t>Manufacturing / Operating capacity</t>
        </is>
      </c>
      <c r="B6" s="258" t="inlineStr">
        <is>
          <t>Operating capacity = 8/day (520/qtr); effective 5.84/day = 380 units</t>
        </is>
      </c>
      <c r="C6" s="258" t="inlineStr">
        <is>
          <t>Schedule the full 24/day owned, overtime 0.00</t>
        </is>
      </c>
      <c r="D6" s="279" t="inlineStr">
        <is>
          <t>BLOCKER</t>
        </is>
      </c>
      <c r="E6" s="258" t="inlineStr">
        <is>
          <t>380 units vs ~1,142 projected demand. This is the Q3 error verbatim: 67% stock-out, Q5 ill will ~33%. 24/day at 73% = 1139 units.</t>
        </is>
      </c>
    </row>
    <row r="7">
      <c r="A7" s="258" t="inlineStr">
        <is>
          <t>Improve Web Productivity</t>
        </is>
      </c>
      <c r="B7" s="258" t="inlineStr">
        <is>
          <t>Total expenses = 6,000. Only toll-free shows status 'operational'. Secure site / cart / page upgrades / order tracking all status '-' with budgets typed but Start not checked</t>
        </is>
      </c>
      <c r="C7" s="258" t="inlineStr">
        <is>
          <t>Fund ALL tactics: setup 48,000 + quarterly 25,000 on the four new ones</t>
        </is>
      </c>
      <c r="D7" s="279" t="inlineStr">
        <is>
          <t>BLOCKER</t>
        </is>
      </c>
      <c r="E7" s="258" t="inlineStr">
        <is>
          <t>Q3 evidence is a step function: firms funding all tactics land 435-569 web units; firms funding 1-2 land 120-138. Typing a budget without checking Start leaves us in the losing band while paying 45,501 for 7 web staff.</t>
        </is>
      </c>
    </row>
    <row r="8">
      <c r="A8" s="258" t="inlineStr">
        <is>
          <t>Finance / Stock</t>
        </is>
      </c>
      <c r="B8" s="258" t="inlineStr">
        <is>
          <t>Common Stock, Venture Capitalists, 25,000 shares @ 100 = 2,500,000, Quarter 4</t>
        </is>
      </c>
      <c r="C8" s="258" t="inlineStr">
        <is>
          <t>Do NOT take the 2.5M equity round; remove or zero this row</t>
        </is>
      </c>
      <c r="D8" s="279" t="inlineStr">
        <is>
          <t>BLOCKER</t>
        </is>
      </c>
      <c r="E8" s="258" t="inlineStr">
        <is>
          <t>2.5M against 677,669 of R&amp;D recreates the idle-cash problem that made Asset Management 0.353 = LAST, and 25,000 new shares halve Financial Performance (divided by total shares issued).</t>
        </is>
      </c>
    </row>
    <row r="9">
      <c r="A9" s="258" t="inlineStr">
        <is>
          <t>Finance / Short Term Loan</t>
        </is>
      </c>
      <c r="B9" s="258" t="inlineStr">
        <is>
          <t>'No outstanding conventional loans this quarter'</t>
        </is>
      </c>
      <c r="C9" s="258" t="inlineStr">
        <is>
          <t>Draw the ~950,000 conventional loan at 7% annual</t>
        </is>
      </c>
      <c r="D9" s="279" t="inlineStr">
        <is>
          <t>BLOCKER</t>
        </is>
      </c>
      <c r="E9" s="258" t="inlineStr">
        <is>
          <t>Cash 1,010,838 cannot cover R&amp;D 677,669 + ~380,000 visible operating + 2 printers and still clear the 300,000 floor. Nothing is funded without this.</t>
        </is>
      </c>
    </row>
    <row r="10">
      <c r="A10" s="258" t="inlineStr">
        <is>
          <t>Demand Projection</t>
        </is>
      </c>
      <c r="B10" s="258" t="inlineStr">
        <is>
          <t>Store demand/SP = 0, Web demand/SP = 0, all totals 0, operating capacity required = 0</t>
        </is>
      </c>
      <c r="C10" s="258" t="inlineStr">
        <is>
          <t>Store 50.5/head x 14 = 707; Web 62.1/head x 7 = 435; total 1,142</t>
        </is>
      </c>
      <c r="D10" s="279" t="inlineStr">
        <is>
          <t>BLOCKER</t>
        </is>
      </c>
      <c r="E10" s="258" t="inlineStr">
        <is>
          <t>This is the input the capacity decision is read against. Left at 0 it argues for OC 0 and hides the 8/day error.</t>
        </is>
      </c>
    </row>
    <row r="11">
      <c r="A11" s="258" t="inlineStr">
        <is>
          <t>Price and Priority / Swifter Bike</t>
        </is>
      </c>
      <c r="B11" s="258" t="inlineStr">
        <is>
          <t>Retail Price 1,450</t>
        </is>
      </c>
      <c r="C11" s="258" t="inlineStr">
        <is>
          <t>Raise to 1,580</t>
        </is>
      </c>
      <c r="D11" s="280" t="inlineStr">
        <is>
          <t>MISS</t>
        </is>
      </c>
      <c r="E11" s="258" t="inlineStr">
        <is>
          <t>1,580 draws ZERO Speed price resistance (proven by Blu Aero, Blu Tube, Armstrong at that exact price). +130/unit of pure margin on ~457 units = +59,410, and it relieves the capacity squeeze.</t>
        </is>
      </c>
    </row>
    <row r="12">
      <c r="A12" s="258" t="inlineStr">
        <is>
          <t>HR / Sales Force Compensation</t>
        </is>
      </c>
      <c r="B12" s="258" t="inlineStr">
        <is>
          <t>19,000 salary + Full coverage + 2 weeks + 1% = 24,425/yr; projected prod 70</t>
        </is>
      </c>
      <c r="C12" s="258" t="inlineStr">
        <is>
          <t>22,000 + Expanded + 2 weeks + 4% = 27,402/yr (BB LLC exact); project 75</t>
        </is>
      </c>
      <c r="D12" s="280" t="inlineStr">
        <is>
          <t>MISS</t>
        </is>
      </c>
      <c r="E12" s="258" t="inlineStr">
        <is>
          <t>Still the Q2 lock. Mix is the error, not the total: BB LLC hit 78.4% on Expanded/2wk/4%; MILC paid MORE (27,630) on Full/1wk and scored 8.4 pts worse. Cost +2,977/head/yr = +15,634/qtr across 21 heads.</t>
        </is>
      </c>
    </row>
    <row r="13">
      <c r="A13" s="258" t="inlineStr">
        <is>
          <t>HR / Production Worker Compensation</t>
        </is>
      </c>
      <c r="B13" s="258" t="inlineStr">
        <is>
          <t>16,800 + Expanded + 2 weeks + 3% = 20,757/yr; projected prod 73</t>
        </is>
      </c>
      <c r="C13" s="258" t="inlineStr">
        <is>
          <t>18,500 + Expanded + 2 weeks + 4% = 23,042/yr (BB LLC exact); project 75</t>
        </is>
      </c>
      <c r="D13" s="280" t="inlineStr">
        <is>
          <t>MISS</t>
        </is>
      </c>
      <c r="E13" s="258" t="inlineStr">
        <is>
          <t>Buys capacity directly: 73% -&gt; 75% takes 24/day from 1139 to 1170 units (+31) and cuts labour cost/unit.</t>
        </is>
      </c>
    </row>
    <row r="14">
      <c r="A14" s="258" t="inlineStr">
        <is>
          <t>Regional Media / off-Biking inserts</t>
        </is>
      </c>
      <c r="B14" s="258" t="inlineStr">
        <is>
          <t>Swifter Bike 1: Sport 1 (10,000), Business 1 (9,500), New Venture 2 (11,000)</t>
        </is>
      </c>
      <c r="C14" s="258" t="inlineStr">
        <is>
          <t>Concentrate in Biking; New Venture and Sport are the Q3 diversification error</t>
        </is>
      </c>
      <c r="D14" s="281" t="inlineStr">
        <is>
          <t>REVIEW</t>
        </is>
      </c>
      <c r="E14" s="258" t="inlineStr">
        <is>
          <t>Biking is 51 industry pages and BB LLC owns 24 of them at 4,500 each - the cheapest insert on the board. Business is Speed's #2 medium so Business 1 is defensible; Sport 1 + New Venture 2 = 21,000 for 3 poorly-targeted pages.</t>
        </is>
      </c>
    </row>
    <row r="15">
      <c r="A15" s="258" t="inlineStr">
        <is>
          <t>Regional Media / totals do not reconcile</t>
        </is>
      </c>
      <c r="B15" s="258" t="inlineStr">
        <is>
          <t>Per-brand totals 42,119 + 45,433 = 87,552</t>
        </is>
      </c>
      <c r="C15" s="258" t="inlineStr">
        <is>
          <t>20 inserts at list = 12x4,500 + 4x4,500 + 10,000 + 9,500 + 2x5,500 = 102,500</t>
        </is>
      </c>
      <c r="D15" s="281" t="inlineStr">
        <is>
          <t>REVIEW</t>
        </is>
      </c>
      <c r="E15" s="258" t="inlineStr">
        <is>
          <t>45,433 is exactly Swift Bike's Q3 brand advertising expense, so the Total row looks like prior-period or amortised figures, not this quarter's bill. Confirm what will actually be charged before locking.</t>
        </is>
      </c>
    </row>
    <row r="16">
      <c r="A16" s="258" t="inlineStr">
        <is>
          <t>Modify Ad / HikeBike 2 is a new ad number</t>
        </is>
      </c>
      <c r="B16" s="258" t="inlineStr">
        <is>
          <t>Ad is named 'HikeBike 2'; Q3's Mountain ad was 'HikeBike 1'</t>
        </is>
      </c>
      <c r="C16" s="258" t="inlineStr">
        <is>
          <t>Modify HikeBike 1 in place if the sim allows it</t>
        </is>
      </c>
      <c r="D16" s="281" t="inlineStr">
        <is>
          <t>REVIEW</t>
        </is>
      </c>
      <c r="E16" s="258" t="inlineStr">
        <is>
          <t>HikeBike 1 was organic Mountain #2 (115 clicks). If a new ad number spawns a new web page, we may reset page tenure and pay a second design fee. Speed SERP rank is already suspected to reflect tenure (AndStill, ad 78, sits 7th).</t>
        </is>
      </c>
    </row>
    <row r="17">
      <c r="A17" s="258" t="inlineStr">
        <is>
          <t>Price and Priority / Available for Sale</t>
        </is>
      </c>
      <c r="B17" s="258" t="inlineStr">
        <is>
          <t>'Available for Sale' column appears blank for both brands</t>
        </is>
      </c>
      <c r="C17" s="258" t="inlineStr">
        <is>
          <t>Both brands must be flagged available in World Market</t>
        </is>
      </c>
      <c r="D17" s="282" t="inlineStr">
        <is>
          <t>VERIFY</t>
        </is>
      </c>
      <c r="E17" s="258" t="inlineStr">
        <is>
          <t>Brand Production shows both as 'produced', so this is probably a rendering artefact - but a brand built and not offered for sale sells zero.</t>
        </is>
      </c>
    </row>
    <row r="18">
      <c r="A18" s="258" t="inlineStr">
        <is>
          <t>Social Media</t>
        </is>
      </c>
      <c r="B18" s="258" t="inlineStr">
        <is>
          <t>Social Networking: setup 8,000 + quarterly 3,500 = 11,500</t>
        </is>
      </c>
      <c r="C18" s="258" t="inlineStr">
        <is>
          <t>~10,000 quarterly was the earlier recommendation</t>
        </is>
      </c>
      <c r="D18" s="282" t="inlineStr">
        <is>
          <t>OPTIONAL</t>
        </is>
      </c>
      <c r="E18" s="258" t="inlineStr">
        <is>
          <t>3,500 is defensible during the ramp - the sim warns demand response is slow and spend mostly buys team learning. The 8,000 setup was not in the earlier estimate. Consider 6,000-8,000 quarterly now that R&amp;D came in cheaper than modelled.</t>
        </is>
      </c>
    </row>
    <row r="19">
      <c r="A19" s="258" t="inlineStr">
        <is>
          <t>Modify Brand / Swifter Bike</t>
        </is>
      </c>
      <c r="B19" s="258" t="inlineStr">
        <is>
          <t>Aero frame, standard carbon, racing tires, precision brakes, basic drop-down, 14 speed (2x7), polymer gel racing seat, reflectors, colourful thin brushstroke decals, standard lights</t>
        </is>
      </c>
      <c r="C19" s="258" t="inlineStr">
        <is>
          <t>The 77 recipe exactly</t>
        </is>
      </c>
      <c r="D19" s="283" t="inlineStr">
        <is>
          <t>CORRECT</t>
        </is>
      </c>
      <c r="E19" s="258" t="inlineStr">
        <is>
          <t>24sp -&gt; 14sp is +3 and decals are +2. This is 72 -&gt; 77, tying the industry ceiling (MACH I.I, LiteSpeed Pro+). Do not touch it again.</t>
        </is>
      </c>
    </row>
    <row r="20">
      <c r="A20" s="258" t="inlineStr">
        <is>
          <t>Modify Brand / Hike Bike</t>
        </is>
      </c>
      <c r="B20" s="258" t="inlineStr">
        <is>
          <t>Not listed as modified</t>
        </is>
      </c>
      <c r="C20" s="258" t="inlineStr">
        <is>
          <t>Leave Hike Bike alone - 73 of 73, verified optimal</t>
        </is>
      </c>
      <c r="D20" s="283" t="inlineStr">
        <is>
          <t>CORRECT</t>
        </is>
      </c>
      <c r="E20" s="258" t="inlineStr">
        <is>
          <t>Tied for best Mountain brand in the industry. Any change is downside.</t>
        </is>
      </c>
    </row>
    <row r="21">
      <c r="A21" s="258" t="inlineStr">
        <is>
          <t>Modify Ad / benefit stacks</t>
        </is>
      </c>
      <c r="B21" s="258" t="inlineStr">
        <is>
          <t>HikeBike 2: gears, high tread, highest rated Mountain, local sales, brand, steep-trail picture. Swifter: road-race picture, brand, wind-cheater, elite look, 3D printing, racing tires, local sales</t>
        </is>
      </c>
      <c r="C21" s="258" t="inlineStr">
        <is>
          <t>BB LLC's Mountain stack and AndStill's Speed stack</t>
        </is>
      </c>
      <c r="D21" s="283" t="inlineStr">
        <is>
          <t>CORRECT</t>
        </is>
      </c>
      <c r="E21" s="258" t="inlineStr">
        <is>
          <t>Lights, reflectors and 'great price' are gone from the Speed ad - those were the Recreation cues that held it to 70, 8th of 9.</t>
        </is>
      </c>
    </row>
    <row r="22">
      <c r="A22" s="258" t="inlineStr">
        <is>
          <t>Hire Sales People</t>
        </is>
      </c>
      <c r="B22" s="258" t="inlineStr">
        <is>
          <t>Rio 1/0/3/3 = 7, Amsterdam 1/0/3/3 = 7, 11 -&gt; 14 heads, 92,897</t>
        </is>
      </c>
      <c r="C22" s="258" t="inlineStr">
        <is>
          <t>Clone BB LLC's identical-in-both-cities store template</t>
        </is>
      </c>
      <c r="D22" s="283" t="inlineStr">
        <is>
          <t>CORRECT</t>
        </is>
      </c>
      <c r="E22" s="258" t="inlineStr">
        <is>
          <t>Reconciles exactly: 14 x 24,425/4 = 85,487 salaries + 5,400 training = 90,888. Speed specialists go 3 -&gt; 6, matching BB LLC and LiteCycle. No untrained staff left.</t>
        </is>
      </c>
    </row>
    <row r="23">
      <c r="A23" s="258" t="inlineStr">
        <is>
          <t>Hire Web Sales People</t>
        </is>
      </c>
      <c r="B23" s="258" t="inlineStr">
        <is>
          <t>5 web sales + 2 web support = 7; 3 -&gt; 7 heads, 45,501</t>
        </is>
      </c>
      <c r="C23" s="258" t="inlineStr">
        <is>
          <t>BB LLC's exact 5+2 web split at the 7-head cap</t>
        </is>
      </c>
      <c r="D23" s="283" t="inlineStr">
        <is>
          <t>CORRECT</t>
        </is>
      </c>
      <c r="E23" s="258" t="inlineStr">
        <is>
          <t>Only pays off if the web productivity tactics are actually started.</t>
        </is>
      </c>
    </row>
    <row r="24">
      <c r="A24" s="258" t="inlineStr">
        <is>
          <t>Manufacturing / Fixed Capacity</t>
        </is>
      </c>
      <c r="B24" s="258" t="inlineStr">
        <is>
          <t>Planned increase 16/day; 24 -&gt; 40 available next quarter</t>
        </is>
      </c>
      <c r="C24" s="258" t="inlineStr">
        <is>
          <t>Two printers for Q5 NYC entry</t>
        </is>
      </c>
      <c r="D24" s="283" t="inlineStr">
        <is>
          <t>CORRECT</t>
        </is>
      </c>
      <c r="E24" s="258" t="inlineStr">
        <is>
          <t>Ordered in Q4, live in Q5 - the right sequencing for a Q5 NYC store. Does not raise Q4 capacity, which is why OC must be 24 now.</t>
        </is>
      </c>
    </row>
    <row r="25">
      <c r="A25" s="258" t="inlineStr">
        <is>
          <t>Feature R&amp;D</t>
        </is>
      </c>
      <c r="B25" s="258" t="inlineStr">
        <is>
          <t>11 speed 568,514 + decals 109,155 = 677,669; both available Q5</t>
        </is>
      </c>
      <c r="C25" s="258" t="inlineStr">
        <is>
          <t>Two rapid projects, third slot deliberately empty</t>
        </is>
      </c>
      <c r="D25" s="283" t="inlineStr">
        <is>
          <t>CORRECT</t>
        </is>
      </c>
      <c r="E25" s="258" t="inlineStr">
        <is>
          <t>Rapid premium is now KNOWN: 2-quarter prices are 478,062 and 91,788, so rapid costs 107,819 (18.9%) more and lands Q5 instead of Q6. Earlier planning assumed a ~203,301 premium on top of 677,669 - that was wrong, so cash is ~203k better than modelled.</t>
        </is>
      </c>
    </row>
    <row r="26">
      <c r="A26" s="258" t="inlineStr">
        <is>
          <t>Search Engine Marketing (paid)</t>
        </is>
      </c>
      <c r="B26" s="258" t="inlineStr">
        <is>
          <t>Mountain bid 2.40 / budget 150; Speed bid 1.95 / budget 80; total 230</t>
        </is>
      </c>
      <c r="C26" s="258" t="inlineStr">
        <is>
          <t>Match the posted industry average bid, throttle volume with the budget</t>
        </is>
      </c>
      <c r="D26" s="283" t="inlineStr">
        <is>
          <t>CORRECT</t>
        </is>
      </c>
      <c r="E26" s="258" t="inlineStr">
        <is>
          <t>Matches Q4_Paid_SEM exactly. Bid stays in the auction all quarter; the small budget caps us near 104-138 clicks, which is all the printers can absorb.</t>
        </is>
      </c>
    </row>
    <row r="27">
      <c r="A27" s="258" t="inlineStr">
        <is>
          <t>Manage Web Pages</t>
        </is>
      </c>
      <c r="B27" s="258" t="inlineStr">
        <is>
          <t>HikeBike 2 -&gt; Mountain, Swifter Bike 1 -&gt; Speed, 1,000 each = 2,000</t>
        </is>
      </c>
      <c r="C27" s="258" t="inlineStr">
        <is>
          <t>Two pages, one per targeted segment, no Recreation page</t>
        </is>
      </c>
      <c r="D27" s="283" t="inlineStr">
        <is>
          <t>CORRECT</t>
        </is>
      </c>
      <c r="E27" s="258" t="inlineStr">
        <is>
          <t>Two pages in one segment cannibalise - Bike Bros ran 2 Mountain ads for 79 clicks against our single page's 115.</t>
        </is>
      </c>
    </row>
    <row r="28">
      <c r="A28" s="258" t="inlineStr">
        <is>
          <t>Open Store / Open Webcenter</t>
        </is>
      </c>
      <c r="B28" s="258" t="inlineStr">
        <is>
          <t>Rio + Amsterdam operational (61,000); World Market webcenter (60,000)</t>
        </is>
      </c>
      <c r="C28" s="258" t="inlineStr">
        <is>
          <t>No third store in Q4 - depth before breadth</t>
        </is>
      </c>
      <c r="D28" s="283" t="inlineStr">
        <is>
          <t>CORRECT</t>
        </is>
      </c>
      <c r="E28" s="258" t="inlineStr">
        <is>
          <t>NYC needs the printers that only arrive in Q5, plus 7 new hires. Adding it now would generate demand against a 1,139-unit ceiling.</t>
        </is>
      </c>
    </row>
    <row r="29">
      <c r="A29" s="258" t="inlineStr">
        <is>
          <t>Price and Priority / the rest</t>
        </is>
      </c>
      <c r="B29" s="258" t="inlineStr">
        <is>
          <t>Hike Bike 1,365, both rebates 0, priority Hike 1 / Swift 2</t>
        </is>
      </c>
      <c r="C29" s="258" t="inlineStr">
        <is>
          <t>Hold Hike at 1,365, no rebates, priority unchanged</t>
        </is>
      </c>
      <c r="D29" s="283" t="inlineStr">
        <is>
          <t>CORRECT</t>
        </is>
      </c>
      <c r="E29" s="258" t="inlineStr">
        <is>
          <t>1,365 is the highest tier that still scores 100 on Mountain price judgment. Only the two cheapest Recreation brands use rebates.</t>
        </is>
      </c>
    </row>
    <row r="30">
      <c r="A30" s="258" t="inlineStr">
        <is>
          <t>Overtime</t>
        </is>
      </c>
      <c r="B30" s="258" t="inlineStr">
        <is>
          <t>Overtime table present; no hours selected</t>
        </is>
      </c>
      <c r="C30" s="258" t="inlineStr">
        <is>
          <t>Overtime 0.00</t>
        </is>
      </c>
      <c r="D30" s="283" t="inlineStr">
        <is>
          <t>CORRECT</t>
        </is>
      </c>
      <c r="E30" s="258" t="inlineStr">
        <is>
          <t>Manufacturing Productivity = utilisation - (OT/OC / 2). 24 scheduled with 0 OT = 1.000; BB LLC's 6.90 OT drags them to 0.856. This is the one place we beat them.</t>
        </is>
      </c>
    </row>
    <row r="31">
      <c r="A31" s="258" t="inlineStr">
        <is>
          <t>Buy Market Research</t>
        </is>
      </c>
      <c r="B31" s="258" t="inlineStr">
        <is>
          <t>20,000</t>
        </is>
      </c>
      <c r="C31" s="258" t="inlineStr">
        <is>
          <t>Not previously sized</t>
        </is>
      </c>
      <c r="D31" s="283" t="inlineStr">
        <is>
          <t>CORRECT</t>
        </is>
      </c>
      <c r="E31" s="258" t="inlineStr">
        <is>
          <t>On-strategy in a closed system where competitor intelligence is the only route to the numbers this whole plan is built from.</t>
        </is>
      </c>
    </row>
    <row r="32">
      <c r="A32" s="258" t="inlineStr">
        <is>
          <t>Corporate / Goals and Strategy</t>
        </is>
      </c>
      <c r="B32" s="258" t="inlineStr">
        <is>
          <t>Mountain &gt; Speed &gt; Recreation; six strategic directions</t>
        </is>
      </c>
      <c r="C32" s="258" t="inlineStr">
        <is>
          <t>Unchanged from the locked directions</t>
        </is>
      </c>
      <c r="D32" s="283" t="inlineStr">
        <is>
          <t>CORRECT</t>
        </is>
      </c>
      <c r="E32" s="258" t="inlineStr">
        <is>
          <t>Matches the ratified team goals.</t>
        </is>
      </c>
    </row>
    <row r="34">
      <c r="A34" s="277" t="inlineStr">
        <is>
          <t>Capacity ladder (units = OC x 65 days x worker productivity)</t>
        </is>
      </c>
    </row>
    <row r="35">
      <c r="A35" s="278" t="inlineStr">
        <is>
          <t>Scenario</t>
        </is>
      </c>
      <c r="B35" s="278" t="inlineStr">
        <is>
          <t>OC/day</t>
        </is>
      </c>
      <c r="C35" s="278" t="inlineStr">
        <is>
          <t>Productivity</t>
        </is>
      </c>
      <c r="D35" s="278" t="inlineStr">
        <is>
          <t>Units/qtr</t>
        </is>
      </c>
      <c r="E35" s="278" t="inlineStr">
        <is>
          <t>vs 1,142 demand</t>
        </is>
      </c>
    </row>
    <row r="36">
      <c r="A36" s="258" t="inlineStr">
        <is>
          <t>Screen as entered</t>
        </is>
      </c>
      <c r="B36" s="258" t="n">
        <v>8</v>
      </c>
      <c r="C36" s="258" t="inlineStr">
        <is>
          <t>73%</t>
        </is>
      </c>
      <c r="D36" s="258" t="n">
        <v>380</v>
      </c>
      <c r="E36" s="258" t="n">
        <v>-762</v>
      </c>
    </row>
    <row r="37">
      <c r="A37" s="258" t="inlineStr">
        <is>
          <t>Plan of record</t>
        </is>
      </c>
      <c r="B37" s="258" t="n">
        <v>24</v>
      </c>
      <c r="C37" s="258" t="inlineStr">
        <is>
          <t>73%</t>
        </is>
      </c>
      <c r="D37" s="258" t="n">
        <v>1139</v>
      </c>
      <c r="E37" s="258" t="n">
        <v>-3</v>
      </c>
    </row>
    <row r="38">
      <c r="A38" s="258" t="inlineStr">
        <is>
          <t>Plan + production comp fix</t>
        </is>
      </c>
      <c r="B38" s="258" t="n">
        <v>24</v>
      </c>
      <c r="C38" s="258" t="inlineStr">
        <is>
          <t>75%</t>
        </is>
      </c>
      <c r="D38" s="258" t="n">
        <v>1170</v>
      </c>
      <c r="E38" s="258" t="n">
        <v>28</v>
      </c>
    </row>
    <row r="40">
      <c r="A40" s="277" t="inlineStr">
        <is>
          <t>Demand Projection - what to type into the zeros</t>
        </is>
      </c>
    </row>
    <row r="41">
      <c r="A41" s="278" t="inlineStr">
        <is>
          <t>Channel</t>
        </is>
      </c>
      <c r="B41" s="278" t="inlineStr">
        <is>
          <t>People</t>
        </is>
      </c>
      <c r="C41" s="278" t="inlineStr">
        <is>
          <t>Demand/person</t>
        </is>
      </c>
      <c r="D41" s="278" t="inlineStr">
        <is>
          <t>Total demand</t>
        </is>
      </c>
      <c r="E41" s="278" t="inlineStr">
        <is>
          <t>Basis</t>
        </is>
      </c>
    </row>
    <row r="42">
      <c r="A42" s="258" t="inlineStr">
        <is>
          <t>Stores</t>
        </is>
      </c>
      <c r="B42" s="258" t="n">
        <v>14</v>
      </c>
      <c r="C42" s="258" t="n">
        <v>50.5</v>
      </c>
      <c r="D42" s="258" t="n">
        <v>707</v>
      </c>
      <c r="E42" s="258" t="inlineStr">
        <is>
          <t>Q3 was 46.09/head on 11 untrained heads. Anchors: Rio store-only measured 60/head, industry average excluding us 61.1, BB LLC 67. 50.5 is deliberately below all three to absorb the 16.3% Q4 ill will.</t>
        </is>
      </c>
    </row>
    <row r="43">
      <c r="A43" s="258" t="inlineStr">
        <is>
          <t>Web Sales Center</t>
        </is>
      </c>
      <c r="B43" s="258" t="n">
        <v>7</v>
      </c>
      <c r="C43" s="258" t="n">
        <v>62.1</v>
      </c>
      <c r="D43" s="258" t="n">
        <v>435</v>
      </c>
      <c r="E43" s="258" t="inlineStr">
        <is>
          <t>Q3 was 40.00/head with one tactic funded. 62.1 is the FLOOR of the all-tactics cohort (LiteCycle and MILC both 435 units), not BB LLC's 81.3. Conditional on starting the tactics.</t>
        </is>
      </c>
    </row>
    <row r="44">
      <c r="A44" s="165" t="inlineStr">
        <is>
          <t>TOTAL</t>
        </is>
      </c>
      <c r="B44" s="165" t="n">
        <v>21</v>
      </c>
      <c r="D44" s="165" t="n">
        <v>1142</v>
      </c>
      <c r="E44" s="258" t="inlineStr">
        <is>
          <t>Required OC = 1142 / (0.73 x 65) = 24.07/day -&gt; schedule 24</t>
        </is>
      </c>
    </row>
    <row r="46">
      <c r="A46" s="277" t="inlineStr">
        <is>
          <t>Brand split of projected demand</t>
        </is>
      </c>
    </row>
    <row r="47">
      <c r="A47" s="278" t="inlineStr">
        <is>
          <t>Brand</t>
        </is>
      </c>
      <c r="B47" s="278" t="inlineStr">
        <is>
          <t>Share</t>
        </is>
      </c>
      <c r="C47" s="278" t="inlineStr">
        <is>
          <t>Units</t>
        </is>
      </c>
      <c r="D47" s="278" t="inlineStr">
        <is>
          <t>Basis</t>
        </is>
      </c>
    </row>
    <row r="48">
      <c r="A48" s="258" t="inlineStr">
        <is>
          <t>Hike Bike</t>
        </is>
      </c>
      <c r="B48" s="258" t="inlineStr">
        <is>
          <t>60%</t>
        </is>
      </c>
      <c r="C48" s="258" t="n">
        <v>685</v>
      </c>
      <c r="D48" s="258" t="inlineStr">
        <is>
          <t>Q3 was 65.7%. Ad 80 -&gt; ~82 and Biking inserts 6 -&gt; 12 help, but Mountain is the smallest segment (1,621) and we already hold 22.1%.</t>
        </is>
      </c>
    </row>
    <row r="49">
      <c r="A49" s="258" t="inlineStr">
        <is>
          <t>Swifter Bike</t>
        </is>
      </c>
      <c r="B49" s="258" t="inlineStr">
        <is>
          <t>40%</t>
        </is>
      </c>
      <c r="C49" s="258" t="n">
        <v>457</v>
      </c>
      <c r="D49" s="258" t="inlineStr">
        <is>
          <t>Q3 was 34.3%. Brand 72 -&gt; 77, ad 70 -&gt; 77, Speed specialists 3 -&gt; 6, price +130. Speed is the largest segment (2,878) and we hold only 7.5%, so the headroom is here. Judgment call, not a measured figure.</t>
        </is>
      </c>
    </row>
    <row r="51">
      <c r="A51" s="277" t="inlineStr">
        <is>
          <t>Cash uses visible on the screen</t>
        </is>
      </c>
    </row>
    <row r="52">
      <c r="A52" s="278" t="inlineStr">
        <is>
          <t>Use</t>
        </is>
      </c>
      <c r="B52" s="278" t="inlineStr">
        <is>
          <t>Amount</t>
        </is>
      </c>
      <c r="C52" s="278" t="inlineStr">
        <is>
          <t>Status</t>
        </is>
      </c>
    </row>
    <row r="53">
      <c r="A53" s="258" t="inlineStr">
        <is>
          <t>Feature R&amp;D (2 rapid projects)</t>
        </is>
      </c>
      <c r="B53" s="284" t="n">
        <v>677669</v>
      </c>
      <c r="C53" s="258" t="inlineStr">
        <is>
          <t>entered</t>
        </is>
      </c>
    </row>
    <row r="54">
      <c r="A54" s="258" t="inlineStr">
        <is>
          <t>Sales and service people</t>
        </is>
      </c>
      <c r="B54" s="284" t="n">
        <v>92897</v>
      </c>
      <c r="C54" s="258" t="inlineStr">
        <is>
          <t>entered</t>
        </is>
      </c>
    </row>
    <row r="55">
      <c r="A55" s="258" t="inlineStr">
        <is>
          <t>Media inserts (list price, 20 inserts)</t>
        </is>
      </c>
      <c r="B55" s="284" t="n">
        <v>102500</v>
      </c>
      <c r="C55" s="258" t="inlineStr">
        <is>
          <t>entered, total row unclear</t>
        </is>
      </c>
    </row>
    <row r="56">
      <c r="A56" s="258" t="inlineStr">
        <is>
          <t>Web personnel</t>
        </is>
      </c>
      <c r="B56" s="284" t="n">
        <v>45501</v>
      </c>
      <c r="C56" s="258" t="inlineStr">
        <is>
          <t>entered</t>
        </is>
      </c>
    </row>
    <row r="57">
      <c r="A57" s="258" t="inlineStr">
        <is>
          <t>Store operations (Rio + Amsterdam)</t>
        </is>
      </c>
      <c r="B57" s="284" t="n">
        <v>61000</v>
      </c>
      <c r="C57" s="258" t="inlineStr">
        <is>
          <t>entered</t>
        </is>
      </c>
    </row>
    <row r="58">
      <c r="A58" s="258" t="inlineStr">
        <is>
          <t>Web sales center</t>
        </is>
      </c>
      <c r="B58" s="284" t="n">
        <v>60000</v>
      </c>
      <c r="C58" s="258" t="inlineStr">
        <is>
          <t>entered</t>
        </is>
      </c>
    </row>
    <row r="59">
      <c r="A59" s="258" t="inlineStr">
        <is>
          <t>Market research</t>
        </is>
      </c>
      <c r="B59" s="284" t="n">
        <v>20000</v>
      </c>
      <c r="C59" s="258" t="inlineStr">
        <is>
          <t>entered</t>
        </is>
      </c>
    </row>
    <row r="60">
      <c r="A60" s="258" t="inlineStr">
        <is>
          <t>Social media (8,000 setup + 3,500)</t>
        </is>
      </c>
      <c r="B60" s="284" t="n">
        <v>11500</v>
      </c>
      <c r="C60" s="258" t="inlineStr">
        <is>
          <t>entered</t>
        </is>
      </c>
    </row>
    <row r="61">
      <c r="A61" s="258" t="inlineStr">
        <is>
          <t>Web productivity: toll-free</t>
        </is>
      </c>
      <c r="B61" s="284" t="n">
        <v>6000</v>
      </c>
      <c r="C61" s="258" t="inlineStr">
        <is>
          <t>entered</t>
        </is>
      </c>
    </row>
    <row r="62">
      <c r="A62" s="258" t="inlineStr">
        <is>
          <t>Web pages</t>
        </is>
      </c>
      <c r="B62" s="284" t="n">
        <v>2000</v>
      </c>
      <c r="C62" s="258" t="inlineStr">
        <is>
          <t>entered</t>
        </is>
      </c>
    </row>
    <row r="63">
      <c r="A63" s="258" t="inlineStr">
        <is>
          <t>Paid SEM</t>
        </is>
      </c>
      <c r="B63" s="284" t="n">
        <v>230</v>
      </c>
      <c r="C63" s="258" t="inlineStr">
        <is>
          <t>entered</t>
        </is>
      </c>
    </row>
    <row r="64">
      <c r="A64" s="258" t="inlineStr">
        <is>
          <t>Web tactics setup (4 new)</t>
        </is>
      </c>
      <c r="B64" s="284" t="n">
        <v>48000</v>
      </c>
      <c r="C64" s="285" t="inlineStr">
        <is>
          <t>MISSING - Start not checked</t>
        </is>
      </c>
    </row>
    <row r="65">
      <c r="A65" s="258" t="inlineStr">
        <is>
          <t>Web tactics quarterly (4 new)</t>
        </is>
      </c>
      <c r="B65" s="284" t="n">
        <v>25000</v>
      </c>
      <c r="C65" s="285" t="inlineStr">
        <is>
          <t>MISSING - Start not checked</t>
        </is>
      </c>
    </row>
    <row r="66">
      <c r="A66" s="258" t="inlineStr">
        <is>
          <t>Sales comp uplift to BB LLC package</t>
        </is>
      </c>
      <c r="B66" s="284" t="n">
        <v>15634</v>
      </c>
      <c r="C66" s="285" t="inlineStr">
        <is>
          <t>MISSING</t>
        </is>
      </c>
    </row>
    <row r="67">
      <c r="A67" s="258" t="inlineStr">
        <is>
          <t>Production comp uplift to BB LLC package</t>
        </is>
      </c>
      <c r="B67" s="284" t="n">
        <v>12000</v>
      </c>
      <c r="C67" s="285" t="inlineStr">
        <is>
          <t>MISSING (estimate)</t>
        </is>
      </c>
    </row>
    <row r="68">
      <c r="A68" s="258" t="inlineStr">
        <is>
          <t>Operating capacity change expense 8 -&gt; 24</t>
        </is>
      </c>
      <c r="B68" s="284" t="n">
        <v>0</v>
      </c>
      <c r="C68" s="258" t="inlineStr">
        <is>
          <t>UNKNOWN - screen shows 0 at OC 8</t>
        </is>
      </c>
    </row>
    <row r="69">
      <c r="A69" s="258" t="inlineStr">
        <is>
          <t>Two printers (fixed capacity +16)</t>
        </is>
      </c>
      <c r="B69" s="284" t="n">
        <v>480000</v>
      </c>
      <c r="C69" s="258" t="inlineStr">
        <is>
          <t>committed, not priced on screen</t>
        </is>
      </c>
    </row>
    <row r="70">
      <c r="A70" s="165" t="inlineStr">
        <is>
          <t>Entered subtotal</t>
        </is>
      </c>
      <c r="B70" s="71" t="n">
        <v>976797</v>
      </c>
    </row>
    <row r="71">
      <c r="A71" s="165" t="inlineStr">
        <is>
          <t>Still to add</t>
        </is>
      </c>
      <c r="B71" s="71" t="n">
        <v>100634</v>
      </c>
    </row>
    <row r="72">
      <c r="A72" s="165" t="inlineStr">
        <is>
          <t>Cash on hand entering Q4</t>
        </is>
      </c>
      <c r="B72" s="71" t="n">
        <v>1010838</v>
      </c>
    </row>
    <row r="73">
      <c r="A73" t="inlineStr">
        <is>
          <t>Shortfall before the loan (incl. printers, excl. 300k floor)</t>
        </is>
      </c>
      <c r="B73" s="71" t="n">
        <v>-546593</v>
      </c>
    </row>
    <row r="75">
      <c r="A75" s="258" t="inlineStr">
        <is>
          <t>Note: rapid R&amp;D premium is 107,819 (18.9%), not the ~203,301 used in earlier cash planning. 677,669 IS the rapid price. Cash is roughly 203k better than modelled, which comfortably funds the 73,000 of web tactics and the two comp uplifts.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2026-09-08T17:08:27Z</dcterms:modified>
  <cp:lastModifiedBy>Conger, Kyle E.</cp:lastModifiedBy>
</cp:coreProperties>
</file>