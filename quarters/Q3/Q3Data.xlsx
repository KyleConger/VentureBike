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  <sheet xmlns:r="http://schemas.openxmlformats.org/officeDocument/2006/relationships" name="Q3_City_Demand" sheetId="30" state="visible" r:id="rId30"/>
    <sheet xmlns:r="http://schemas.openxmlformats.org/officeDocument/2006/relationships" name="Q3_City_Strategy" sheetId="31" state="visible" r:id="rId31"/>
    <sheet xmlns:r="http://schemas.openxmlformats.org/officeDocument/2006/relationships" name="Q3_Channel" sheetId="32" state="visible" r:id="rId32"/>
    <sheet xmlns:r="http://schemas.openxmlformats.org/officeDocument/2006/relationships" name="Q3_Presence" sheetId="33" state="visible" r:id="rId33"/>
    <sheet xmlns:r="http://schemas.openxmlformats.org/officeDocument/2006/relationships" name="Q3_Staffing" sheetId="34" state="visible" r:id="rId3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0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9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  <xf numFmtId="1" fontId="0" fillId="0" borderId="0" pivotButton="0" quotePrefix="0" xfId="0"/>
    <xf numFmtId="164" fontId="28" fillId="33" borderId="0" pivotButton="0" quotePrefix="0" xfId="0"/>
    <xf numFmtId="1" fontId="28" fillId="33" borderId="0" pivotButton="0" quotePrefix="0" xfId="0"/>
    <xf numFmtId="0" fontId="0" fillId="31" borderId="0" applyAlignment="1" pivotButton="0" quotePrefix="0" xfId="0">
      <alignment wrapText="1"/>
    </xf>
    <xf numFmtId="1" fontId="0" fillId="31" borderId="0" pivotButton="0" quotePrefix="0" xfId="0"/>
    <xf numFmtId="1" fontId="0" fillId="29" borderId="0" pivotButton="0" quotePrefix="0" xfId="0"/>
    <xf numFmtId="0" fontId="28" fillId="31" borderId="0" pivotButton="0" quotePrefix="0" xfId="0"/>
    <xf numFmtId="165" fontId="0" fillId="0" borderId="0" pivotButton="0" quotePrefix="0" xfId="0"/>
    <xf numFmtId="165" fontId="28" fillId="31" borderId="0" pivotButton="0" quotePrefix="0" xfId="0"/>
    <xf numFmtId="165" fontId="0" fillId="31" borderId="0" pivotButton="0" quotePrefix="0" xfId="0"/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OC/day = forecast demand / 65 * (1 + (1 - productivity)). Never schedule below forecast again. Q3 proof: OC 8/day vs 24 owned -&gt; 204 stock-outs AND labor cost/unit up $130-&gt;$205.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Productivity pad</t>
        </is>
      </c>
      <c r="B9">
        <f>1+(1-B8)</f>
        <v/>
      </c>
    </row>
    <row r="10">
      <c r="A10" t="inlineStr">
        <is>
          <t>Required OC per day</t>
        </is>
      </c>
      <c r="B10">
        <f>B7/65*B9</f>
        <v/>
      </c>
      <c r="C10" t="inlineStr">
        <is>
          <t>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t="inlineStr">
        <is>
          <t>Q4 forecast units</t>
        </is>
      </c>
      <c r="B46">
        <f>B7</f>
        <v/>
      </c>
    </row>
    <row r="47">
      <c r="A47" t="inlineStr">
        <is>
          <t>COGS saving on forecast volume</t>
        </is>
      </c>
      <c r="B47">
        <f>B45*B46</f>
        <v/>
      </c>
    </row>
    <row r="48">
      <c r="A48" t="inlineStr">
        <is>
          <t>+ Gross margin recovered from ending stock-outs</t>
        </is>
      </c>
      <c r="B48">
        <f>Q3_Unit_Economics!I6</f>
        <v/>
      </c>
    </row>
    <row r="49">
      <c r="A49">
        <f> Combined Q4 swing vs Q3 behaviour</f>
        <v/>
      </c>
      <c r="B49" s="159">
        <f>B47+B48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20" customWidth="1" style="146" min="2" max="2"/>
    <col width="5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  <col width="15" customWidth="1" style="146" min="10" max="10"/>
  </cols>
  <sheetData>
    <row r="1">
      <c r="A1" s="169" t="inlineStr">
        <is>
          <t>Demand Distribution by Channel — Q3 actual</t>
        </is>
      </c>
    </row>
    <row r="2">
      <c r="A2" s="170" t="inlineStr">
        <is>
          <t>We cut web staff and spend in Q3. This is the bill: 120 web units, the lowest of any firm that operates a web centre, and 19.1% web mix against an industry average of 34.9%.</t>
        </is>
      </c>
    </row>
    <row r="4">
      <c r="A4" s="166" t="inlineStr">
        <is>
          <t>Company</t>
        </is>
      </c>
      <c r="B4" s="166" t="inlineStr">
        <is>
          <t>Store demand</t>
        </is>
      </c>
      <c r="C4" s="166" t="inlineStr">
        <is>
          <t>Store %</t>
        </is>
      </c>
      <c r="D4" s="166" t="inlineStr">
        <is>
          <t>Web demand</t>
        </is>
      </c>
      <c r="E4" s="166" t="inlineStr">
        <is>
          <t>Web %</t>
        </is>
      </c>
      <c r="F4" s="166" t="inlineStr">
        <is>
          <t>Total demand</t>
        </is>
      </c>
      <c r="G4" s="166" t="inlineStr">
        <is>
          <t>Stores</t>
        </is>
      </c>
      <c r="H4" s="166" t="inlineStr">
        <is>
          <t>Demand / store</t>
        </is>
      </c>
      <c r="I4" s="166" t="inlineStr">
        <is>
          <t>Web centres</t>
        </is>
      </c>
      <c r="J4" s="166" t="inlineStr">
        <is>
          <t>Demand / web centre</t>
        </is>
      </c>
    </row>
    <row r="5">
      <c r="A5" t="inlineStr">
        <is>
          <t>BB LLC</t>
        </is>
      </c>
      <c r="B5" t="n">
        <v>938</v>
      </c>
      <c r="C5" s="10" t="n">
        <v>0.6224286662242866</v>
      </c>
      <c r="D5" t="n">
        <v>569</v>
      </c>
      <c r="E5" s="10" t="n">
        <v>0.3775713337757133</v>
      </c>
      <c r="F5" t="n">
        <v>1507</v>
      </c>
      <c r="G5" t="n">
        <v>2</v>
      </c>
      <c r="H5" s="182" t="n">
        <v>469</v>
      </c>
      <c r="I5" t="n">
        <v>1</v>
      </c>
      <c r="J5" s="182" t="n">
        <v>569</v>
      </c>
    </row>
    <row r="6">
      <c r="A6" t="inlineStr">
        <is>
          <t>SpaceBikes</t>
        </is>
      </c>
      <c r="B6" t="n">
        <v>807</v>
      </c>
      <c r="C6" s="10" t="n">
        <v>0.6217257318952234</v>
      </c>
      <c r="D6" t="n">
        <v>491</v>
      </c>
      <c r="E6" s="10" t="n">
        <v>0.3782742681047766</v>
      </c>
      <c r="F6" t="n">
        <v>1298</v>
      </c>
      <c r="G6" t="n">
        <v>2</v>
      </c>
      <c r="H6" s="182" t="n">
        <v>403.5</v>
      </c>
      <c r="I6" t="n">
        <v>1</v>
      </c>
      <c r="J6" s="182" t="n">
        <v>491</v>
      </c>
    </row>
    <row r="7">
      <c r="A7" t="inlineStr">
        <is>
          <t>LiteCycle</t>
        </is>
      </c>
      <c r="B7" t="n">
        <v>549</v>
      </c>
      <c r="C7" s="10" t="n">
        <v>0.5579268292682927</v>
      </c>
      <c r="D7" t="n">
        <v>435</v>
      </c>
      <c r="E7" s="10" t="n">
        <v>0.4420731707317073</v>
      </c>
      <c r="F7" t="n">
        <v>984</v>
      </c>
      <c r="G7" t="n">
        <v>2</v>
      </c>
      <c r="H7" s="182" t="n">
        <v>274.5</v>
      </c>
      <c r="I7" t="n">
        <v>1</v>
      </c>
      <c r="J7" s="182" t="n">
        <v>435</v>
      </c>
    </row>
    <row r="8">
      <c r="A8" t="inlineStr">
        <is>
          <t>Spoke'd Up</t>
        </is>
      </c>
      <c r="B8" t="n">
        <v>716</v>
      </c>
      <c r="C8" s="10" t="n">
        <v>0.8384074941451991</v>
      </c>
      <c r="D8" t="n">
        <v>138</v>
      </c>
      <c r="E8" s="10" t="n">
        <v>0.1615925058548009</v>
      </c>
      <c r="F8" t="n">
        <v>854</v>
      </c>
      <c r="G8" t="n">
        <v>2</v>
      </c>
      <c r="H8" s="182" t="n">
        <v>358</v>
      </c>
      <c r="I8" t="n">
        <v>1</v>
      </c>
      <c r="J8" s="182" t="n">
        <v>138</v>
      </c>
    </row>
    <row r="9">
      <c r="A9" t="inlineStr">
        <is>
          <t>MILC Bikes</t>
        </is>
      </c>
      <c r="B9" t="n">
        <v>364</v>
      </c>
      <c r="C9" s="10" t="n">
        <v>0.4555694618272841</v>
      </c>
      <c r="D9" t="n">
        <v>435</v>
      </c>
      <c r="E9" s="10" t="n">
        <v>0.5444305381727159</v>
      </c>
      <c r="F9" t="n">
        <v>799</v>
      </c>
      <c r="G9" t="n">
        <v>1</v>
      </c>
      <c r="H9" s="182" t="n">
        <v>364</v>
      </c>
      <c r="I9" t="n">
        <v>1</v>
      </c>
      <c r="J9" s="182" t="n">
        <v>435</v>
      </c>
    </row>
    <row r="10">
      <c r="A10" s="171" t="inlineStr">
        <is>
          <t>WeBike</t>
        </is>
      </c>
      <c r="B10" s="171" t="n">
        <v>507</v>
      </c>
      <c r="C10" s="183" t="n">
        <v>0.8086124401913876</v>
      </c>
      <c r="D10" s="171" t="n">
        <v>120</v>
      </c>
      <c r="E10" s="183" t="n">
        <v>0.1913875598086124</v>
      </c>
      <c r="F10" s="171" t="n">
        <v>627</v>
      </c>
      <c r="G10" s="171" t="n">
        <v>2</v>
      </c>
      <c r="H10" s="184" t="n">
        <v>253.5</v>
      </c>
      <c r="I10" s="171" t="n">
        <v>1</v>
      </c>
      <c r="J10" s="184" t="n">
        <v>120</v>
      </c>
    </row>
    <row r="11">
      <c r="A11" t="inlineStr">
        <is>
          <t>Bike Bros</t>
        </is>
      </c>
      <c r="B11" t="n">
        <v>490</v>
      </c>
      <c r="C11" s="10" t="n">
        <v>1</v>
      </c>
      <c r="D11" t="n">
        <v>0</v>
      </c>
      <c r="E11" s="10" t="n">
        <v>0</v>
      </c>
      <c r="F11" t="n">
        <v>490</v>
      </c>
      <c r="G11" t="n">
        <v>1</v>
      </c>
      <c r="H11" s="182" t="n">
        <v>490</v>
      </c>
      <c r="I11" t="n">
        <v>0</v>
      </c>
      <c r="J11" s="182" t="n">
        <v>0</v>
      </c>
    </row>
    <row r="14">
      <c r="A14" s="166" t="inlineStr">
        <is>
          <t>OUR CHANNEL MIX vs INDUSTRY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WeBike web mix [%]</t>
        </is>
      </c>
      <c r="B15" s="179" t="n">
        <v>0.191</v>
      </c>
      <c r="C15" s="170" t="inlineStr">
        <is>
          <t>we CUT web staff and spend in Q3</t>
        </is>
      </c>
    </row>
    <row r="16">
      <c r="A16" t="inlineStr">
        <is>
          <t>Industry average web mix [%] (firms with a web centre)</t>
        </is>
      </c>
      <c r="B16" s="10" t="n">
        <v>0.3492215627413878</v>
      </c>
      <c r="C16" s="170" t="inlineStr">
        <is>
          <t>MILC 54.4% - LiteCycle 44.2% - BB LLC 37.8% - SpaceBikes 37.8%</t>
        </is>
      </c>
    </row>
    <row r="17">
      <c r="A17" t="inlineStr">
        <is>
          <t>Gap [pct points]</t>
        </is>
      </c>
      <c r="B17" s="10">
        <f>C16-C15</f>
        <v/>
      </c>
      <c r="C17" s="170" t="n"/>
    </row>
    <row r="18">
      <c r="A18" t="inlineStr">
        <is>
          <t>WeBike web demand [units]</t>
        </is>
      </c>
      <c r="B18" s="167" t="n">
        <v>120</v>
      </c>
      <c r="C18" s="170" t="inlineStr">
        <is>
          <t>LOWEST of any firm operating a web centre</t>
        </is>
      </c>
    </row>
    <row r="19">
      <c r="A19" t="inlineStr">
        <is>
          <t>Industry web demand range</t>
        </is>
      </c>
      <c r="B19" t="inlineStr">
        <is>
          <t>138 - 569</t>
        </is>
      </c>
      <c r="C19" s="170" t="inlineStr">
        <is>
          <t>Spoke'd Up 138 is the only firm near us</t>
        </is>
      </c>
    </row>
    <row r="20">
      <c r="A20" t="inlineStr">
        <is>
          <t>Rank on web demand</t>
        </is>
      </c>
      <c r="B20" t="inlineStr">
        <is>
          <t>6 of 7</t>
        </is>
      </c>
      <c r="C20" s="170" t="inlineStr">
        <is>
          <t>only Bike Bros is lower, and it has NO web centre</t>
        </is>
      </c>
    </row>
    <row r="23">
      <c r="A23" s="166" t="inlineStr">
        <is>
          <t>WHY WEB MATTERS MORE THAN WE THOUGHT</t>
        </is>
      </c>
      <c r="B23" s="166" t="inlineStr">
        <is>
          <t>Units</t>
        </is>
      </c>
      <c r="C23" s="166" t="inlineStr">
        <is>
          <t>Note</t>
        </is>
      </c>
    </row>
    <row r="24">
      <c r="A24" t="inlineStr">
        <is>
          <t>Our demand from New York City (no store)</t>
        </is>
      </c>
      <c r="B24" t="n">
        <v>38</v>
      </c>
      <c r="C24" s="170" t="inlineStr">
        <is>
          <t>web only</t>
        </is>
      </c>
    </row>
    <row r="25">
      <c r="A25" t="inlineStr">
        <is>
          <t>Our demand from Bangalore (no store)</t>
        </is>
      </c>
      <c r="B25" t="n">
        <v>24</v>
      </c>
      <c r="C25" s="170" t="inlineStr">
        <is>
          <t>web only</t>
        </is>
      </c>
    </row>
    <row r="26">
      <c r="A26" t="inlineStr">
        <is>
          <t>Subtotal from cities where we have NO store</t>
        </is>
      </c>
      <c r="B26">
        <f>B24+B25</f>
        <v/>
      </c>
      <c r="C26" s="170" t="n"/>
    </row>
    <row r="27">
      <c r="A27" t="inlineStr">
        <is>
          <t>Total web demand</t>
        </is>
      </c>
      <c r="B27" t="n">
        <v>120</v>
      </c>
      <c r="C27" s="170" t="n"/>
    </row>
    <row r="28">
      <c r="A28" t="inlineStr">
        <is>
          <t>Share of web demand coming from non-store cities</t>
        </is>
      </c>
      <c r="B28" s="10">
        <f>B26/B27</f>
        <v/>
      </c>
      <c r="C28" s="170" t="n"/>
    </row>
    <row r="29">
      <c r="A29" t="inlineStr">
        <is>
          <t>Store demand (Amsterdam + Rio)</t>
        </is>
      </c>
      <c r="B29" t="n">
        <v>507</v>
      </c>
      <c r="C29" s="170" t="n"/>
    </row>
    <row r="30">
      <c r="A30" t="inlineStr">
        <is>
          <t>Amsterdam + Rio total demand</t>
        </is>
      </c>
      <c r="B30" t="n">
        <v>565</v>
      </c>
      <c r="C30" s="170" t="inlineStr">
        <is>
          <t>so 58 units of web demand also came from store cities</t>
        </is>
      </c>
    </row>
    <row r="31">
      <c r="A31" t="inlineStr">
        <is>
          <t>CHECK</t>
        </is>
      </c>
      <c r="B31">
        <f>B30-B29</f>
        <v/>
      </c>
      <c r="C31" s="170" t="inlineStr">
        <is>
          <t>58 = web demand inside store cities; 58 + 62 = 120 web total</t>
        </is>
      </c>
    </row>
    <row r="32">
      <c r="A32" t="inlineStr">
        <is>
          <t>Read</t>
        </is>
      </c>
      <c r="C32" s="174" t="inlineStr">
        <is>
          <t>The web centre is HALF our reach into cities where we have no store. It is the only way to touch New York and Bangalore today, and we shrank it.</t>
        </is>
      </c>
    </row>
    <row r="35">
      <c r="A35" s="166" t="inlineStr">
        <is>
          <t>THE WEB REBUILD CASE</t>
        </is>
      </c>
      <c r="B35" s="166" t="inlineStr">
        <is>
          <t>Value</t>
        </is>
      </c>
      <c r="C35" s="166" t="inlineStr">
        <is>
          <t>Note</t>
        </is>
      </c>
    </row>
    <row r="36">
      <c r="A36" t="inlineStr">
        <is>
          <t>Current store demand [units]</t>
        </is>
      </c>
      <c r="B36" t="n">
        <v>507</v>
      </c>
      <c r="C36" s="170" t="inlineStr">
        <is>
          <t>hold constant</t>
        </is>
      </c>
    </row>
    <row r="37">
      <c r="A37" t="inlineStr">
        <is>
          <t>Current web demand [units]</t>
        </is>
      </c>
      <c r="B37" t="n">
        <v>120</v>
      </c>
      <c r="C37" s="170" t="n"/>
    </row>
    <row r="38">
      <c r="A38" t="inlineStr">
        <is>
          <t>Current total</t>
        </is>
      </c>
      <c r="B38">
        <f>B36+B37</f>
        <v/>
      </c>
      <c r="C38" s="170" t="n"/>
    </row>
    <row r="39">
      <c r="A39" t="inlineStr">
        <is>
          <t>If web mix matched industry average (34.9%)</t>
        </is>
      </c>
      <c r="C39" s="170" t="n"/>
    </row>
    <row r="40">
      <c r="A40" t="inlineStr">
        <is>
          <t xml:space="preserve">  implied total demand</t>
        </is>
      </c>
      <c r="B40">
        <f>B36/(1-0.3492)</f>
        <v/>
      </c>
      <c r="C40" s="170" t="inlineStr">
        <is>
          <t>store demand becomes 65.1% of total</t>
        </is>
      </c>
    </row>
    <row r="41">
      <c r="A41" t="inlineStr">
        <is>
          <t xml:space="preserve">  implied web demand</t>
        </is>
      </c>
      <c r="B41">
        <f>B41-B36</f>
        <v/>
      </c>
      <c r="C41" s="170" t="n"/>
    </row>
    <row r="42">
      <c r="A42" t="inlineStr">
        <is>
          <t xml:space="preserve">  ADDITIONAL demand vs today</t>
        </is>
      </c>
      <c r="B42">
        <f>B42-B37</f>
        <v/>
      </c>
      <c r="C42" s="170" t="n"/>
    </row>
    <row r="43">
      <c r="A43" t="inlineStr">
        <is>
          <t>Contribution per unit (Q3 actual, avg)</t>
        </is>
      </c>
      <c r="B43" t="n">
        <v>750</v>
      </c>
      <c r="C43" s="170" t="inlineStr">
        <is>
          <t>Hike Bike $747 / Swift Bike $756</t>
        </is>
      </c>
    </row>
    <row r="44">
      <c r="A44" t="inlineStr">
        <is>
          <t>Gross margin opportunity</t>
        </is>
      </c>
      <c r="B44">
        <f>B43*B44</f>
        <v/>
      </c>
      <c r="C44" s="170" t="n"/>
    </row>
    <row r="45">
      <c r="A45" t="inlineStr">
        <is>
          <t>Cost of ~4 additional web staff per quarter</t>
        </is>
      </c>
      <c r="B45" s="159" t="n">
        <v>24425</v>
      </c>
      <c r="C45" s="170" t="inlineStr">
        <is>
          <t>$24,425/yr each = ~$6,106/qtr x 4</t>
        </is>
      </c>
    </row>
    <row r="46">
      <c r="A46" t="inlineStr">
        <is>
          <t>Net quarterly gain</t>
        </is>
      </c>
      <c r="B46">
        <f>B45-B46</f>
        <v/>
      </c>
      <c r="C46" s="170" t="n"/>
    </row>
    <row r="47">
      <c r="A47" t="inlineStr">
        <is>
          <t>Read</t>
        </is>
      </c>
      <c r="B47" s="172" t="n"/>
      <c r="C47" s="170" t="inlineStr">
        <is>
          <t>Web headcount is the cheapest demand in the game: no lease, no store setup, and it reaches all four cities. This is a far better first dollar than a third store.</t>
        </is>
      </c>
    </row>
    <row r="48">
      <c r="C48" s="170" t="n"/>
    </row>
    <row r="50">
      <c r="A50" s="166" t="inlineStr">
        <is>
          <t>STORE PRODUCTIVITY — we under-staff what we own</t>
        </is>
      </c>
      <c r="B50" s="166" t="inlineStr">
        <is>
          <t>Demand / store</t>
        </is>
      </c>
      <c r="C50" s="166" t="inlineStr">
        <is>
          <t>Note</t>
        </is>
      </c>
    </row>
    <row r="51">
      <c r="A51" t="inlineStr">
        <is>
          <t>Bike Bros</t>
        </is>
      </c>
      <c r="B51" t="n">
        <v>490</v>
      </c>
      <c r="C51" s="170" t="inlineStr">
        <is>
          <t>ONE store, highest per-store demand in the industry</t>
        </is>
      </c>
    </row>
    <row r="52">
      <c r="A52" t="inlineStr">
        <is>
          <t>BB LLC</t>
        </is>
      </c>
      <c r="B52" t="n">
        <v>469</v>
      </c>
      <c r="C52" s="170" t="inlineStr">
        <is>
          <t>leader</t>
        </is>
      </c>
    </row>
    <row r="53">
      <c r="A53" t="inlineStr">
        <is>
          <t>SpaceBikes</t>
        </is>
      </c>
      <c r="B53" t="n">
        <v>404</v>
      </c>
      <c r="C53" s="170" t="n"/>
    </row>
    <row r="54">
      <c r="A54" t="inlineStr">
        <is>
          <t>Spoke'd Up</t>
        </is>
      </c>
      <c r="B54" t="n">
        <v>358</v>
      </c>
      <c r="C54" s="170" t="n"/>
    </row>
    <row r="55">
      <c r="A55" t="inlineStr">
        <is>
          <t>LiteCycle</t>
        </is>
      </c>
      <c r="B55" t="n">
        <v>275</v>
      </c>
      <c r="C55" s="170" t="n"/>
    </row>
    <row r="56">
      <c r="A56" t="inlineStr">
        <is>
          <t>WeBike</t>
        </is>
      </c>
      <c r="B56" s="167" t="n">
        <v>254</v>
      </c>
      <c r="C56" s="170" t="inlineStr">
        <is>
          <t>LOWEST of the two-store firms</t>
        </is>
      </c>
    </row>
    <row r="57">
      <c r="A57" t="inlineStr">
        <is>
          <t>MILC Bikes</t>
        </is>
      </c>
      <c r="B57" t="n">
        <v>364</v>
      </c>
      <c r="C57" s="170" t="inlineStr">
        <is>
          <t>web-first model; Amsterdam store base</t>
        </is>
      </c>
    </row>
    <row r="58">
      <c r="A58" t="inlineStr">
        <is>
          <t>Read</t>
        </is>
      </c>
      <c r="C58" s="170" t="inlineStr">
        <is>
          <t>BB LLC pulls 1.8x our demand from the same number of stores. Depth inside Amsterdam and Rio is unfinished business before we add a third location.</t>
        </is>
      </c>
    </row>
    <row r="61">
      <c r="A61" s="166" t="inlineStr">
        <is>
          <t>CHANNEL MODELS IN THIS INDUSTRY</t>
        </is>
      </c>
      <c r="B61" s="166" t="inlineStr">
        <is>
          <t>Profile</t>
        </is>
      </c>
      <c r="C61" s="166" t="inlineStr">
        <is>
          <t>Result</t>
        </is>
      </c>
    </row>
    <row r="62">
      <c r="A62" t="inlineStr">
        <is>
          <t>Web-first</t>
        </is>
      </c>
      <c r="B62" t="inlineStr">
        <is>
          <t>MILC Bikes - 54.4% web, lowest store demand (364)</t>
        </is>
      </c>
      <c r="C62" s="170" t="inlineStr">
        <is>
          <t>12.2% share on 1 store base</t>
        </is>
      </c>
    </row>
    <row r="63">
      <c r="A63" t="inlineStr">
        <is>
          <t>Balanced</t>
        </is>
      </c>
      <c r="B63" t="inlineStr">
        <is>
          <t>LiteCycle 44.2% - BB LLC 37.8% - SpaceBikes 37.8%</t>
        </is>
      </c>
      <c r="C63" s="181" t="inlineStr">
        <is>
          <t>the three strongest firms sit here</t>
        </is>
      </c>
    </row>
    <row r="64">
      <c r="A64" t="inlineStr">
        <is>
          <t>Store-heavy</t>
        </is>
      </c>
      <c r="B64" t="inlineStr">
        <is>
          <t>Spoke'd Up 83.8% - WeBike 80.9%</t>
        </is>
      </c>
      <c r="C64" s="170" t="inlineStr">
        <is>
          <t>13.0% and 9.6% share</t>
        </is>
      </c>
    </row>
    <row r="65">
      <c r="A65" t="inlineStr">
        <is>
          <t>Store-only</t>
        </is>
      </c>
      <c r="B65" t="inlineStr">
        <is>
          <t>Bike Bros 100% store, no web centre</t>
        </is>
      </c>
      <c r="C65" s="185" t="inlineStr">
        <is>
          <t>7.5% share, LAST, falling everywhere</t>
        </is>
      </c>
    </row>
    <row r="66">
      <c r="A66" t="inlineStr">
        <is>
          <t>Read</t>
        </is>
      </c>
      <c r="C66" s="170" t="inlineStr">
        <is>
          <t>The top three firms all run 38-44% web. Store-only is last. We are 80.9% store-heavy and drifting toward the Bike Bros failure mode.</t>
        </is>
      </c>
    </row>
    <row r="69">
      <c r="A69" s="166" t="inlineStr">
        <is>
          <t>Q4 CHANNEL ACTIONS</t>
        </is>
      </c>
      <c r="B69" s="166" t="inlineStr">
        <is>
          <t>Decision</t>
        </is>
      </c>
    </row>
    <row r="70">
      <c r="A70" t="inlineStr">
        <is>
          <t>1. Reverse the Q3 web cut</t>
        </is>
      </c>
      <c r="B70" s="174" t="inlineStr">
        <is>
          <t>Rehire web sales + support toward 6 people. Cheapest demand available: no lease, no setup, reaches all 4 cities.</t>
        </is>
      </c>
    </row>
    <row r="71">
      <c r="A71" t="inlineStr">
        <is>
          <t>2. Restart page upgrades</t>
        </is>
      </c>
      <c r="B71" s="174" t="inlineStr">
        <is>
          <t>We stopped this tactic in Q3. Toll-free stayed on. Both were cheap (~$3k and ~$6k/qtr) relative to ~$750 contribution per unit.</t>
        </is>
      </c>
    </row>
    <row r="72">
      <c r="A72" t="inlineStr">
        <is>
          <t>3. Deepen Amsterdam + Rio</t>
        </is>
      </c>
      <c r="B72" s="174" t="inlineStr">
        <is>
          <t>254 demand/store vs BB LLC's 469. Add store sales staff before adding a third city - same money, faster payback.</t>
        </is>
      </c>
    </row>
    <row r="73">
      <c r="A73" t="inlineStr">
        <is>
          <t>4. Re-evaluate city #3 order</t>
        </is>
      </c>
      <c r="B73" s="174" t="inlineStr">
        <is>
          <t>Web already reaches New York (38 units). A store there is still the biggest prize, but web staff + store depth may be the better FIRST dollar this quarter.</t>
        </is>
      </c>
    </row>
    <row r="74">
      <c r="A74" t="inlineStr">
        <is>
          <t>5. Never cut channel again</t>
        </is>
      </c>
      <c r="B74" s="174" t="inlineStr">
        <is>
          <t>Bike Bros is the control group: 100% store, no web, last place, share falling in all three segments.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48" customWidth="1" style="146" min="1" max="1"/>
    <col width="34" customWidth="1" style="146" min="2" max="2"/>
    <col width="4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</cols>
  <sheetData>
    <row r="1">
      <c r="A1" s="169" t="inlineStr">
        <is>
          <t>Competitors in City — CONFIRMED footprints, Q3</t>
        </is>
      </c>
    </row>
    <row r="2">
      <c r="A2" s="170" t="inlineStr">
        <is>
          <t>This report confirms every store location previously INFERRED from demand patterns. One correction: MILC Bikes has only ONE store (Amsterdam), not two.</t>
        </is>
      </c>
    </row>
    <row r="4">
      <c r="A4" s="166" t="inlineStr">
        <is>
          <t>Location</t>
        </is>
      </c>
      <c r="B4" s="166" t="inlineStr">
        <is>
          <t>Bike Bros</t>
        </is>
      </c>
      <c r="C4" s="166" t="inlineStr">
        <is>
          <t>LiteCycle</t>
        </is>
      </c>
      <c r="D4" s="166" t="inlineStr">
        <is>
          <t>WeBike</t>
        </is>
      </c>
      <c r="E4" s="166" t="inlineStr">
        <is>
          <t>BB LLC</t>
        </is>
      </c>
      <c r="F4" s="166" t="inlineStr">
        <is>
          <t>Spoke'd Up</t>
        </is>
      </c>
      <c r="G4" s="166" t="inlineStr">
        <is>
          <t>SpaceBikes</t>
        </is>
      </c>
      <c r="H4" s="166" t="inlineStr">
        <is>
          <t>MILC Bikes</t>
        </is>
      </c>
      <c r="I4" s="166" t="inlineStr">
        <is>
          <t>Store firms present</t>
        </is>
      </c>
    </row>
    <row r="5">
      <c r="A5" t="inlineStr">
        <is>
          <t>Amsterdam</t>
        </is>
      </c>
      <c r="B5" s="159" t="inlineStr">
        <is>
          <t>YES</t>
        </is>
      </c>
      <c r="C5" s="159" t="inlineStr">
        <is>
          <t>YES</t>
        </is>
      </c>
      <c r="D5" s="173" t="inlineStr">
        <is>
          <t>YES</t>
        </is>
      </c>
      <c r="E5" s="159" t="inlineStr">
        <is>
          <t>YES</t>
        </is>
      </c>
      <c r="F5" s="159" t="inlineStr">
        <is>
          <t>YES</t>
        </is>
      </c>
      <c r="G5" s="159" t="inlineStr">
        <is>
          <t>YES</t>
        </is>
      </c>
      <c r="H5" s="159" t="inlineStr">
        <is>
          <t>YES</t>
        </is>
      </c>
      <c r="I5" t="n">
        <v>7</v>
      </c>
    </row>
    <row r="6">
      <c r="A6" t="inlineStr">
        <is>
          <t>New York City</t>
        </is>
      </c>
      <c r="B6" t="inlineStr">
        <is>
          <t>-</t>
        </is>
      </c>
      <c r="C6" t="inlineStr">
        <is>
          <t>-</t>
        </is>
      </c>
      <c r="D6" t="inlineStr">
        <is>
          <t>-</t>
        </is>
      </c>
      <c r="E6" s="159" t="inlineStr">
        <is>
          <t>YES</t>
        </is>
      </c>
      <c r="F6" s="159" t="inlineStr">
        <is>
          <t>YES</t>
        </is>
      </c>
      <c r="G6" s="159" t="inlineStr">
        <is>
          <t>YES</t>
        </is>
      </c>
      <c r="H6" t="inlineStr">
        <is>
          <t>-</t>
        </is>
      </c>
      <c r="I6" t="n">
        <v>3</v>
      </c>
    </row>
    <row r="7">
      <c r="A7" t="inlineStr">
        <is>
          <t>Rio de Janeiro</t>
        </is>
      </c>
      <c r="B7" t="inlineStr">
        <is>
          <t>-</t>
        </is>
      </c>
      <c r="C7" t="inlineStr">
        <is>
          <t>-</t>
        </is>
      </c>
      <c r="D7" s="173" t="inlineStr">
        <is>
          <t>YES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1</v>
      </c>
    </row>
    <row r="8">
      <c r="A8" t="inlineStr">
        <is>
          <t>Bangalore</t>
        </is>
      </c>
      <c r="B8" t="inlineStr">
        <is>
          <t>-</t>
        </is>
      </c>
      <c r="C8" s="159" t="inlineStr">
        <is>
          <t>YES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n">
        <v>1</v>
      </c>
    </row>
    <row r="9">
      <c r="A9" t="inlineStr">
        <is>
          <t>Web Sales Centre</t>
        </is>
      </c>
      <c r="B9" t="inlineStr">
        <is>
          <t>-</t>
        </is>
      </c>
      <c r="C9" s="159" t="inlineStr">
        <is>
          <t>YES</t>
        </is>
      </c>
      <c r="D9" s="173" t="inlineStr">
        <is>
          <t>YES</t>
        </is>
      </c>
      <c r="E9" s="159" t="inlineStr">
        <is>
          <t>YES</t>
        </is>
      </c>
      <c r="F9" s="159" t="inlineStr">
        <is>
          <t>YES</t>
        </is>
      </c>
      <c r="G9" s="159" t="inlineStr">
        <is>
          <t>YES</t>
        </is>
      </c>
      <c r="H9" s="159" t="inlineStr">
        <is>
          <t>YES</t>
        </is>
      </c>
      <c r="I9" t="n">
        <v>6</v>
      </c>
    </row>
    <row r="12">
      <c r="A12" s="166" t="inlineStr">
        <is>
          <t>CONFIRMED FOOTPRINT</t>
        </is>
      </c>
      <c r="B12" s="166" t="inlineStr">
        <is>
          <t>Stores</t>
        </is>
      </c>
      <c r="C12" s="166" t="inlineStr">
        <is>
          <t>Cities</t>
        </is>
      </c>
      <c r="D12" s="166" t="inlineStr">
        <is>
          <t>Web centre</t>
        </is>
      </c>
      <c r="E12" s="166" t="inlineStr">
        <is>
          <t>Total demand</t>
        </is>
      </c>
    </row>
    <row r="13">
      <c r="A13" t="inlineStr">
        <is>
          <t>BB LLC</t>
        </is>
      </c>
      <c r="B13" t="n">
        <v>2</v>
      </c>
      <c r="C13" t="inlineStr">
        <is>
          <t>Amsterdam, New York City</t>
        </is>
      </c>
      <c r="D13" t="inlineStr">
        <is>
          <t>yes</t>
        </is>
      </c>
      <c r="E13" t="n">
        <v>1507</v>
      </c>
    </row>
    <row r="14">
      <c r="A14" t="inlineStr">
        <is>
          <t>SpaceBikes</t>
        </is>
      </c>
      <c r="B14" t="n">
        <v>2</v>
      </c>
      <c r="C14" t="inlineStr">
        <is>
          <t>Amsterdam, New York City</t>
        </is>
      </c>
      <c r="D14" t="inlineStr">
        <is>
          <t>yes</t>
        </is>
      </c>
      <c r="E14" t="n">
        <v>1298</v>
      </c>
    </row>
    <row r="15">
      <c r="A15" t="inlineStr">
        <is>
          <t>LiteCycle</t>
        </is>
      </c>
      <c r="B15" t="n">
        <v>2</v>
      </c>
      <c r="C15" t="inlineStr">
        <is>
          <t>Amsterdam, Bangalore</t>
        </is>
      </c>
      <c r="D15" t="inlineStr">
        <is>
          <t>yes</t>
        </is>
      </c>
      <c r="E15" t="n">
        <v>984</v>
      </c>
    </row>
    <row r="16">
      <c r="A16" t="inlineStr">
        <is>
          <t>Spoke'd Up</t>
        </is>
      </c>
      <c r="B16" t="n">
        <v>2</v>
      </c>
      <c r="C16" t="inlineStr">
        <is>
          <t>Amsterdam, New York City</t>
        </is>
      </c>
      <c r="D16" t="inlineStr">
        <is>
          <t>yes</t>
        </is>
      </c>
      <c r="E16" t="n">
        <v>854</v>
      </c>
    </row>
    <row r="17">
      <c r="A17" t="inlineStr">
        <is>
          <t>MILC Bikes</t>
        </is>
      </c>
      <c r="B17" t="n">
        <v>1</v>
      </c>
      <c r="C17" t="inlineStr">
        <is>
          <t>Amsterdam</t>
        </is>
      </c>
      <c r="D17" t="inlineStr">
        <is>
          <t>yes</t>
        </is>
      </c>
      <c r="E17" t="n">
        <v>799</v>
      </c>
    </row>
    <row r="18">
      <c r="A18" s="173" t="inlineStr">
        <is>
          <t>WeBike</t>
        </is>
      </c>
      <c r="B18" s="173" t="n">
        <v>2</v>
      </c>
      <c r="C18" s="173" t="inlineStr">
        <is>
          <t>Amsterdam, Rio de Janeiro</t>
        </is>
      </c>
      <c r="D18" s="173" t="inlineStr">
        <is>
          <t>yes</t>
        </is>
      </c>
      <c r="E18" s="173" t="n">
        <v>627</v>
      </c>
    </row>
    <row r="19">
      <c r="A19" t="inlineStr">
        <is>
          <t>Bike Bros</t>
        </is>
      </c>
      <c r="B19" t="n">
        <v>1</v>
      </c>
      <c r="C19" t="inlineStr">
        <is>
          <t>Amsterdam</t>
        </is>
      </c>
      <c r="D19" s="167" t="inlineStr">
        <is>
          <t>NO</t>
        </is>
      </c>
      <c r="E19" t="n">
        <v>490</v>
      </c>
    </row>
    <row r="22">
      <c r="A22" s="166" t="inlineStr">
        <is>
          <t>MARKET STRUCTURE — a store never captures the whole city</t>
        </is>
      </c>
      <c r="B22" s="166" t="inlineStr">
        <is>
          <t>Store firms</t>
        </is>
      </c>
      <c r="C22" s="166" t="inlineStr">
        <is>
          <t>Store-firm demand</t>
        </is>
      </c>
      <c r="D22" s="166" t="inlineStr">
        <is>
          <t>Store capture %</t>
        </is>
      </c>
      <c r="E22" s="166" t="inlineStr">
        <is>
          <t>Web-only demand</t>
        </is>
      </c>
      <c r="F22" s="166" t="inlineStr">
        <is>
          <t>Web-only %</t>
        </is>
      </c>
      <c r="G22" s="166" t="inlineStr">
        <is>
          <t>Avg per store firm</t>
        </is>
      </c>
    </row>
    <row r="23">
      <c r="A23" t="inlineStr">
        <is>
          <t>Amsterdam</t>
        </is>
      </c>
      <c r="B23" t="n">
        <v>7</v>
      </c>
      <c r="C23" t="n">
        <v>2985</v>
      </c>
      <c r="D23" s="10" t="n">
        <v>1</v>
      </c>
      <c r="E23" t="n">
        <v>0</v>
      </c>
      <c r="F23" s="10" t="n">
        <v>0</v>
      </c>
      <c r="G23" s="186" t="n">
        <v>426.4285714285714</v>
      </c>
    </row>
    <row r="24">
      <c r="A24" t="inlineStr">
        <is>
          <t>New York City</t>
        </is>
      </c>
      <c r="B24" t="n">
        <v>3</v>
      </c>
      <c r="C24" t="n">
        <v>1738</v>
      </c>
      <c r="D24" s="10" t="n">
        <v>0.8523786169691026</v>
      </c>
      <c r="E24" t="n">
        <v>301</v>
      </c>
      <c r="F24" s="10" t="n">
        <v>0.1476213830308975</v>
      </c>
      <c r="G24" s="187" t="n">
        <v>579.3333333333334</v>
      </c>
    </row>
    <row r="25">
      <c r="A25" t="inlineStr">
        <is>
          <t>Rio de Janeiro</t>
        </is>
      </c>
      <c r="B25" t="n">
        <v>1</v>
      </c>
      <c r="C25" t="n">
        <v>270</v>
      </c>
      <c r="D25" s="10" t="n">
        <v>0.3488372093023256</v>
      </c>
      <c r="E25" t="n">
        <v>504</v>
      </c>
      <c r="F25" s="10" t="n">
        <v>0.6511627906976745</v>
      </c>
      <c r="G25" s="182" t="n">
        <v>270</v>
      </c>
    </row>
    <row r="26">
      <c r="A26" t="inlineStr">
        <is>
          <t>Bangalore</t>
        </is>
      </c>
      <c r="B26" t="n">
        <v>1</v>
      </c>
      <c r="C26" t="n">
        <v>370</v>
      </c>
      <c r="D26" s="10" t="n">
        <v>0.4862023653088042</v>
      </c>
      <c r="E26" t="n">
        <v>391</v>
      </c>
      <c r="F26" s="10" t="n">
        <v>0.5137976346911958</v>
      </c>
      <c r="G26" s="182" t="n">
        <v>370</v>
      </c>
    </row>
    <row r="29">
      <c r="A29" s="166" t="inlineStr">
        <is>
          <t>CORRECTION — Amsterdam is the MOST contested city, not an open one</t>
        </is>
      </c>
      <c r="B29" s="166" t="inlineStr">
        <is>
          <t>Note</t>
        </is>
      </c>
    </row>
    <row r="30">
      <c r="A30" t="inlineStr">
        <is>
          <t>Earlier read</t>
        </is>
      </c>
      <c r="B30" s="185" t="inlineStr">
        <is>
          <t>'No rival exceeds 16.5%, so Amsterdam is genuinely open.'</t>
        </is>
      </c>
    </row>
    <row r="31">
      <c r="A31" t="inlineStr">
        <is>
          <t>What the presence report shows</t>
        </is>
      </c>
      <c r="B31" s="170" t="inlineStr">
        <is>
          <t>ALL SEVEN firms hold an Amsterdam store. Nobody exceeds 16.5% precisely BECAUSE all seven are there.</t>
        </is>
      </c>
    </row>
    <row r="32">
      <c r="A32" t="inlineStr">
        <is>
          <t>Avg demand per store firm - Amsterdam</t>
        </is>
      </c>
      <c r="B32" s="170" t="n">
        <v>426</v>
      </c>
    </row>
    <row r="33">
      <c r="A33" t="inlineStr">
        <is>
          <t>Avg demand per store firm - New York City</t>
        </is>
      </c>
      <c r="B33" s="170" t="n">
        <v>579</v>
      </c>
    </row>
    <row r="34">
      <c r="A34" t="inlineStr">
        <is>
          <t>Implication</t>
        </is>
      </c>
      <c r="B34" s="181" t="inlineStr">
        <is>
          <t>A store in New York is worth MORE than deeper investment in Amsterdam. Amsterdam is 2,985 units split 7 ways; New York is 2,039 units split 3 ways. Gaining share in Amsterdam means taking it from six store-equipped rivals.</t>
        </is>
      </c>
    </row>
    <row r="37">
      <c r="A37" s="166" t="inlineStr">
        <is>
          <t>RIO — we under-exploit our monopoly</t>
        </is>
      </c>
      <c r="B37" s="166" t="inlineStr">
        <is>
          <t>WeBike in Rio</t>
        </is>
      </c>
      <c r="C37" s="166" t="inlineStr">
        <is>
          <t>LiteCycle in Bangalore</t>
        </is>
      </c>
    </row>
    <row r="38">
      <c r="A38" t="inlineStr">
        <is>
          <t>Only firm with a store in the city</t>
        </is>
      </c>
      <c r="B38" t="inlineStr">
        <is>
          <t>yes</t>
        </is>
      </c>
      <c r="C38" t="inlineStr">
        <is>
          <t>yes</t>
        </is>
      </c>
    </row>
    <row r="39">
      <c r="A39" t="inlineStr">
        <is>
          <t>City demand</t>
        </is>
      </c>
      <c r="B39" t="n">
        <v>774</v>
      </c>
      <c r="C39" t="n">
        <v>761</v>
      </c>
    </row>
    <row r="40">
      <c r="A40" t="inlineStr">
        <is>
          <t>Our / their units</t>
        </is>
      </c>
      <c r="B40" t="n">
        <v>270</v>
      </c>
      <c r="C40" t="n">
        <v>370</v>
      </c>
    </row>
    <row r="41">
      <c r="A41" t="inlineStr">
        <is>
          <t>Share as sole store holder</t>
        </is>
      </c>
      <c r="B41" s="179" t="n">
        <v>0.349</v>
      </c>
      <c r="C41" s="161" t="n">
        <v>0.486</v>
      </c>
    </row>
    <row r="42">
      <c r="A42" t="inlineStr">
        <is>
          <t>Gap</t>
        </is>
      </c>
      <c r="B42">
        <f>C41-B41</f>
        <v/>
      </c>
      <c r="C42" t="inlineStr">
        <is>
          <t>13.7 pts of share we leave on the table</t>
        </is>
      </c>
    </row>
    <row r="43">
      <c r="A43" t="inlineStr">
        <is>
          <t>Web-only rivals take</t>
        </is>
      </c>
      <c r="B43" t="n">
        <v>504</v>
      </c>
      <c r="C43" t="n">
        <v>391</v>
      </c>
    </row>
    <row r="44">
      <c r="A44" t="inlineStr">
        <is>
          <t>Web-only rivals' capture %</t>
        </is>
      </c>
      <c r="B44" s="10">
        <f>B43/B39</f>
        <v/>
      </c>
      <c r="C44" s="10">
        <f>C43/C39</f>
        <v/>
      </c>
    </row>
    <row r="45">
      <c r="A45" t="inlineStr">
        <is>
          <t>Read</t>
        </is>
      </c>
      <c r="C45" s="174" t="inlineStr">
        <is>
          <t>Same structural position, nearly identical city size - LiteCycle extracts 13.7 more points than we do. Rio opened only in Q3 and we stocked out, so some of this is timing. But 65% of OUR exclusive city still goes to rivals who have no store there at all.</t>
        </is>
      </c>
    </row>
    <row r="48">
      <c r="A48" s="166" t="inlineStr">
        <is>
          <t>WHY THE WEB CASE IS NOW STRONGER</t>
        </is>
      </c>
      <c r="B48" s="166" t="inlineStr">
        <is>
          <t>Note</t>
        </is>
      </c>
    </row>
    <row r="49">
      <c r="A49" t="inlineStr">
        <is>
          <t>Evidence</t>
        </is>
      </c>
      <c r="B49" s="170" t="inlineStr">
        <is>
          <t>BB LLC pulls 139 units out of Rio with NO store there - 51% of what we get WITH a store. SpaceBikes 120, MILC 107, LiteCycle 106. Web-only rivals took 504 of Rio's 774 units.</t>
        </is>
      </c>
    </row>
    <row r="50">
      <c r="A50" t="inlineStr">
        <is>
          <t>Our mirror position</t>
        </is>
      </c>
      <c r="B50" s="170" t="inlineStr">
        <is>
          <t>We pull only 38 from New York and 24 from Bangalore by web. Rivals do 3-5x better at the same trick.</t>
        </is>
      </c>
    </row>
    <row r="51">
      <c r="A51" t="inlineStr">
        <is>
          <t>Conclusion</t>
        </is>
      </c>
      <c r="B51" s="174" t="inlineStr">
        <is>
          <t>Web reach is not a consolation prize for cities we skip - it is how the strong firms raid cities they never entered. Our 19.1% web mix is costing us in all four cities, including the two where we have stores.</t>
        </is>
      </c>
    </row>
    <row r="54">
      <c r="A54" s="166" t="inlineStr">
        <is>
          <t>CITY #3 — updated read</t>
        </is>
      </c>
      <c r="B54" s="166" t="inlineStr">
        <is>
          <t>New York City</t>
        </is>
      </c>
      <c r="C54" s="166" t="inlineStr">
        <is>
          <t>Bangalore</t>
        </is>
      </c>
    </row>
    <row r="55">
      <c r="A55" t="inlineStr">
        <is>
          <t>City demand</t>
        </is>
      </c>
      <c r="B55" t="n">
        <v>2039</v>
      </c>
      <c r="C55" t="n">
        <v>761</v>
      </c>
    </row>
    <row r="56">
      <c r="A56" t="inlineStr">
        <is>
          <t>Store firms already present</t>
        </is>
      </c>
      <c r="B56" t="n">
        <v>3</v>
      </c>
      <c r="C56" t="n">
        <v>1</v>
      </c>
    </row>
    <row r="57">
      <c r="A57" t="inlineStr">
        <is>
          <t>Avg demand per store firm today</t>
        </is>
      </c>
      <c r="B57" t="n">
        <v>579</v>
      </c>
      <c r="C57" t="n">
        <v>370</v>
      </c>
    </row>
    <row r="58">
      <c r="A58" t="inlineStr">
        <is>
          <t>Weakest incumbent store firm</t>
        </is>
      </c>
      <c r="B58" t="inlineStr">
        <is>
          <t>Spoke'd Up 412</t>
        </is>
      </c>
      <c r="C58" t="inlineStr">
        <is>
          <t>n/a</t>
        </is>
      </c>
    </row>
    <row r="59">
      <c r="A59" t="inlineStr">
        <is>
          <t>Our current web-only demand there</t>
        </is>
      </c>
      <c r="B59" t="n">
        <v>38</v>
      </c>
      <c r="C59" t="n">
        <v>24</v>
      </c>
    </row>
    <row r="60">
      <c r="A60" t="inlineStr">
        <is>
          <t>Plausible units with a store</t>
        </is>
      </c>
      <c r="B60" t="inlineStr">
        <is>
          <t>412 - 574 (match Spoke'd Up or SpaceBikes)</t>
        </is>
      </c>
      <c r="C60" t="inlineStr">
        <is>
          <t>~250 (split LiteCycle's monopoly)</t>
        </is>
      </c>
    </row>
    <row r="61">
      <c r="A61" t="inlineStr">
        <is>
          <t>Verdict</t>
        </is>
      </c>
      <c r="B61" s="181" t="inlineStr">
        <is>
          <t>STILL THE BEST STORE TARGET. 2.7x the demand, and only 3 rivals hold stores vs Amsterdam's 7. Enter via SPEED (880 units, no dominant firm) - BB LLC holds 82.8% of NYC Mountain.</t>
        </is>
      </c>
      <c r="C61" s="170" t="inlineStr">
        <is>
          <t>Smallest prize. LiteCycle's 48.6% monopoly is the industry's most concentrated position.</t>
        </is>
      </c>
    </row>
    <row r="64">
      <c r="A64" s="166" t="inlineStr">
        <is>
          <t>Q4 SEQUENCING — reconciling depth vs breadth</t>
        </is>
      </c>
      <c r="B64" s="166" t="inlineStr">
        <is>
          <t>Decision</t>
        </is>
      </c>
    </row>
    <row r="65">
      <c r="A65" t="inlineStr">
        <is>
          <t>1st dollar: web rebuild</t>
        </is>
      </c>
      <c r="B65" s="174" t="inlineStr">
        <is>
          <t>Cheapest demand, reaches all 4 cities, pays back in-quarter (~+$89,600). Rivals prove web raids cities you never enter.</t>
        </is>
      </c>
    </row>
    <row r="66">
      <c r="A66" t="inlineStr">
        <is>
          <t>2nd dollar: Rio depth</t>
        </is>
      </c>
      <c r="B66" s="174" t="inlineStr">
        <is>
          <t>We are the ONLY store in Rio and extract just 34.9% vs LiteCycle's 48.6% in the same position. Closing that gap is ~106 units with no new lease.</t>
        </is>
      </c>
    </row>
    <row r="67">
      <c r="A67" t="inlineStr">
        <is>
          <t>3rd dollar: New York store</t>
        </is>
      </c>
      <c r="B67" s="174" t="inlineStr">
        <is>
          <t>Biggest single prize (2,039 units, only 3 store rivals). Enter through Speed once Swift Bike is fixed to 77.</t>
        </is>
      </c>
    </row>
    <row r="68">
      <c r="A68" t="inlineStr">
        <is>
          <t>NOT a priority</t>
        </is>
      </c>
      <c r="B68" s="174" t="inlineStr">
        <is>
          <t>Deepening Amsterdam against 6 store-equipped rivals; opening Bangalore against LiteCycle's entrenched 48.6%.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40" customWidth="1" style="146" min="2" max="2"/>
    <col width="34" customWidth="1" style="146" min="3" max="3"/>
    <col width="30" customWidth="1" style="146" min="4" max="4"/>
    <col width="13" customWidth="1" style="146" min="5" max="5"/>
    <col width="13" customWidth="1" style="146" min="6" max="6"/>
    <col width="13" customWidth="1" style="146" min="7" max="7"/>
    <col width="13" customWidth="1" style="146" min="8" max="8"/>
    <col width="13" customWidth="1" style="146" min="9" max="9"/>
    <col width="13" customWidth="1" style="146" min="10" max="10"/>
  </cols>
  <sheetData>
    <row r="1">
      <c r="A1" s="169" t="inlineStr">
        <is>
          <t>Sales and Service People — World Market, Q3 actual</t>
        </is>
      </c>
    </row>
    <row r="2">
      <c r="A2" s="170" t="inlineStr">
        <is>
          <t>Two hard findings: 7 people per city is the cap (nobody exceeds it, and Amsterdam has us AT it), and we are the only firm besides Bike Bros carrying UNTRAINED staff.</t>
        </is>
      </c>
    </row>
    <row r="4">
      <c r="A4" s="166" t="inlineStr">
        <is>
          <t>City</t>
        </is>
      </c>
      <c r="B4" s="166" t="inlineStr">
        <is>
          <t>Company</t>
        </is>
      </c>
      <c r="C4" s="166" t="inlineStr">
        <is>
          <t>Total</t>
        </is>
      </c>
      <c r="D4" s="166" t="inlineStr">
        <is>
          <t>Service</t>
        </is>
      </c>
      <c r="E4" s="166" t="inlineStr">
        <is>
          <t>Recreation</t>
        </is>
      </c>
      <c r="F4" s="166" t="inlineStr">
        <is>
          <t>Mountain</t>
        </is>
      </c>
      <c r="G4" s="166" t="inlineStr">
        <is>
          <t>Speed</t>
        </is>
      </c>
      <c r="H4" s="166" t="inlineStr">
        <is>
          <t>Assigned</t>
        </is>
      </c>
      <c r="I4" s="166" t="inlineStr">
        <is>
          <t>UNTRAINED</t>
        </is>
      </c>
      <c r="J4" s="166" t="inlineStr">
        <is>
          <t>At 7-cap?</t>
        </is>
      </c>
    </row>
    <row r="5">
      <c r="A5" t="inlineStr">
        <is>
          <t>New York City</t>
        </is>
      </c>
      <c r="B5" t="inlineStr">
        <is>
          <t>BB LLC</t>
        </is>
      </c>
      <c r="C5" t="n">
        <v>7</v>
      </c>
      <c r="D5" t="n">
        <v>1</v>
      </c>
      <c r="E5" t="n">
        <v>0</v>
      </c>
      <c r="F5" t="n">
        <v>3</v>
      </c>
      <c r="G5" t="n">
        <v>3</v>
      </c>
      <c r="H5" t="n">
        <v>7</v>
      </c>
      <c r="I5" t="n">
        <v>0</v>
      </c>
      <c r="J5" t="inlineStr">
        <is>
          <t>YES</t>
        </is>
      </c>
    </row>
    <row r="6">
      <c r="A6" t="inlineStr">
        <is>
          <t>New York City</t>
        </is>
      </c>
      <c r="B6" t="inlineStr">
        <is>
          <t>Spoke'd Up</t>
        </is>
      </c>
      <c r="C6" t="n">
        <v>5</v>
      </c>
      <c r="D6" t="n">
        <v>1</v>
      </c>
      <c r="E6" t="n">
        <v>2</v>
      </c>
      <c r="F6" t="n">
        <v>0</v>
      </c>
      <c r="G6" t="n">
        <v>2</v>
      </c>
      <c r="H6" t="n">
        <v>5</v>
      </c>
      <c r="I6" t="n">
        <v>0</v>
      </c>
      <c r="J6" t="inlineStr"/>
    </row>
    <row r="7">
      <c r="A7" t="inlineStr">
        <is>
          <t>New York City</t>
        </is>
      </c>
      <c r="B7" t="inlineStr">
        <is>
          <t>SpaceBikes</t>
        </is>
      </c>
      <c r="C7" t="n">
        <v>7</v>
      </c>
      <c r="D7" t="n">
        <v>2</v>
      </c>
      <c r="E7" t="n">
        <v>2</v>
      </c>
      <c r="F7" t="n">
        <v>0</v>
      </c>
      <c r="G7" t="n">
        <v>3</v>
      </c>
      <c r="H7" t="n">
        <v>7</v>
      </c>
      <c r="I7" t="n">
        <v>0</v>
      </c>
      <c r="J7" t="inlineStr">
        <is>
          <t>YES</t>
        </is>
      </c>
    </row>
    <row r="8">
      <c r="A8" s="171" t="inlineStr">
        <is>
          <t>Rio de Janeiro</t>
        </is>
      </c>
      <c r="B8" s="171" t="inlineStr">
        <is>
          <t>WeBike</t>
        </is>
      </c>
      <c r="C8" s="171" t="n">
        <v>4</v>
      </c>
      <c r="D8" s="171" t="n">
        <v>1</v>
      </c>
      <c r="E8" s="171" t="n">
        <v>0</v>
      </c>
      <c r="F8" s="171" t="n">
        <v>1</v>
      </c>
      <c r="G8" s="171" t="n">
        <v>1</v>
      </c>
      <c r="H8" s="171" t="n">
        <v>3</v>
      </c>
      <c r="I8" s="188" t="n">
        <v>1</v>
      </c>
      <c r="J8" s="171" t="inlineStr"/>
    </row>
    <row r="9">
      <c r="A9" t="inlineStr">
        <is>
          <t>Amsterdam</t>
        </is>
      </c>
      <c r="B9" t="inlineStr">
        <is>
          <t>Bike Bros</t>
        </is>
      </c>
      <c r="C9" t="n">
        <v>7</v>
      </c>
      <c r="D9" t="n">
        <v>2</v>
      </c>
      <c r="E9" t="n">
        <v>0</v>
      </c>
      <c r="F9" t="n">
        <v>2</v>
      </c>
      <c r="G9" t="n">
        <v>2</v>
      </c>
      <c r="H9" t="n">
        <v>6</v>
      </c>
      <c r="I9" s="167" t="n">
        <v>1</v>
      </c>
      <c r="J9" t="inlineStr">
        <is>
          <t>YES</t>
        </is>
      </c>
    </row>
    <row r="10">
      <c r="A10" t="inlineStr">
        <is>
          <t>Amsterdam</t>
        </is>
      </c>
      <c r="B10" t="inlineStr">
        <is>
          <t>LiteCycle</t>
        </is>
      </c>
      <c r="C10" t="n">
        <v>5</v>
      </c>
      <c r="D10" t="n">
        <v>1</v>
      </c>
      <c r="E10" t="n">
        <v>0</v>
      </c>
      <c r="F10" t="n">
        <v>1</v>
      </c>
      <c r="G10" t="n">
        <v>3</v>
      </c>
      <c r="H10" t="n">
        <v>5</v>
      </c>
      <c r="I10" t="n">
        <v>0</v>
      </c>
      <c r="J10" t="inlineStr"/>
    </row>
    <row r="11">
      <c r="A11" s="171" t="inlineStr">
        <is>
          <t>Amsterdam</t>
        </is>
      </c>
      <c r="B11" s="171" t="inlineStr">
        <is>
          <t>WeBike</t>
        </is>
      </c>
      <c r="C11" s="171" t="n">
        <v>7</v>
      </c>
      <c r="D11" s="171" t="n">
        <v>1</v>
      </c>
      <c r="E11" s="171" t="n">
        <v>0</v>
      </c>
      <c r="F11" s="171" t="n">
        <v>3</v>
      </c>
      <c r="G11" s="171" t="n">
        <v>2</v>
      </c>
      <c r="H11" s="171" t="n">
        <v>6</v>
      </c>
      <c r="I11" s="188" t="n">
        <v>1</v>
      </c>
      <c r="J11" s="171" t="inlineStr">
        <is>
          <t>YES</t>
        </is>
      </c>
    </row>
    <row r="12">
      <c r="A12" t="inlineStr">
        <is>
          <t>Amsterdam</t>
        </is>
      </c>
      <c r="B12" t="inlineStr">
        <is>
          <t>BB LLC</t>
        </is>
      </c>
      <c r="C12" t="n">
        <v>7</v>
      </c>
      <c r="D12" t="n">
        <v>1</v>
      </c>
      <c r="E12" t="n">
        <v>0</v>
      </c>
      <c r="F12" t="n">
        <v>3</v>
      </c>
      <c r="G12" t="n">
        <v>3</v>
      </c>
      <c r="H12" t="n">
        <v>7</v>
      </c>
      <c r="I12" t="n">
        <v>0</v>
      </c>
      <c r="J12" t="inlineStr">
        <is>
          <t>YES</t>
        </is>
      </c>
    </row>
    <row r="13">
      <c r="A13" t="inlineStr">
        <is>
          <t>Amsterdam</t>
        </is>
      </c>
      <c r="B13" t="inlineStr">
        <is>
          <t>Spoke'd Up</t>
        </is>
      </c>
      <c r="C13" t="n">
        <v>6</v>
      </c>
      <c r="D13" t="n">
        <v>1</v>
      </c>
      <c r="E13" t="n">
        <v>2</v>
      </c>
      <c r="F13" t="n">
        <v>0</v>
      </c>
      <c r="G13" t="n">
        <v>3</v>
      </c>
      <c r="H13" t="n">
        <v>6</v>
      </c>
      <c r="I13" t="n">
        <v>0</v>
      </c>
      <c r="J13" t="inlineStr"/>
    </row>
    <row r="14">
      <c r="A14" t="inlineStr">
        <is>
          <t>Amsterdam</t>
        </is>
      </c>
      <c r="B14" t="inlineStr">
        <is>
          <t>SpaceBikes</t>
        </is>
      </c>
      <c r="C14" t="n">
        <v>7</v>
      </c>
      <c r="D14" t="n">
        <v>2</v>
      </c>
      <c r="E14" t="n">
        <v>2</v>
      </c>
      <c r="F14" t="n">
        <v>0</v>
      </c>
      <c r="G14" t="n">
        <v>3</v>
      </c>
      <c r="H14" t="n">
        <v>7</v>
      </c>
      <c r="I14" t="n">
        <v>0</v>
      </c>
      <c r="J14" t="inlineStr">
        <is>
          <t>YES</t>
        </is>
      </c>
    </row>
    <row r="15">
      <c r="A15" t="inlineStr">
        <is>
          <t>Amsterdam</t>
        </is>
      </c>
      <c r="B15" t="inlineStr">
        <is>
          <t>MILC Bikes</t>
        </is>
      </c>
      <c r="C15" t="n">
        <v>7</v>
      </c>
      <c r="D15" t="n">
        <v>1</v>
      </c>
      <c r="E15" t="n">
        <v>3</v>
      </c>
      <c r="F15" t="n">
        <v>0</v>
      </c>
      <c r="G15" t="n">
        <v>3</v>
      </c>
      <c r="H15" t="n">
        <v>7</v>
      </c>
      <c r="I15" t="n">
        <v>0</v>
      </c>
      <c r="J15" t="inlineStr">
        <is>
          <t>YES</t>
        </is>
      </c>
    </row>
    <row r="16">
      <c r="A16" t="inlineStr">
        <is>
          <t>Bangalore</t>
        </is>
      </c>
      <c r="B16" t="inlineStr">
        <is>
          <t>LiteCycle</t>
        </is>
      </c>
      <c r="C16" t="n">
        <v>5</v>
      </c>
      <c r="D16" t="n">
        <v>1</v>
      </c>
      <c r="E16" t="n">
        <v>0</v>
      </c>
      <c r="F16" t="n">
        <v>1</v>
      </c>
      <c r="G16" t="n">
        <v>3</v>
      </c>
      <c r="H16" t="n">
        <v>5</v>
      </c>
      <c r="I16" t="n">
        <v>0</v>
      </c>
      <c r="J16" t="inlineStr"/>
    </row>
    <row r="19">
      <c r="A19" s="166" t="inlineStr">
        <is>
          <t>FIRM ROLLUP</t>
        </is>
      </c>
      <c r="B19" s="166" t="inlineStr">
        <is>
          <t>Store people</t>
        </is>
      </c>
      <c r="C19" s="166" t="inlineStr">
        <is>
          <t>Service</t>
        </is>
      </c>
      <c r="D19" s="166" t="inlineStr">
        <is>
          <t>Recreation</t>
        </is>
      </c>
      <c r="E19" s="166" t="inlineStr">
        <is>
          <t>Mountain</t>
        </is>
      </c>
      <c r="F19" s="166" t="inlineStr">
        <is>
          <t>Speed</t>
        </is>
      </c>
      <c r="G19" s="166" t="inlineStr">
        <is>
          <t>Untrained</t>
        </is>
      </c>
      <c r="H19" s="166" t="inlineStr">
        <is>
          <t>Store demand</t>
        </is>
      </c>
      <c r="I19" s="166" t="inlineStr">
        <is>
          <t>Demand / store person</t>
        </is>
      </c>
    </row>
    <row r="20">
      <c r="A20" t="inlineStr">
        <is>
          <t>Bike Bros</t>
        </is>
      </c>
      <c r="B20" t="n">
        <v>7</v>
      </c>
      <c r="C20" t="n">
        <v>2</v>
      </c>
      <c r="D20" t="n">
        <v>0</v>
      </c>
      <c r="E20" t="n">
        <v>2</v>
      </c>
      <c r="F20" t="n">
        <v>2</v>
      </c>
      <c r="G20" t="n">
        <v>1</v>
      </c>
      <c r="H20" t="n">
        <v>490</v>
      </c>
      <c r="I20" s="189" t="n">
        <v>70</v>
      </c>
    </row>
    <row r="21">
      <c r="A21" t="inlineStr">
        <is>
          <t>BB LLC</t>
        </is>
      </c>
      <c r="B21" t="n">
        <v>14</v>
      </c>
      <c r="C21" t="n">
        <v>2</v>
      </c>
      <c r="D21" t="n">
        <v>0</v>
      </c>
      <c r="E21" t="n">
        <v>6</v>
      </c>
      <c r="F21" t="n">
        <v>6</v>
      </c>
      <c r="G21" t="n">
        <v>0</v>
      </c>
      <c r="H21" t="n">
        <v>938</v>
      </c>
      <c r="I21" s="189" t="n">
        <v>67</v>
      </c>
    </row>
    <row r="22">
      <c r="A22" t="inlineStr">
        <is>
          <t>Spoke'd Up</t>
        </is>
      </c>
      <c r="B22" t="n">
        <v>11</v>
      </c>
      <c r="C22" t="n">
        <v>2</v>
      </c>
      <c r="D22" t="n">
        <v>4</v>
      </c>
      <c r="E22" t="n">
        <v>0</v>
      </c>
      <c r="F22" t="n">
        <v>5</v>
      </c>
      <c r="G22" t="n">
        <v>0</v>
      </c>
      <c r="H22" t="n">
        <v>716</v>
      </c>
      <c r="I22" s="189" t="n">
        <v>65.09090909090909</v>
      </c>
    </row>
    <row r="23">
      <c r="A23" t="inlineStr">
        <is>
          <t>SpaceBikes</t>
        </is>
      </c>
      <c r="B23" t="n">
        <v>14</v>
      </c>
      <c r="C23" t="n">
        <v>4</v>
      </c>
      <c r="D23" t="n">
        <v>4</v>
      </c>
      <c r="E23" t="n">
        <v>0</v>
      </c>
      <c r="F23" t="n">
        <v>6</v>
      </c>
      <c r="G23" t="n">
        <v>0</v>
      </c>
      <c r="H23" t="n">
        <v>807</v>
      </c>
      <c r="I23" s="189" t="n">
        <v>57.64285714285715</v>
      </c>
    </row>
    <row r="24">
      <c r="A24" t="inlineStr">
        <is>
          <t>LiteCycle</t>
        </is>
      </c>
      <c r="B24" t="n">
        <v>10</v>
      </c>
      <c r="C24" t="n">
        <v>2</v>
      </c>
      <c r="D24" t="n">
        <v>0</v>
      </c>
      <c r="E24" t="n">
        <v>2</v>
      </c>
      <c r="F24" t="n">
        <v>6</v>
      </c>
      <c r="G24" t="n">
        <v>0</v>
      </c>
      <c r="H24" t="n">
        <v>549</v>
      </c>
      <c r="I24" s="189" t="n">
        <v>54.9</v>
      </c>
    </row>
    <row r="25">
      <c r="A25" t="inlineStr">
        <is>
          <t>MILC Bikes</t>
        </is>
      </c>
      <c r="B25" t="n">
        <v>7</v>
      </c>
      <c r="C25" t="n">
        <v>1</v>
      </c>
      <c r="D25" t="n">
        <v>3</v>
      </c>
      <c r="E25" t="n">
        <v>0</v>
      </c>
      <c r="F25" t="n">
        <v>3</v>
      </c>
      <c r="G25" t="n">
        <v>0</v>
      </c>
      <c r="H25" t="n">
        <v>364</v>
      </c>
      <c r="I25" s="189" t="n">
        <v>52</v>
      </c>
    </row>
    <row r="26">
      <c r="A26" s="171" t="inlineStr">
        <is>
          <t>WeBike</t>
        </is>
      </c>
      <c r="B26" s="171" t="n">
        <v>11</v>
      </c>
      <c r="C26" s="171" t="n">
        <v>2</v>
      </c>
      <c r="D26" s="171" t="n">
        <v>0</v>
      </c>
      <c r="E26" s="171" t="n">
        <v>4</v>
      </c>
      <c r="F26" s="171" t="n">
        <v>3</v>
      </c>
      <c r="G26" s="188" t="n">
        <v>2</v>
      </c>
      <c r="H26" s="171" t="n">
        <v>507</v>
      </c>
      <c r="I26" s="190" t="n">
        <v>46.09090909090909</v>
      </c>
    </row>
    <row r="29">
      <c r="A29" s="166" t="inlineStr">
        <is>
          <t>PRODUCTIVITY GAP</t>
        </is>
      </c>
      <c r="B29" s="166" t="inlineStr">
        <is>
          <t>Value</t>
        </is>
      </c>
      <c r="C29" s="166" t="inlineStr">
        <is>
          <t>Note</t>
        </is>
      </c>
    </row>
    <row r="30">
      <c r="A30" t="inlineStr">
        <is>
          <t>WeBike demand per store person</t>
        </is>
      </c>
      <c r="B30" s="191" t="n">
        <v>46.09090909090909</v>
      </c>
      <c r="C30" s="170" t="inlineStr">
        <is>
          <t>LOWEST in the industry</t>
        </is>
      </c>
    </row>
    <row r="31">
      <c r="A31" t="inlineStr">
        <is>
          <t>Industry average (excl. us)</t>
        </is>
      </c>
      <c r="B31" s="160" t="n">
        <v>61.1056277056277</v>
      </c>
      <c r="C31" s="170" t="inlineStr">
        <is>
          <t>Bike Bros 70.0 is best; BB LLC 67.0</t>
        </is>
      </c>
    </row>
    <row r="32">
      <c r="A32" t="inlineStr">
        <is>
          <t>Shortfall per person</t>
        </is>
      </c>
      <c r="B32" s="189">
        <f>C31-C30</f>
        <v/>
      </c>
      <c r="C32" s="170" t="n"/>
    </row>
    <row r="33">
      <c r="A33" t="inlineStr">
        <is>
          <t>Our store people</t>
        </is>
      </c>
      <c r="B33" t="n">
        <v>11</v>
      </c>
      <c r="C33" s="170" t="n"/>
    </row>
    <row r="34">
      <c r="A34" t="inlineStr">
        <is>
          <t>Store demand if we matched the average</t>
        </is>
      </c>
      <c r="B34">
        <f>C31*C33</f>
        <v/>
      </c>
      <c r="C34" s="170" t="n"/>
    </row>
    <row r="35">
      <c r="A35" t="inlineStr">
        <is>
          <t>Additional units available at current headcount</t>
        </is>
      </c>
      <c r="B35" s="159">
        <f>C34-507</f>
        <v/>
      </c>
      <c r="C35" s="170" t="inlineStr">
        <is>
          <t>no new hires needed</t>
        </is>
      </c>
    </row>
    <row r="38">
      <c r="A38" s="166" t="inlineStr">
        <is>
          <t>THE 7-PERSON CITY CAP — this settles depth vs breadth</t>
        </is>
      </c>
      <c r="B38" s="166" t="inlineStr">
        <is>
          <t>Value</t>
        </is>
      </c>
      <c r="C38" s="166" t="inlineStr">
        <is>
          <t>Note</t>
        </is>
      </c>
    </row>
    <row r="39">
      <c r="A39" t="inlineStr">
        <is>
          <t>Maximum staff observed in any city (all 12 rows)</t>
        </is>
      </c>
      <c r="B39" t="n">
        <v>7</v>
      </c>
      <c r="C39" s="170" t="inlineStr">
        <is>
          <t>BB LLC, SpaceBikes, Bike Bros, MILC and our own Amsterdam all sit at 7</t>
        </is>
      </c>
    </row>
    <row r="40">
      <c r="A40" t="inlineStr">
        <is>
          <t>WeBike Amsterdam headcount</t>
        </is>
      </c>
      <c r="B40" s="167" t="n">
        <v>7</v>
      </c>
      <c r="C40" s="170" t="inlineStr">
        <is>
          <t>AT THE CAP - we cannot add a single person there</t>
        </is>
      </c>
    </row>
    <row r="41">
      <c r="A41" t="inlineStr">
        <is>
          <t>WeBike Rio headcount</t>
        </is>
      </c>
      <c r="B41" s="159" t="n">
        <v>4</v>
      </c>
      <c r="C41" s="170" t="inlineStr">
        <is>
          <t>3 SLOTS OPEN - the only store depth available to us</t>
        </is>
      </c>
    </row>
    <row r="42">
      <c r="A42" t="inlineStr">
        <is>
          <t>Read</t>
        </is>
      </c>
      <c r="C42" s="174" t="inlineStr">
        <is>
          <t>'Deepen Amsterdam' is not a legal move. Amsterdam is maxed at 7. The only ways to add store selling capacity are (a) fill Rio's 3 open slots, or (b) open a new city, which unlocks 7 more.</t>
        </is>
      </c>
    </row>
    <row r="45">
      <c r="A45" s="166" t="inlineStr">
        <is>
          <t>RIO vs AMSTERDAM — where a body is worth more</t>
        </is>
      </c>
      <c r="B45" s="166" t="inlineStr">
        <is>
          <t>Rio</t>
        </is>
      </c>
      <c r="C45" s="166" t="inlineStr">
        <is>
          <t>Amsterdam</t>
        </is>
      </c>
    </row>
    <row r="46">
      <c r="A46" t="inlineStr">
        <is>
          <t>Store people</t>
        </is>
      </c>
      <c r="B46" t="n">
        <v>4</v>
      </c>
      <c r="C46" t="n">
        <v>7</v>
      </c>
    </row>
    <row r="47">
      <c r="A47" t="inlineStr">
        <is>
          <t>City demand (all channels)</t>
        </is>
      </c>
      <c r="B47" t="n">
        <v>270</v>
      </c>
      <c r="C47" t="n">
        <v>295</v>
      </c>
    </row>
    <row r="48">
      <c r="A48" t="inlineStr">
        <is>
          <t>Demand per person</t>
        </is>
      </c>
      <c r="B48" s="160">
        <f>C47/C46</f>
        <v/>
      </c>
      <c r="C48" s="191">
        <f>D47/D46</f>
        <v/>
      </c>
    </row>
    <row r="49">
      <c r="A49" t="inlineStr">
        <is>
          <t>Rival stores in city</t>
        </is>
      </c>
      <c r="B49" t="n">
        <v>0</v>
      </c>
      <c r="C49" t="n">
        <v>6</v>
      </c>
    </row>
    <row r="50">
      <c r="A50" t="inlineStr">
        <is>
          <t>Open slots to the 7-cap</t>
        </is>
      </c>
      <c r="B50" t="n">
        <v>3</v>
      </c>
      <c r="C50" t="n">
        <v>0</v>
      </c>
    </row>
    <row r="51">
      <c r="A51" t="inlineStr">
        <is>
          <t>Read</t>
        </is>
      </c>
      <c r="B51" s="174" t="inlineStr">
        <is>
          <t>A Rio head is worth ~60% more than an Amsterdam head because Rio has no rival store. Filling the 3 open Rio slots is the highest-return staffing move on the board.</t>
        </is>
      </c>
    </row>
    <row r="52">
      <c r="A52" t="inlineStr">
        <is>
          <t>CAVEAT</t>
        </is>
      </c>
      <c r="B52" s="170" t="inlineStr">
        <is>
          <t>City demand includes web orders, so per-person figures are directional rather than pure store productivity. The ranking is robust; the exact multiple is not.</t>
        </is>
      </c>
    </row>
    <row r="55">
      <c r="A55" s="166" t="inlineStr">
        <is>
          <t>UNTRAINED STAFF — a free win we skipped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WeBike untrained people</t>
        </is>
      </c>
      <c r="B56" s="167" t="n">
        <v>2</v>
      </c>
      <c r="C56" s="170" t="inlineStr">
        <is>
          <t>1 in Rio, 1 in Amsterdam</t>
        </is>
      </c>
    </row>
    <row r="57">
      <c r="A57" t="inlineStr">
        <is>
          <t>Firms with any untrained staff</t>
        </is>
      </c>
      <c r="B57" t="inlineStr">
        <is>
          <t>WeBike (2), Bike Bros (1)</t>
        </is>
      </c>
      <c r="C57" s="170" t="inlineStr">
        <is>
          <t>the other five are 100% trained</t>
        </is>
      </c>
    </row>
    <row r="58">
      <c r="A58" t="inlineStr">
        <is>
          <t>Mountain training cost</t>
        </is>
      </c>
      <c r="B58" t="n">
        <v>400</v>
      </c>
      <c r="C58" s="170" t="inlineStr">
        <is>
          <t>per quarter</t>
        </is>
      </c>
    </row>
    <row r="59">
      <c r="A59" t="inlineStr">
        <is>
          <t>Speed training cost</t>
        </is>
      </c>
      <c r="B59" t="n">
        <v>400</v>
      </c>
      <c r="C59" s="170" t="inlineStr">
        <is>
          <t>per quarter</t>
        </is>
      </c>
    </row>
    <row r="60">
      <c r="A60" t="inlineStr">
        <is>
          <t>Cost to train both</t>
        </is>
      </c>
      <c r="B60" s="159" t="n">
        <v>800</v>
      </c>
      <c r="C60" s="170" t="inlineStr">
        <is>
          <t>trivial against ~$750 contribution PER UNIT</t>
        </is>
      </c>
    </row>
    <row r="61">
      <c r="A61" t="inlineStr">
        <is>
          <t>Read</t>
        </is>
      </c>
      <c r="C61" s="174" t="inlineStr">
        <is>
          <t>We are paying two full salaries ($24,425/yr each) for untrained sellers while every serious competitor trains everyone. Fix this first - it costs $800.</t>
        </is>
      </c>
    </row>
    <row r="64">
      <c r="A64" s="166" t="inlineStr">
        <is>
          <t>SPECIALISATION vs SEGMENT RESULT</t>
        </is>
      </c>
      <c r="B64" s="166" t="inlineStr">
        <is>
          <t>Specialists</t>
        </is>
      </c>
      <c r="C64" s="166" t="inlineStr">
        <is>
          <t>Segment demand</t>
        </is>
      </c>
      <c r="D64" s="166" t="inlineStr">
        <is>
          <t>Demand per specialist</t>
        </is>
      </c>
    </row>
    <row r="65">
      <c r="A65" s="166" t="inlineStr">
        <is>
          <t>MOUNTAIN</t>
        </is>
      </c>
      <c r="D65" s="189" t="n"/>
    </row>
    <row r="66">
      <c r="A66" t="inlineStr">
        <is>
          <t>LiteCycle</t>
        </is>
      </c>
      <c r="B66" t="n">
        <v>2</v>
      </c>
      <c r="C66" t="n">
        <v>340</v>
      </c>
      <c r="D66" s="189">
        <f>C66/B66</f>
        <v/>
      </c>
    </row>
    <row r="67">
      <c r="A67" t="inlineStr">
        <is>
          <t>BB LLC</t>
        </is>
      </c>
      <c r="B67" t="n">
        <v>6</v>
      </c>
      <c r="C67" t="n">
        <v>751</v>
      </c>
      <c r="D67" s="189">
        <f>C67/B67</f>
        <v/>
      </c>
    </row>
    <row r="68">
      <c r="A68" s="173" t="inlineStr">
        <is>
          <t>WeBike</t>
        </is>
      </c>
      <c r="B68" t="n">
        <v>4</v>
      </c>
      <c r="C68" t="n">
        <v>358</v>
      </c>
      <c r="D68" s="189">
        <f>C68/B68</f>
        <v/>
      </c>
    </row>
    <row r="69">
      <c r="A69" t="inlineStr">
        <is>
          <t>Bike Bros</t>
        </is>
      </c>
      <c r="B69" t="n">
        <v>2</v>
      </c>
      <c r="C69" t="n">
        <v>172</v>
      </c>
      <c r="D69" s="189">
        <f>C69/B69</f>
        <v/>
      </c>
    </row>
    <row r="70">
      <c r="A70" s="166" t="inlineStr">
        <is>
          <t>SPEED</t>
        </is>
      </c>
      <c r="D70" s="189" t="n"/>
    </row>
    <row r="71">
      <c r="A71" t="inlineStr">
        <is>
          <t>BB LLC</t>
        </is>
      </c>
      <c r="B71" t="n">
        <v>6</v>
      </c>
      <c r="C71" t="n">
        <v>657</v>
      </c>
      <c r="D71" s="189">
        <f>C71/B71</f>
        <v/>
      </c>
    </row>
    <row r="72">
      <c r="A72" t="inlineStr">
        <is>
          <t>MILC Bikes</t>
        </is>
      </c>
      <c r="B72" t="n">
        <v>3</v>
      </c>
      <c r="C72" t="n">
        <v>328</v>
      </c>
      <c r="D72" s="189">
        <f>C72/B72</f>
        <v/>
      </c>
    </row>
    <row r="73">
      <c r="A73" t="inlineStr">
        <is>
          <t>SpaceBikes</t>
        </is>
      </c>
      <c r="B73" t="n">
        <v>6</v>
      </c>
      <c r="C73" t="n">
        <v>588</v>
      </c>
      <c r="D73" s="189">
        <f>C73/B73</f>
        <v/>
      </c>
    </row>
    <row r="74">
      <c r="A74" t="inlineStr">
        <is>
          <t>LiteCycle</t>
        </is>
      </c>
      <c r="B74" t="n">
        <v>6</v>
      </c>
      <c r="C74" t="n">
        <v>548</v>
      </c>
      <c r="D74" s="189">
        <f>C74/B74</f>
        <v/>
      </c>
    </row>
    <row r="75">
      <c r="A75" t="inlineStr">
        <is>
          <t>Spoke'd Up</t>
        </is>
      </c>
      <c r="B75" t="n">
        <v>5</v>
      </c>
      <c r="C75" t="n">
        <v>362</v>
      </c>
      <c r="D75" s="189">
        <f>C75/B75</f>
        <v/>
      </c>
    </row>
    <row r="76">
      <c r="A76" s="173" t="inlineStr">
        <is>
          <t>WeBike</t>
        </is>
      </c>
      <c r="B76" s="167" t="n">
        <v>3</v>
      </c>
      <c r="C76" t="n">
        <v>215</v>
      </c>
      <c r="D76" s="189">
        <f>C76/B76</f>
        <v/>
      </c>
    </row>
    <row r="77">
      <c r="A77" s="166" t="inlineStr">
        <is>
          <t>RECREATION</t>
        </is>
      </c>
      <c r="D77" s="189" t="n"/>
    </row>
    <row r="78">
      <c r="A78" t="inlineStr">
        <is>
          <t>SpaceBikes</t>
        </is>
      </c>
      <c r="B78" t="n">
        <v>4</v>
      </c>
      <c r="C78" t="n">
        <v>710</v>
      </c>
      <c r="D78" s="189">
        <f>C78/B78</f>
        <v/>
      </c>
    </row>
    <row r="79">
      <c r="A79" t="inlineStr">
        <is>
          <t>MILC Bikes</t>
        </is>
      </c>
      <c r="B79" t="n">
        <v>3</v>
      </c>
      <c r="C79" t="n">
        <v>471</v>
      </c>
      <c r="D79" s="189">
        <f>C79/B79</f>
        <v/>
      </c>
    </row>
    <row r="80">
      <c r="A80" t="inlineStr">
        <is>
          <t>Spoke'd Up</t>
        </is>
      </c>
      <c r="B80" t="n">
        <v>4</v>
      </c>
      <c r="C80" t="n">
        <v>492</v>
      </c>
      <c r="D80" s="189">
        <f>C80/B80</f>
        <v/>
      </c>
    </row>
    <row r="81">
      <c r="A81" s="173" t="inlineStr">
        <is>
          <t>WeBike</t>
        </is>
      </c>
      <c r="B81" t="n">
        <v>0</v>
      </c>
      <c r="C81" t="n">
        <v>54</v>
      </c>
      <c r="D81" s="189" t="inlineStr">
        <is>
          <t>spillover only - no Rec specialists</t>
        </is>
      </c>
    </row>
    <row r="84">
      <c r="A84" s="166" t="inlineStr">
        <is>
          <t>Q4 STAFFING PLAN</t>
        </is>
      </c>
      <c r="B84" s="166" t="inlineStr">
        <is>
          <t>Action</t>
        </is>
      </c>
      <c r="C84" s="166" t="inlineStr">
        <is>
          <t>Cost</t>
        </is>
      </c>
      <c r="D84" s="166" t="inlineStr">
        <is>
          <t>Expected units</t>
        </is>
      </c>
    </row>
    <row r="85">
      <c r="A85" t="inlineStr">
        <is>
          <t>1. Train the 2 untrained</t>
        </is>
      </c>
      <c r="B85" s="174" t="inlineStr">
        <is>
          <t>1 Mountain (Rio) + 1 Speed (Amsterdam)</t>
        </is>
      </c>
      <c r="C85" t="n">
        <v>800</v>
      </c>
      <c r="D85" t="inlineStr">
        <is>
          <t>free productivity</t>
        </is>
      </c>
    </row>
    <row r="86">
      <c r="A86" t="inlineStr">
        <is>
          <t>2. Fill Rio to the 7-cap</t>
        </is>
      </c>
      <c r="B86" s="174" t="inlineStr">
        <is>
          <t>+3 people: 1 Mountain, 1 Speed, 1 Service</t>
        </is>
      </c>
      <c r="C86" t="inlineStr">
        <is>
          <t>~$18,300/qtr salary + hire + train</t>
        </is>
      </c>
      <c r="D86" t="inlineStr">
        <is>
          <t>~+200 at Rio's ~67/head</t>
        </is>
      </c>
    </row>
    <row r="87">
      <c r="A87" t="inlineStr">
        <is>
          <t>3. Rebuild web staff</t>
        </is>
      </c>
      <c r="B87" s="174" t="inlineStr">
        <is>
          <t>3 -&gt; 6 web sales/support</t>
        </is>
      </c>
      <c r="C87" t="inlineStr">
        <is>
          <t>~$18,300/qtr</t>
        </is>
      </c>
      <c r="D87" t="inlineStr">
        <is>
          <t>~+152 (see Q3_Channel)</t>
        </is>
      </c>
    </row>
    <row r="88">
      <c r="A88" t="inlineStr">
        <is>
          <t>4. Add Speed specialists</t>
        </is>
      </c>
      <c r="B88" s="174" t="inlineStr">
        <is>
          <t>we have 3 vs BB LLC/LiteCycle/SpaceBikes 6</t>
        </is>
      </c>
      <c r="C88" t="inlineStr">
        <is>
          <t>included above</t>
        </is>
      </c>
      <c r="D88" t="inlineStr">
        <is>
          <t>Speed is our weakest segment AND the largest</t>
        </is>
      </c>
    </row>
    <row r="89">
      <c r="A89" t="inlineStr">
        <is>
          <t>5. New York store (if funded)</t>
        </is>
      </c>
      <c r="B89" s="174" t="inlineStr">
        <is>
          <t>unlocks 7 fresh slots; staff Speed-heavy</t>
        </is>
      </c>
      <c r="C89" t="inlineStr">
        <is>
          <t>setup + lease + salaries</t>
        </is>
      </c>
      <c r="D89" t="inlineStr">
        <is>
          <t>~400-570 at incumbent rates</t>
        </is>
      </c>
    </row>
    <row r="90">
      <c r="A90" t="inlineStr">
        <is>
          <t>NOT possible</t>
        </is>
      </c>
      <c r="B90" s="185" t="inlineStr">
        <is>
          <t>Adding anyone in Amsterdam - we are at the 7-person cap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2026-09-08T12:47:13Z</dcterms:modified>
  <cp:lastModifiedBy>Conger, Kyle E.</cp:lastModifiedBy>
</cp:coreProperties>
</file>