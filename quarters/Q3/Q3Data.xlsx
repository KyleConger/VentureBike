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  <sheet xmlns:r="http://schemas.openxmlformats.org/officeDocument/2006/relationships" name="Q3_City_Demand" sheetId="30" state="visible" r:id="rId30"/>
    <sheet xmlns:r="http://schemas.openxmlformats.org/officeDocument/2006/relationships" name="Q3_City_Strategy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0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8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OC/day = forecast demand / 65 * (1 + (1 - productivity)). Never schedule below forecast again. Q3 proof: OC 8/day vs 24 owned -&gt; 204 stock-outs AND labor cost/unit up $130-&gt;$205.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Productivity pad</t>
        </is>
      </c>
      <c r="B9">
        <f>1+(1-B8)</f>
        <v/>
      </c>
    </row>
    <row r="10">
      <c r="A10" t="inlineStr">
        <is>
          <t>Required OC per day</t>
        </is>
      </c>
      <c r="B10">
        <f>B7/65*B9</f>
        <v/>
      </c>
      <c r="C10" t="inlineStr">
        <is>
          <t>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t="inlineStr">
        <is>
          <t>Q4 forecast units</t>
        </is>
      </c>
      <c r="B46">
        <f>B7</f>
        <v/>
      </c>
    </row>
    <row r="47">
      <c r="A47" t="inlineStr">
        <is>
          <t>COGS saving on forecast volume</t>
        </is>
      </c>
      <c r="B47">
        <f>B45*B46</f>
        <v/>
      </c>
    </row>
    <row r="48">
      <c r="A48" t="inlineStr">
        <is>
          <t>+ Gross margin recovered from ending stock-outs</t>
        </is>
      </c>
      <c r="B48">
        <f>Q3_Unit_Economics!I6</f>
        <v/>
      </c>
    </row>
    <row r="49">
      <c r="A49">
        <f> Combined Q4 swing vs Q3 behaviour</f>
        <v/>
      </c>
      <c r="B49" s="159">
        <f>B47+B48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2026-09-08T12:38:10Z</dcterms:modified>
  <cp:lastModifiedBy>Conger, Kyle E.</cp:lastModifiedBy>
</cp:coreProperties>
</file>