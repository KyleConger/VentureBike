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5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3_Advanced_BSC" sheetId="2" state="visible" r:id="rId2"/>
    <sheet xmlns:r="http://schemas.openxmlformats.org/officeDocument/2006/relationships" name="Needs" sheetId="3" state="visible" r:id="rId3"/>
    <sheet xmlns:r="http://schemas.openxmlformats.org/officeDocument/2006/relationships" name="Applications" sheetId="4" state="visible" r:id="rId4"/>
    <sheet xmlns:r="http://schemas.openxmlformats.org/officeDocument/2006/relationships" name="Price_WTP" sheetId="5" state="visible" r:id="rId5"/>
    <sheet xmlns:r="http://schemas.openxmlformats.org/officeDocument/2006/relationships" name="Market_Potential" sheetId="6" state="visible" r:id="rId6"/>
    <sheet xmlns:r="http://schemas.openxmlformats.org/officeDocument/2006/relationships" name="Sales_Channel" sheetId="7" state="visible" r:id="rId7"/>
    <sheet xmlns:r="http://schemas.openxmlformats.org/officeDocument/2006/relationships" name="Stores_Costs" sheetId="8" state="visible" r:id="rId8"/>
    <sheet xmlns:r="http://schemas.openxmlformats.org/officeDocument/2006/relationships" name="Manufacturing" sheetId="9" state="visible" r:id="rId9"/>
    <sheet xmlns:r="http://schemas.openxmlformats.org/officeDocument/2006/relationships" name="Production_Sim" sheetId="10" state="visible" r:id="rId10"/>
    <sheet xmlns:r="http://schemas.openxmlformats.org/officeDocument/2006/relationships" name="Cost_of_Production" sheetId="11" state="visible" r:id="rId11"/>
    <sheet xmlns:r="http://schemas.openxmlformats.org/officeDocument/2006/relationships" name="Demand_Forecast" sheetId="12" state="visible" r:id="rId12"/>
    <sheet xmlns:r="http://schemas.openxmlformats.org/officeDocument/2006/relationships" name="Pricing" sheetId="13" state="visible" r:id="rId13"/>
    <sheet xmlns:r="http://schemas.openxmlformats.org/officeDocument/2006/relationships" name="Media_Preference" sheetId="14" state="visible" r:id="rId14"/>
    <sheet xmlns:r="http://schemas.openxmlformats.org/officeDocument/2006/relationships" name="Web_SEO" sheetId="15" state="visible" r:id="rId15"/>
    <sheet xmlns:r="http://schemas.openxmlformats.org/officeDocument/2006/relationships" name="Sales_Ops" sheetId="16" state="visible" r:id="rId16"/>
    <sheet xmlns:r="http://schemas.openxmlformats.org/officeDocument/2006/relationships" name="Web_Productivity" sheetId="17" state="visible" r:id="rId17"/>
    <sheet xmlns:r="http://schemas.openxmlformats.org/officeDocument/2006/relationships" name="Needs_Ranked" sheetId="18" state="visible" r:id="rId18"/>
    <sheet xmlns:r="http://schemas.openxmlformats.org/officeDocument/2006/relationships" name="Growth_Room" sheetId="19" state="visible" r:id="rId19"/>
    <sheet xmlns:r="http://schemas.openxmlformats.org/officeDocument/2006/relationships" name="Competitor_CI" sheetId="20" state="visible" r:id="rId20"/>
    <sheet xmlns:r="http://schemas.openxmlformats.org/officeDocument/2006/relationships" name="Comp_Industry" sheetId="21" state="visible" r:id="rId21"/>
    <sheet xmlns:r="http://schemas.openxmlformats.org/officeDocument/2006/relationships" name="Q3_BSC" sheetId="22" state="visible" r:id="rId22"/>
    <sheet xmlns:r="http://schemas.openxmlformats.org/officeDocument/2006/relationships" name="Q3_Market" sheetId="23" state="visible" r:id="rId23"/>
    <sheet xmlns:r="http://schemas.openxmlformats.org/officeDocument/2006/relationships" name="Q3_Financials" sheetId="24" state="visible" r:id="rId24"/>
    <sheet xmlns:r="http://schemas.openxmlformats.org/officeDocument/2006/relationships" name="Q3_Unit_Economics" sheetId="25" state="visible" r:id="rId25"/>
    <sheet xmlns:r="http://schemas.openxmlformats.org/officeDocument/2006/relationships" name="Q4_Planner" sheetId="26" state="visible" r:id="rId26"/>
    <sheet xmlns:r="http://schemas.openxmlformats.org/officeDocument/2006/relationships" name="Q3_Industry_Graphs" sheetId="27" state="visible" r:id="rId27"/>
    <sheet xmlns:r="http://schemas.openxmlformats.org/officeDocument/2006/relationships" name="Q3_Brand_Judgment" sheetId="28" state="visible" r:id="rId28"/>
    <sheet xmlns:r="http://schemas.openxmlformats.org/officeDocument/2006/relationships" name="Q3_Components" sheetId="29" state="visible" r:id="rId29"/>
    <sheet xmlns:r="http://schemas.openxmlformats.org/officeDocument/2006/relationships" name="Q3_Design_Model" sheetId="30" state="visible" r:id="rId30"/>
    <sheet xmlns:r="http://schemas.openxmlformats.org/officeDocument/2006/relationships" name="Q3_City_Demand" sheetId="31" state="visible" r:id="rId31"/>
    <sheet xmlns:r="http://schemas.openxmlformats.org/officeDocument/2006/relationships" name="Q3_City_Strategy" sheetId="32" state="visible" r:id="rId32"/>
    <sheet xmlns:r="http://schemas.openxmlformats.org/officeDocument/2006/relationships" name="Q3_Channel" sheetId="33" state="visible" r:id="rId33"/>
    <sheet xmlns:r="http://schemas.openxmlformats.org/officeDocument/2006/relationships" name="Q3_Presence" sheetId="34" state="visible" r:id="rId34"/>
    <sheet xmlns:r="http://schemas.openxmlformats.org/officeDocument/2006/relationships" name="Q3_Staffing" sheetId="35" state="visible" r:id="rId35"/>
    <sheet xmlns:r="http://schemas.openxmlformats.org/officeDocument/2006/relationships" name="Q3_Web_Ops" sheetId="36" state="visible" r:id="rId36"/>
    <sheet xmlns:r="http://schemas.openxmlformats.org/officeDocument/2006/relationships" name="Q3_Price_Judgment" sheetId="37" state="visible" r:id="rId37"/>
    <sheet xmlns:r="http://schemas.openxmlformats.org/officeDocument/2006/relationships" name="Q3_Prices" sheetId="38" state="visible" r:id="rId38"/>
    <sheet xmlns:r="http://schemas.openxmlformats.org/officeDocument/2006/relationships" name="Q3_City_Profiles" sheetId="39" state="visible" r:id="rId39"/>
    <sheet xmlns:r="http://schemas.openxmlformats.org/officeDocument/2006/relationships" name="Q3_Organic_SEM" sheetId="40" state="visible" r:id="rId40"/>
    <sheet xmlns:r="http://schemas.openxmlformats.org/officeDocument/2006/relationships" name="Q3_Competitor_Profiles" sheetId="41" state="visible" r:id="rId41"/>
    <sheet xmlns:r="http://schemas.openxmlformats.org/officeDocument/2006/relationships" name="Q3_Media" sheetId="42" state="visible" r:id="rId42"/>
    <sheet xmlns:r="http://schemas.openxmlformats.org/officeDocument/2006/relationships" name="Q3_Compensation" sheetId="43" state="visible" r:id="rId43"/>
    <sheet xmlns:r="http://schemas.openxmlformats.org/officeDocument/2006/relationships" name="Q3_Ad_Judgment" sheetId="44" state="visible" r:id="rId44"/>
    <sheet xmlns:r="http://schemas.openxmlformats.org/officeDocument/2006/relationships" name="Q3_Competitor_Ads" sheetId="45" state="visible" r:id="rId45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0.0%"/>
    <numFmt numFmtId="165" formatCode="0.0"/>
    <numFmt numFmtId="166" formatCode="0.0000"/>
    <numFmt numFmtId="167" formatCode="0.000"/>
    <numFmt numFmtId="168" formatCode="$#,##0"/>
    <numFmt numFmtId="169" formatCode="&quot;+$&quot;#,##0;&quot;-$&quot;#,##0"/>
    <numFmt numFmtId="170" formatCode="&quot;$&quot;#,##0"/>
    <numFmt numFmtId="171" formatCode="+#,##0;-#,##0"/>
    <numFmt numFmtId="172" formatCode="#,##0;+#,##0;-#,##0"/>
    <numFmt numFmtId="173" formatCode="+0.0%;-0.0%"/>
    <numFmt numFmtId="174" formatCode="+$#,##0"/>
  </numFmts>
  <fonts count="32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  <font>
      <b val="1"/>
      <sz val="12"/>
    </font>
    <font>
      <b val="1"/>
      <color rgb="009C0006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2">
    <xf numFmtId="0" fontId="7" fillId="0" borderId="16"/>
    <xf numFmtId="0" fontId="7" fillId="9" borderId="16"/>
  </cellStyleXfs>
  <cellXfs count="25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  <xf numFmtId="0" fontId="28" fillId="31" borderId="0" pivotButton="0" quotePrefix="0" xfId="0"/>
    <xf numFmtId="165" fontId="0" fillId="0" borderId="0" pivotButton="0" quotePrefix="0" xfId="0"/>
    <xf numFmtId="165" fontId="28" fillId="31" borderId="0" pivotButton="0" quotePrefix="0" xfId="0"/>
    <xf numFmtId="165" fontId="0" fillId="31" borderId="0" pivotButton="0" quotePrefix="0" xfId="0"/>
    <xf numFmtId="0" fontId="30" fillId="29" borderId="0" pivotButton="0" quotePrefix="0" xfId="0"/>
    <xf numFmtId="0" fontId="0" fillId="33" borderId="0" applyAlignment="1" pivotButton="0" quotePrefix="0" xfId="0">
      <alignment wrapText="1"/>
    </xf>
    <xf numFmtId="0" fontId="28" fillId="33" borderId="0" applyAlignment="1" pivotButton="0" quotePrefix="0" xfId="0">
      <alignment wrapText="1"/>
    </xf>
    <xf numFmtId="166" fontId="0" fillId="0" borderId="0" pivotButton="0" quotePrefix="0" xfId="0"/>
    <xf numFmtId="166" fontId="28" fillId="33" borderId="0" pivotButton="0" quotePrefix="0" xfId="0"/>
    <xf numFmtId="166" fontId="0" fillId="31" borderId="0" pivotButton="0" quotePrefix="0" xfId="0"/>
    <xf numFmtId="166" fontId="28" fillId="29" borderId="0" pivotButton="0" quotePrefix="0" xfId="0"/>
    <xf numFmtId="0" fontId="28" fillId="30" borderId="18" pivotButton="0" quotePrefix="0" xfId="0"/>
    <xf numFmtId="0" fontId="0" fillId="0" borderId="18" pivotButton="0" quotePrefix="0" xfId="0"/>
    <xf numFmtId="167" fontId="0" fillId="0" borderId="18" pivotButton="0" quotePrefix="0" xfId="0"/>
    <xf numFmtId="167" fontId="28" fillId="31" borderId="18" pivotButton="0" quotePrefix="0" xfId="0"/>
    <xf numFmtId="167" fontId="0" fillId="29" borderId="18" pivotButton="0" quotePrefix="0" xfId="0"/>
    <xf numFmtId="0" fontId="0" fillId="31" borderId="18" pivotButton="0" quotePrefix="0" xfId="0"/>
    <xf numFmtId="167" fontId="28" fillId="29" borderId="18" pivotButton="0" quotePrefix="0" xfId="0"/>
    <xf numFmtId="0" fontId="0" fillId="29" borderId="18" pivotButton="0" quotePrefix="0" xfId="0"/>
    <xf numFmtId="167" fontId="28" fillId="33" borderId="18" pivotButton="0" quotePrefix="0" xfId="0"/>
    <xf numFmtId="0" fontId="0" fillId="0" borderId="18" applyAlignment="1" pivotButton="0" quotePrefix="0" xfId="0">
      <alignment wrapText="1"/>
    </xf>
    <xf numFmtId="0" fontId="28" fillId="33" borderId="18" pivotButton="0" quotePrefix="0" xfId="0"/>
    <xf numFmtId="0" fontId="28" fillId="33" borderId="18" applyAlignment="1" pivotButton="0" quotePrefix="0" xfId="0">
      <alignment wrapText="1"/>
    </xf>
    <xf numFmtId="0" fontId="0" fillId="32" borderId="18" pivotButton="0" quotePrefix="0" xfId="0"/>
    <xf numFmtId="164" fontId="0" fillId="32" borderId="0" pivotButton="0" quotePrefix="0" xfId="0"/>
    <xf numFmtId="10" fontId="0" fillId="0" borderId="0" pivotButton="0" quotePrefix="0" xfId="0"/>
    <xf numFmtId="10" fontId="28" fillId="33" borderId="0" pivotButton="0" quotePrefix="0" xfId="0"/>
    <xf numFmtId="2" fontId="0" fillId="32" borderId="0" pivotButton="0" quotePrefix="0" xfId="0"/>
    <xf numFmtId="2" fontId="28" fillId="33" borderId="0" pivotButton="0" quotePrefix="0" xfId="0"/>
    <xf numFmtId="10" fontId="0" fillId="0" borderId="0" applyAlignment="1" pivotButton="0" quotePrefix="0" xfId="0">
      <alignment wrapText="1"/>
    </xf>
    <xf numFmtId="0" fontId="31" fillId="32" borderId="0" applyAlignment="1" pivotButton="0" quotePrefix="0" xfId="0">
      <alignment wrapText="1"/>
    </xf>
    <xf numFmtId="0" fontId="28" fillId="31" borderId="18" pivotButton="0" quotePrefix="0" xfId="0"/>
    <xf numFmtId="3" fontId="0" fillId="0" borderId="18" pivotButton="0" quotePrefix="0" xfId="0"/>
    <xf numFmtId="3" fontId="28" fillId="33" borderId="18" pivotButton="0" quotePrefix="0" xfId="0"/>
    <xf numFmtId="0" fontId="28" fillId="29" borderId="18" pivotButton="0" quotePrefix="0" xfId="0"/>
    <xf numFmtId="0" fontId="28" fillId="32" borderId="18" pivotButton="0" quotePrefix="0" xfId="0"/>
    <xf numFmtId="3" fontId="28" fillId="31" borderId="18" pivotButton="0" quotePrefix="0" xfId="0"/>
    <xf numFmtId="2" fontId="0" fillId="0" borderId="18" pivotButton="0" quotePrefix="0" xfId="0"/>
    <xf numFmtId="2" fontId="28" fillId="33" borderId="18" pivotButton="0" quotePrefix="0" xfId="0"/>
    <xf numFmtId="2" fontId="0" fillId="29" borderId="18" pivotButton="0" quotePrefix="0" xfId="0"/>
    <xf numFmtId="164" fontId="0" fillId="0" borderId="18" pivotButton="0" quotePrefix="0" xfId="0"/>
    <xf numFmtId="2" fontId="28" fillId="31" borderId="18" pivotButton="0" quotePrefix="0" xfId="0"/>
    <xf numFmtId="164" fontId="28" fillId="31" borderId="18" pivotButton="0" quotePrefix="0" xfId="0"/>
    <xf numFmtId="0" fontId="0" fillId="31" borderId="18" applyAlignment="1" pivotButton="0" quotePrefix="0" xfId="0">
      <alignment wrapText="1"/>
    </xf>
    <xf numFmtId="168" fontId="0" fillId="0" borderId="18" pivotButton="0" quotePrefix="0" xfId="0"/>
    <xf numFmtId="169" fontId="0" fillId="0" borderId="18" pivotButton="0" quotePrefix="0" xfId="0"/>
    <xf numFmtId="168" fontId="28" fillId="33" borderId="18" pivotButton="0" quotePrefix="0" xfId="0"/>
    <xf numFmtId="169" fontId="28" fillId="31" borderId="18" pivotButton="0" quotePrefix="0" xfId="0"/>
    <xf numFmtId="165" fontId="0" fillId="0" borderId="18" pivotButton="0" quotePrefix="0" xfId="0"/>
    <xf numFmtId="165" fontId="28" fillId="31" borderId="18" pivotButton="0" quotePrefix="0" xfId="0"/>
    <xf numFmtId="0" fontId="0" fillId="32" borderId="18" applyAlignment="1" pivotButton="0" quotePrefix="0" xfId="0">
      <alignment wrapText="1"/>
    </xf>
    <xf numFmtId="165" fontId="28" fillId="33" borderId="18" pivotButton="0" quotePrefix="0" xfId="0"/>
    <xf numFmtId="170" fontId="0" fillId="0" borderId="0" pivotButton="0" quotePrefix="0" xfId="0"/>
    <xf numFmtId="170" fontId="28" fillId="33" borderId="0" pivotButton="0" quotePrefix="0" xfId="0"/>
    <xf numFmtId="9" fontId="0" fillId="0" borderId="18" pivotButton="0" quotePrefix="0" xfId="0"/>
    <xf numFmtId="164" fontId="0" fillId="29" borderId="18" pivotButton="0" quotePrefix="0" xfId="0"/>
    <xf numFmtId="3" fontId="0" fillId="29" borderId="18" pivotButton="0" quotePrefix="0" xfId="0"/>
    <xf numFmtId="9" fontId="0" fillId="29" borderId="18" pivotButton="0" quotePrefix="0" xfId="0"/>
    <xf numFmtId="164" fontId="28" fillId="33" borderId="18" pivotButton="0" quotePrefix="0" xfId="0"/>
    <xf numFmtId="9" fontId="28" fillId="33" borderId="18" pivotButton="0" quotePrefix="0" xfId="0"/>
    <xf numFmtId="0" fontId="28" fillId="0" borderId="18" pivotButton="0" quotePrefix="0" xfId="0"/>
    <xf numFmtId="3" fontId="0" fillId="32" borderId="18" pivotButton="0" quotePrefix="0" xfId="0"/>
    <xf numFmtId="171" fontId="0" fillId="0" borderId="18" pivotButton="0" quotePrefix="0" xfId="0"/>
    <xf numFmtId="172" fontId="0" fillId="0" borderId="18" pivotButton="0" quotePrefix="0" xfId="0"/>
    <xf numFmtId="172" fontId="0" fillId="0" borderId="0" pivotButton="0" quotePrefix="0" xfId="0"/>
    <xf numFmtId="173" fontId="0" fillId="0" borderId="0" pivotButton="0" quotePrefix="0" xfId="0"/>
    <xf numFmtId="172" fontId="0" fillId="32" borderId="18" pivotButton="0" quotePrefix="0" xfId="0"/>
    <xf numFmtId="174" fontId="0" fillId="0" borderId="18" pivotButton="0" quotePrefix="0" xfId="0"/>
    <xf numFmtId="9" fontId="0" fillId="32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14" customWidth="1" style="146" min="2" max="2"/>
    <col width="14" customWidth="1" style="146" min="3" max="3"/>
    <col width="72" customWidth="1" style="146" min="4" max="4"/>
    <col width="14" customWidth="1" style="146" min="5" max="5"/>
    <col width="88" customWidth="1" style="146" min="6" max="6"/>
    <col width="16" customWidth="1" style="146" min="7" max="7"/>
    <col width="16" customWidth="1" style="146" min="8" max="8"/>
    <col width="14" customWidth="1" style="146" min="9" max="9"/>
    <col width="12" customWidth="1" style="146" min="10" max="10"/>
    <col width="12" customWidth="1" style="146" min="11" max="11"/>
    <col width="14" customWidth="1" style="146" min="12" max="12"/>
  </cols>
  <sheetData>
    <row r="1">
      <c r="A1" s="169" t="inlineStr">
        <is>
          <t>Advanced Balanced Scorecard — Q3 actual (all 7 firms)</t>
        </is>
      </c>
    </row>
    <row r="2" ht="36" customHeight="1" s="146">
      <c r="A2" s="170" t="inlineStr">
        <is>
          <t>Exact in-sim numbers. Total Performance is the product of the nine indicators. Supersedes the chart-read BSC block in Q3_Industry_Graphs (Bike Bros 0.900 not ~2.5; Spoke'd Up 2.316 not ~1.0).</t>
        </is>
      </c>
    </row>
    <row r="4">
      <c r="A4" s="199" t="inlineStr">
        <is>
          <t>Indicator</t>
        </is>
      </c>
      <c r="B4" s="199" t="inlineStr">
        <is>
          <t>Bike Bros</t>
        </is>
      </c>
      <c r="C4" s="199" t="inlineStr">
        <is>
          <t>LiteCycle</t>
        </is>
      </c>
      <c r="D4" s="199" t="inlineStr">
        <is>
          <t>WeBike</t>
        </is>
      </c>
      <c r="E4" s="199" t="inlineStr">
        <is>
          <t>BB LLC</t>
        </is>
      </c>
      <c r="F4" s="199" t="inlineStr">
        <is>
          <t>Spoke'd Up</t>
        </is>
      </c>
      <c r="G4" s="199" t="inlineStr">
        <is>
          <t>SpaceBikes</t>
        </is>
      </c>
      <c r="H4" s="199" t="inlineStr">
        <is>
          <t>MILC Bikes</t>
        </is>
      </c>
      <c r="I4" s="199" t="inlineStr">
        <is>
          <t>Min</t>
        </is>
      </c>
      <c r="J4" s="199" t="inlineStr">
        <is>
          <t>Max</t>
        </is>
      </c>
      <c r="K4" s="199" t="inlineStr">
        <is>
          <t>Average</t>
        </is>
      </c>
      <c r="L4" s="199" t="inlineStr">
        <is>
          <t>WeBike rank</t>
        </is>
      </c>
    </row>
    <row r="5">
      <c r="A5" s="200" t="inlineStr">
        <is>
          <t>Total Performance</t>
        </is>
      </c>
      <c r="B5" s="201" t="n">
        <v>0.9</v>
      </c>
      <c r="C5" s="201" t="n">
        <v>2.765</v>
      </c>
      <c r="D5" s="202" t="n">
        <v>0.411</v>
      </c>
      <c r="E5" s="203" t="n">
        <v>21.531</v>
      </c>
      <c r="F5" s="201" t="n">
        <v>2.316</v>
      </c>
      <c r="G5" s="201" t="n">
        <v>10.753</v>
      </c>
      <c r="H5" s="201" t="n">
        <v>2.604</v>
      </c>
      <c r="I5" s="201" t="n">
        <v>0.411</v>
      </c>
      <c r="J5" s="201" t="n">
        <v>21.531</v>
      </c>
      <c r="K5" s="201" t="n">
        <v>5.897142857142858</v>
      </c>
      <c r="L5" s="204" t="n">
        <v>7</v>
      </c>
    </row>
    <row r="6">
      <c r="A6" s="200" t="inlineStr">
        <is>
          <t>Financial Performance</t>
        </is>
      </c>
      <c r="B6" s="201" t="n">
        <v>12.856</v>
      </c>
      <c r="C6" s="201" t="n">
        <v>14.84</v>
      </c>
      <c r="D6" s="202" t="n">
        <v>5.319</v>
      </c>
      <c r="E6" s="203" t="n">
        <v>37.687</v>
      </c>
      <c r="F6" s="201" t="n">
        <v>14.047</v>
      </c>
      <c r="G6" s="201" t="n">
        <v>33.398</v>
      </c>
      <c r="H6" s="201" t="n">
        <v>14.895</v>
      </c>
      <c r="I6" s="201" t="n">
        <v>5.319</v>
      </c>
      <c r="J6" s="201" t="n">
        <v>37.687</v>
      </c>
      <c r="K6" s="201" t="n">
        <v>19.006</v>
      </c>
      <c r="L6" s="204" t="n">
        <v>7</v>
      </c>
    </row>
    <row r="7">
      <c r="A7" s="200" t="inlineStr">
        <is>
          <t>Market Performance</t>
        </is>
      </c>
      <c r="B7" s="201" t="n">
        <v>0.08500000000000001</v>
      </c>
      <c r="C7" s="201" t="n">
        <v>0.153</v>
      </c>
      <c r="D7" s="202" t="n">
        <v>0.098</v>
      </c>
      <c r="E7" s="203" t="n">
        <v>0.345</v>
      </c>
      <c r="F7" s="201" t="n">
        <v>0.172</v>
      </c>
      <c r="G7" s="201" t="n">
        <v>0.27</v>
      </c>
      <c r="H7" s="201" t="n">
        <v>0.17</v>
      </c>
      <c r="I7" s="201" t="n">
        <v>0.08500000000000001</v>
      </c>
      <c r="J7" s="201" t="n">
        <v>0.345</v>
      </c>
      <c r="K7" s="201" t="n">
        <v>0.1847142857142857</v>
      </c>
      <c r="L7" s="204" t="n">
        <v>6</v>
      </c>
    </row>
    <row r="8">
      <c r="A8" s="200" t="inlineStr">
        <is>
          <t>Marketing Effectiveness</t>
        </is>
      </c>
      <c r="B8" s="203" t="n">
        <v>0.765</v>
      </c>
      <c r="C8" s="201" t="n">
        <v>0.758</v>
      </c>
      <c r="D8" s="202" t="n">
        <v>0.738</v>
      </c>
      <c r="E8" s="203" t="n">
        <v>0.765</v>
      </c>
      <c r="F8" s="201" t="n">
        <v>0.66</v>
      </c>
      <c r="G8" s="201" t="n">
        <v>0.763</v>
      </c>
      <c r="H8" s="201" t="n">
        <v>0.755</v>
      </c>
      <c r="I8" s="201" t="n">
        <v>0.66</v>
      </c>
      <c r="J8" s="201" t="n">
        <v>0.765</v>
      </c>
      <c r="K8" s="201" t="n">
        <v>0.7434285714285714</v>
      </c>
      <c r="L8" s="204" t="n">
        <v>6</v>
      </c>
    </row>
    <row r="9">
      <c r="A9" s="200" t="inlineStr">
        <is>
          <t>Investment in Future</t>
        </is>
      </c>
      <c r="B9" s="203" t="n">
        <v>7.401</v>
      </c>
      <c r="C9" s="201" t="n">
        <v>5.657</v>
      </c>
      <c r="D9" s="205" t="n">
        <v>6.795</v>
      </c>
      <c r="E9" s="201" t="n">
        <v>3.741</v>
      </c>
      <c r="F9" s="201" t="n">
        <v>5.601</v>
      </c>
      <c r="G9" s="201" t="n">
        <v>3.466</v>
      </c>
      <c r="H9" s="201" t="n">
        <v>5.038</v>
      </c>
      <c r="I9" s="201" t="n">
        <v>3.466</v>
      </c>
      <c r="J9" s="201" t="n">
        <v>7.401</v>
      </c>
      <c r="K9" s="201" t="n">
        <v>5.385571428571429</v>
      </c>
      <c r="L9" s="206" t="n">
        <v>2</v>
      </c>
    </row>
    <row r="10">
      <c r="A10" s="200" t="inlineStr">
        <is>
          <t>Wealth</t>
        </is>
      </c>
      <c r="B10" s="201" t="n">
        <v>0.797</v>
      </c>
      <c r="C10" s="201" t="n">
        <v>0.768</v>
      </c>
      <c r="D10" s="202" t="n">
        <v>0.668</v>
      </c>
      <c r="E10" s="201" t="n">
        <v>0.957</v>
      </c>
      <c r="F10" s="201" t="n">
        <v>0.803</v>
      </c>
      <c r="G10" s="203" t="n">
        <v>1.017</v>
      </c>
      <c r="H10" s="201" t="n">
        <v>0.806</v>
      </c>
      <c r="I10" s="201" t="n">
        <v>0.668</v>
      </c>
      <c r="J10" s="201" t="n">
        <v>1.017</v>
      </c>
      <c r="K10" s="201" t="n">
        <v>0.8308571428571428</v>
      </c>
      <c r="L10" s="204" t="n">
        <v>7</v>
      </c>
    </row>
    <row r="11">
      <c r="A11" s="200" t="inlineStr">
        <is>
          <t>Human Resource Management</t>
        </is>
      </c>
      <c r="B11" s="201" t="n">
        <v>0.6909999999999999</v>
      </c>
      <c r="C11" s="201" t="n">
        <v>0.732</v>
      </c>
      <c r="D11" s="207" t="n">
        <v>0.713</v>
      </c>
      <c r="E11" s="203" t="n">
        <v>0.767</v>
      </c>
      <c r="F11" s="201" t="n">
        <v>0.719</v>
      </c>
      <c r="G11" s="201" t="n">
        <v>0.735</v>
      </c>
      <c r="H11" s="201" t="n">
        <v>0.713</v>
      </c>
      <c r="I11" s="201" t="n">
        <v>0.6909999999999999</v>
      </c>
      <c r="J11" s="201" t="n">
        <v>0.767</v>
      </c>
      <c r="K11" s="201" t="n">
        <v>0.7242857142857143</v>
      </c>
      <c r="L11" s="200" t="n">
        <v>5</v>
      </c>
    </row>
    <row r="12">
      <c r="A12" s="200" t="inlineStr">
        <is>
          <t>Asset Management</t>
        </is>
      </c>
      <c r="B12" s="201" t="n">
        <v>0.366</v>
      </c>
      <c r="C12" s="201" t="n">
        <v>0.539</v>
      </c>
      <c r="D12" s="202" t="n">
        <v>0.353</v>
      </c>
      <c r="E12" s="203" t="n">
        <v>0.92</v>
      </c>
      <c r="F12" s="201" t="n">
        <v>0.479</v>
      </c>
      <c r="G12" s="201" t="n">
        <v>0.666</v>
      </c>
      <c r="H12" s="201" t="n">
        <v>0.473</v>
      </c>
      <c r="I12" s="201" t="n">
        <v>0.353</v>
      </c>
      <c r="J12" s="201" t="n">
        <v>0.92</v>
      </c>
      <c r="K12" s="201" t="n">
        <v>0.5422857142857144</v>
      </c>
      <c r="L12" s="204" t="n">
        <v>7</v>
      </c>
    </row>
    <row r="13">
      <c r="A13" s="200" t="inlineStr">
        <is>
          <t>Manufacturing Productivity</t>
        </is>
      </c>
      <c r="B13" s="201" t="n">
        <v>0.722</v>
      </c>
      <c r="C13" s="201" t="n">
        <v>0.9379999999999999</v>
      </c>
      <c r="D13" s="205" t="n">
        <v>0.9379999999999999</v>
      </c>
      <c r="E13" s="201" t="n">
        <v>0.856</v>
      </c>
      <c r="F13" s="201" t="n">
        <v>0.9379999999999999</v>
      </c>
      <c r="G13" s="201" t="n">
        <v>0.906</v>
      </c>
      <c r="H13" s="203" t="n">
        <v>0.995</v>
      </c>
      <c r="I13" s="201" t="n">
        <v>0.722</v>
      </c>
      <c r="J13" s="201" t="n">
        <v>0.995</v>
      </c>
      <c r="K13" s="201" t="n">
        <v>0.899</v>
      </c>
      <c r="L13" s="206" t="n">
        <v>2</v>
      </c>
    </row>
    <row r="14">
      <c r="A14" s="200" t="inlineStr">
        <is>
          <t>Financial Risk</t>
        </is>
      </c>
      <c r="B14" s="203" t="n">
        <v>1</v>
      </c>
      <c r="C14" s="203" t="n">
        <v>1</v>
      </c>
      <c r="D14" s="205" t="n">
        <v>1</v>
      </c>
      <c r="E14" s="203" t="n">
        <v>1</v>
      </c>
      <c r="F14" s="203" t="n">
        <v>1</v>
      </c>
      <c r="G14" s="203" t="n">
        <v>1</v>
      </c>
      <c r="H14" s="203" t="n">
        <v>1</v>
      </c>
      <c r="I14" s="201" t="n">
        <v>1</v>
      </c>
      <c r="J14" s="201" t="n">
        <v>1</v>
      </c>
      <c r="K14" s="201" t="n">
        <v>1</v>
      </c>
      <c r="L14" s="206" t="n">
        <v>1</v>
      </c>
    </row>
    <row r="17">
      <c r="A17" s="199" t="inlineStr">
        <is>
          <t>WeBike rank card</t>
        </is>
      </c>
      <c r="B17" s="199" t="inlineStr">
        <is>
          <t>Score</t>
        </is>
      </c>
      <c r="C17" s="199" t="inlineStr">
        <is>
          <t>Rank / 7</t>
        </is>
      </c>
      <c r="D17" s="199" t="inlineStr">
        <is>
          <t>Best firm</t>
        </is>
      </c>
      <c r="E17" s="199" t="inlineStr">
        <is>
          <t>Best score</t>
        </is>
      </c>
      <c r="F17" s="199" t="inlineStr">
        <is>
          <t>Read</t>
        </is>
      </c>
    </row>
    <row r="18">
      <c r="A18" s="200" t="inlineStr">
        <is>
          <t>Total Performance</t>
        </is>
      </c>
      <c r="B18" s="200" t="n">
        <v>0.411</v>
      </c>
      <c r="C18" s="204" t="inlineStr">
        <is>
          <t>7 LAST</t>
        </is>
      </c>
      <c r="D18" s="200" t="inlineStr">
        <is>
          <t>BB LLC</t>
        </is>
      </c>
      <c r="E18" s="200" t="n">
        <v>21.531</v>
      </c>
      <c r="F18" s="208" t="inlineStr">
        <is>
          <t>52x behind the leader; 6x behind mid-pack</t>
        </is>
      </c>
    </row>
    <row r="19">
      <c r="A19" s="200" t="inlineStr">
        <is>
          <t>Financial Performance</t>
        </is>
      </c>
      <c r="B19" s="200" t="n">
        <v>5.319</v>
      </c>
      <c r="C19" s="204" t="inlineStr">
        <is>
          <t>7 LAST</t>
        </is>
      </c>
      <c r="D19" s="200" t="inlineStr">
        <is>
          <t>BB LLC</t>
        </is>
      </c>
      <c r="E19" s="200" t="n">
        <v>37.687</v>
      </c>
      <c r="F19" s="208" t="inlineStr">
        <is>
          <t>Operating loss + 25,000 shares. Next-worst (Bike Bros) is 12.856 — we are half of last-but-one</t>
        </is>
      </c>
    </row>
    <row r="20">
      <c r="A20" s="200" t="inlineStr">
        <is>
          <t>Market Performance</t>
        </is>
      </c>
      <c r="B20" s="200" t="n">
        <v>0.098</v>
      </c>
      <c r="C20" s="204" t="inlineStr">
        <is>
          <t>6</t>
        </is>
      </c>
      <c r="D20" s="200" t="inlineStr">
        <is>
          <t>BB LLC</t>
        </is>
      </c>
      <c r="E20" s="200" t="n">
        <v>0.345</v>
      </c>
      <c r="F20" s="208" t="inlineStr">
        <is>
          <t>Only Bike Bros (0.085) is worse. 33% stock-outs; share x fill-rate</t>
        </is>
      </c>
    </row>
    <row r="21">
      <c r="A21" s="200" t="inlineStr">
        <is>
          <t>Marketing Effectiveness</t>
        </is>
      </c>
      <c r="B21" s="200" t="n">
        <v>0.738</v>
      </c>
      <c r="C21" s="204" t="inlineStr">
        <is>
          <t>6</t>
        </is>
      </c>
      <c r="D21" s="200" t="inlineStr">
        <is>
          <t>Bike Bros / BB LLC</t>
        </is>
      </c>
      <c r="E21" s="200" t="n">
        <v>0.765</v>
      </c>
      <c r="F21" s="208" t="inlineStr">
        <is>
          <t>0.005 below average. Pack is 0.755–0.765; not a Q4 lever</t>
        </is>
      </c>
    </row>
    <row r="22">
      <c r="A22" s="200" t="inlineStr">
        <is>
          <t>Investment in Future</t>
        </is>
      </c>
      <c r="B22" s="200" t="n">
        <v>6.795</v>
      </c>
      <c r="C22" s="206" t="inlineStr">
        <is>
          <t>2 STRENGTH</t>
        </is>
      </c>
      <c r="D22" s="200" t="inlineStr">
        <is>
          <t>Bike Bros</t>
        </is>
      </c>
      <c r="E22" s="200" t="n">
        <v>7.401</v>
      </c>
      <c r="F22" s="208" t="inlineStr">
        <is>
          <t>Do not chase. Leaders score LOW because revenue is in the denominator</t>
        </is>
      </c>
    </row>
    <row r="23">
      <c r="A23" s="200" t="inlineStr">
        <is>
          <t>Wealth</t>
        </is>
      </c>
      <c r="B23" s="200" t="n">
        <v>0.668</v>
      </c>
      <c r="C23" s="204" t="inlineStr">
        <is>
          <t>7 LAST</t>
        </is>
      </c>
      <c r="D23" s="200" t="inlineStr">
        <is>
          <t>SpaceBikes</t>
        </is>
      </c>
      <c r="E23" s="200" t="n">
        <v>1.017</v>
      </c>
      <c r="F23" s="208" t="inlineStr">
        <is>
          <t>Cumulative losses. SpaceBikes is the only firm above 1.0</t>
        </is>
      </c>
    </row>
    <row r="24">
      <c r="A24" s="200" t="inlineStr">
        <is>
          <t>Human Resource Management</t>
        </is>
      </c>
      <c r="B24" s="200" t="n">
        <v>0.713</v>
      </c>
      <c r="C24" s="200" t="inlineStr">
        <is>
          <t>5= (tie MILC)</t>
        </is>
      </c>
      <c r="D24" s="200" t="inlineStr">
        <is>
          <t>BB LLC</t>
        </is>
      </c>
      <c r="E24" s="200" t="n">
        <v>0.767</v>
      </c>
      <c r="F24" s="208" t="inlineStr">
        <is>
          <t>Only Bike Bros (0.691) is worse. Pay is low-middle, not last</t>
        </is>
      </c>
    </row>
    <row r="25">
      <c r="A25" s="200" t="inlineStr">
        <is>
          <t>Asset Management</t>
        </is>
      </c>
      <c r="B25" s="200" t="n">
        <v>0.353</v>
      </c>
      <c r="C25" s="204" t="inlineStr">
        <is>
          <t>7 LAST</t>
        </is>
      </c>
      <c r="D25" s="200" t="inlineStr">
        <is>
          <t>BB LLC</t>
        </is>
      </c>
      <c r="E25" s="200" t="n">
        <v>0.92</v>
      </c>
      <c r="F25" s="208" t="inlineStr">
        <is>
          <t>$1.01M idle cash. Bike Bros 0.366 is almost as bad</t>
        </is>
      </c>
    </row>
    <row r="26">
      <c r="A26" s="200" t="inlineStr">
        <is>
          <t>Manufacturing Productivity</t>
        </is>
      </c>
      <c r="B26" s="200" t="n">
        <v>0.9379999999999999</v>
      </c>
      <c r="C26" s="206" t="inlineStr">
        <is>
          <t>2= (tie LiteCycle, Spoke'd Up)</t>
        </is>
      </c>
      <c r="D26" s="200" t="inlineStr">
        <is>
          <t>MILC Bikes</t>
        </is>
      </c>
      <c r="E26" s="200" t="n">
        <v>0.995</v>
      </c>
      <c r="F26" s="208" t="inlineStr">
        <is>
          <t>FALSE strength: we used 100% of the 8/day we scheduled. Does not punish stock-outs</t>
        </is>
      </c>
    </row>
    <row r="27">
      <c r="A27" s="200" t="inlineStr">
        <is>
          <t>Financial Risk</t>
        </is>
      </c>
      <c r="B27" s="200" t="n">
        <v>1</v>
      </c>
      <c r="C27" s="206" t="inlineStr">
        <is>
          <t>1= (all firms)</t>
        </is>
      </c>
      <c r="D27" s="200" t="inlineStr">
        <is>
          <t>everyone</t>
        </is>
      </c>
      <c r="E27" s="200" t="n">
        <v>1</v>
      </c>
      <c r="F27" s="208" t="inlineStr">
        <is>
          <t>Nobody has debt. Zero differentiation</t>
        </is>
      </c>
    </row>
    <row r="30">
      <c r="A30" s="199" t="inlineStr">
        <is>
          <t>Two-league industry (Total Performance)</t>
        </is>
      </c>
      <c r="B30" s="199" t="inlineStr">
        <is>
          <t>Score</t>
        </is>
      </c>
      <c r="C30" s="199" t="inlineStr">
        <is>
          <t>x WeBike</t>
        </is>
      </c>
      <c r="D30" s="199" t="inlineStr">
        <is>
          <t>League</t>
        </is>
      </c>
    </row>
    <row r="31">
      <c r="A31" s="200" t="inlineStr">
        <is>
          <t>BB LLC</t>
        </is>
      </c>
      <c r="B31" s="200" t="n">
        <v>21.531</v>
      </c>
      <c r="C31" s="200" t="n">
        <v>52.4</v>
      </c>
      <c r="D31" s="208" t="inlineStr">
        <is>
          <t>League 1 — profitable, high share, high asset turnover</t>
        </is>
      </c>
    </row>
    <row r="32">
      <c r="A32" s="200" t="inlineStr">
        <is>
          <t>SpaceBikes</t>
        </is>
      </c>
      <c r="B32" s="200" t="n">
        <v>10.753</v>
      </c>
      <c r="C32" s="200" t="n">
        <v>26.2</v>
      </c>
      <c r="D32" s="208" t="inlineStr">
        <is>
          <t>League 1</t>
        </is>
      </c>
    </row>
    <row r="33">
      <c r="A33" s="200" t="inlineStr">
        <is>
          <t>LiteCycle</t>
        </is>
      </c>
      <c r="B33" s="200" t="n">
        <v>2.765</v>
      </c>
      <c r="C33" s="200" t="n">
        <v>6.7</v>
      </c>
      <c r="D33" s="208" t="inlineStr">
        <is>
          <t>League 2 — mid-pack, tightly bunched 2.3–2.8</t>
        </is>
      </c>
    </row>
    <row r="34">
      <c r="A34" s="200" t="inlineStr">
        <is>
          <t>MILC Bikes</t>
        </is>
      </c>
      <c r="B34" s="200" t="n">
        <v>2.604</v>
      </c>
      <c r="C34" s="200" t="n">
        <v>6.3</v>
      </c>
      <c r="D34" s="208" t="inlineStr">
        <is>
          <t>League 2</t>
        </is>
      </c>
    </row>
    <row r="35">
      <c r="A35" s="200" t="inlineStr">
        <is>
          <t>Spoke'd Up</t>
        </is>
      </c>
      <c r="B35" s="200" t="n">
        <v>2.316</v>
      </c>
      <c r="C35" s="200" t="n">
        <v>5.6</v>
      </c>
      <c r="D35" s="208" t="inlineStr">
        <is>
          <t>League 2  (chart-read had ~1.0 — WRONG)</t>
        </is>
      </c>
    </row>
    <row r="36">
      <c r="A36" s="200" t="inlineStr">
        <is>
          <t>Bike Bros</t>
        </is>
      </c>
      <c r="B36" s="200" t="n">
        <v>0.9</v>
      </c>
      <c r="C36" s="200" t="n">
        <v>2.2</v>
      </c>
      <c r="D36" s="208" t="inlineStr">
        <is>
          <t>League 3 — basement  (chart-read had ~2.5 — WRONG)</t>
        </is>
      </c>
    </row>
    <row r="37">
      <c r="A37" s="209" t="inlineStr">
        <is>
          <t>WeBike</t>
        </is>
      </c>
      <c r="B37" s="209" t="n">
        <v>0.411</v>
      </c>
      <c r="C37" s="209" t="n">
        <v>1</v>
      </c>
      <c r="D37" s="210" t="inlineStr">
        <is>
          <t>League 3 — LAST</t>
        </is>
      </c>
    </row>
    <row r="40">
      <c r="A40" s="199" t="inlineStr">
        <is>
          <t>Product identity (Total Performance = product of 9 indicators)</t>
        </is>
      </c>
      <c r="B40" s="199" t="inlineStr">
        <is>
          <t>Value</t>
        </is>
      </c>
    </row>
    <row r="41">
      <c r="A41" s="200" t="inlineStr">
        <is>
          <t>Product of WeBike's 9 indicators</t>
        </is>
      </c>
      <c r="B41" s="200" t="n">
        <v>0.4122</v>
      </c>
    </row>
    <row r="42">
      <c r="A42" s="200" t="inlineStr">
        <is>
          <t>Reported Total Performance</t>
        </is>
      </c>
      <c r="B42" s="200" t="n">
        <v>0.411</v>
      </c>
    </row>
    <row r="43">
      <c r="A43" s="200" t="inlineStr">
        <is>
          <t>Match?</t>
        </is>
      </c>
      <c r="B43" s="200" t="inlineStr">
        <is>
          <t>YES</t>
        </is>
      </c>
    </row>
    <row r="46">
      <c r="A46" s="199" t="inlineStr">
        <is>
          <t>If WeBike matched the industry average on ONE indicator (others held)</t>
        </is>
      </c>
      <c r="B46" s="199" t="inlineStr">
        <is>
          <t>New TP</t>
        </is>
      </c>
      <c r="C46" s="199" t="inlineStr">
        <is>
          <t>x actual</t>
        </is>
      </c>
      <c r="D46" s="199" t="inlineStr">
        <is>
          <t>Note</t>
        </is>
      </c>
    </row>
    <row r="47">
      <c r="A47" s="200" t="inlineStr">
        <is>
          <t>Financial Performance</t>
        </is>
      </c>
      <c r="B47" s="200" t="n">
        <v>1.469</v>
      </c>
      <c r="C47" s="200" t="n">
        <v>3.57</v>
      </c>
      <c r="D47" s="208" t="inlineStr"/>
    </row>
    <row r="48">
      <c r="A48" s="200" t="inlineStr">
        <is>
          <t>Market Performance</t>
        </is>
      </c>
      <c r="B48" s="200" t="n">
        <v>0.775</v>
      </c>
      <c r="C48" s="200" t="n">
        <v>1.88</v>
      </c>
      <c r="D48" s="208" t="inlineStr"/>
    </row>
    <row r="49">
      <c r="A49" s="200" t="inlineStr">
        <is>
          <t>Marketing Effectiveness</t>
        </is>
      </c>
      <c r="B49" s="200" t="n">
        <v>0.414</v>
      </c>
      <c r="C49" s="200" t="n">
        <v>1.01</v>
      </c>
      <c r="D49" s="208" t="inlineStr"/>
    </row>
    <row r="50">
      <c r="A50" s="200" t="inlineStr">
        <is>
          <t>Investment in Future</t>
        </is>
      </c>
      <c r="B50" s="200" t="n">
        <v>0.326</v>
      </c>
      <c r="C50" s="200" t="n">
        <v>0.79</v>
      </c>
      <c r="D50" s="208" t="inlineStr">
        <is>
          <t>matching average would HURT us — this is a strength</t>
        </is>
      </c>
    </row>
    <row r="51">
      <c r="A51" s="200" t="inlineStr">
        <is>
          <t>Wealth</t>
        </is>
      </c>
      <c r="B51" s="200" t="n">
        <v>0.511</v>
      </c>
      <c r="C51" s="200" t="n">
        <v>1.24</v>
      </c>
      <c r="D51" s="208" t="inlineStr"/>
    </row>
    <row r="52">
      <c r="A52" s="200" t="inlineStr">
        <is>
          <t>Human Resource Management</t>
        </is>
      </c>
      <c r="B52" s="200" t="n">
        <v>0.418</v>
      </c>
      <c r="C52" s="200" t="n">
        <v>1.02</v>
      </c>
      <c r="D52" s="208" t="inlineStr"/>
    </row>
    <row r="53">
      <c r="A53" s="200" t="inlineStr">
        <is>
          <t>Asset Management</t>
        </is>
      </c>
      <c r="B53" s="200" t="n">
        <v>0.631</v>
      </c>
      <c r="C53" s="200" t="n">
        <v>1.54</v>
      </c>
      <c r="D53" s="208" t="inlineStr"/>
    </row>
    <row r="54">
      <c r="A54" s="200" t="inlineStr">
        <is>
          <t>Manufacturing Productivity</t>
        </is>
      </c>
      <c r="B54" s="200" t="n">
        <v>0.394</v>
      </c>
      <c r="C54" s="200" t="n">
        <v>0.96</v>
      </c>
      <c r="D54" s="208" t="inlineStr">
        <is>
          <t>matching average would HURT us — this is a strength</t>
        </is>
      </c>
    </row>
    <row r="55">
      <c r="A55" s="200" t="inlineStr">
        <is>
          <t>Financial Risk</t>
        </is>
      </c>
      <c r="B55" s="200" t="n">
        <v>0.411</v>
      </c>
      <c r="C55" s="200" t="n">
        <v>1</v>
      </c>
      <c r="D55" s="208" t="inlineStr"/>
    </row>
    <row r="56">
      <c r="A56" s="200" t="inlineStr">
        <is>
          <t>All indicators at average (implied)</t>
        </is>
      </c>
      <c r="B56" s="200" t="n">
        <v>5.897</v>
      </c>
      <c r="C56" s="200" t="n">
        <v>14.3</v>
      </c>
      <c r="D56" s="208" t="inlineStr">
        <is>
          <t>industry mean TP is 5.897 — 14x us. Not a realistic Q4 target</t>
        </is>
      </c>
    </row>
    <row r="59">
      <c r="A59" s="199" t="inlineStr">
        <is>
          <t>Path to mid-pack (~2.5, LiteCycle/MILC/Spoke'd Up)</t>
        </is>
      </c>
      <c r="B59" s="199" t="inlineStr">
        <is>
          <t>TP</t>
        </is>
      </c>
      <c r="C59" s="199" t="inlineStr">
        <is>
          <t>x actual</t>
        </is>
      </c>
      <c r="D59" s="199" t="inlineStr">
        <is>
          <t>What it takes</t>
        </is>
      </c>
    </row>
    <row r="60">
      <c r="A60" s="200" t="inlineStr">
        <is>
          <t>Q3 actual</t>
        </is>
      </c>
      <c r="B60" s="200" t="n">
        <v>0.411</v>
      </c>
      <c r="C60" s="200" t="n">
        <v>1</v>
      </c>
      <c r="D60" s="208" t="inlineStr">
        <is>
          <t>baseline</t>
        </is>
      </c>
    </row>
    <row r="61">
      <c r="A61" s="200" t="inlineStr">
        <is>
          <t>Serve 100% of demand (Market 0.098 → 0.150)</t>
        </is>
      </c>
      <c r="B61" s="211" t="n">
        <v>0.629</v>
      </c>
      <c r="C61" s="200" t="n">
        <v>1.53</v>
      </c>
      <c r="D61" s="208" t="inlineStr">
        <is>
          <t>schedule OC to the forecast; no printers required</t>
        </is>
      </c>
    </row>
    <row r="62">
      <c r="A62" s="200" t="inlineStr">
        <is>
          <t>+ Asset 0.353 → 0.55</t>
        </is>
      </c>
      <c r="B62" s="211" t="n">
        <v>0.98</v>
      </c>
      <c r="C62" s="200" t="n">
        <v>2.38</v>
      </c>
      <c r="D62" s="208" t="inlineStr">
        <is>
          <t>deploy idle cash into revenue (people, web, ads, city #3)</t>
        </is>
      </c>
    </row>
    <row r="63">
      <c r="A63" s="200" t="inlineStr">
        <is>
          <t>+ Financial 5.319 → 14.8 (mid-pack)</t>
        </is>
      </c>
      <c r="B63" s="206" t="n">
        <v>2.727</v>
      </c>
      <c r="C63" s="200" t="n">
        <v>6.64</v>
      </c>
      <c r="D63" s="208" t="inlineStr">
        <is>
          <t>profitable quarter + stop issuing stock. This is the jump out of the basement</t>
        </is>
      </c>
    </row>
    <row r="64">
      <c r="A64" s="200" t="inlineStr">
        <is>
          <t>Do NOT chase Investment in Future</t>
        </is>
      </c>
      <c r="B64" s="200" t="n"/>
      <c r="C64" s="200" t="n"/>
      <c r="D64" s="208" t="inlineStr">
        <is>
          <t>We are already 2nd. SpaceBikes is LAST on IIF (3.466) and 2nd overall. Bike Bros is BEST on IIF (7.401) and 6th overall</t>
        </is>
      </c>
    </row>
    <row r="65">
      <c r="A65" s="200" t="inlineStr">
        <is>
          <t>Do NOT protect Manufacturing Productivity by under-scheduling</t>
        </is>
      </c>
      <c r="B65" s="200" t="n"/>
      <c r="C65" s="200" t="n"/>
      <c r="D65" s="208" t="inlineStr">
        <is>
          <t>0.938 is what you get when you use 100% of a too-small plan. Market Performance is the indicator that saw the 204 lost units</t>
        </is>
      </c>
    </row>
    <row r="68">
      <c r="A68" s="199" t="inlineStr">
        <is>
          <t>Chart-read BSC in Q3_Industry_Graphs — CORRECTIONS</t>
        </is>
      </c>
      <c r="B68" s="199" t="inlineStr">
        <is>
          <t>Graph-read TP</t>
        </is>
      </c>
      <c r="C68" s="199" t="inlineStr">
        <is>
          <t>Actual TP</t>
        </is>
      </c>
      <c r="D68" s="199" t="inlineStr">
        <is>
          <t>Error</t>
        </is>
      </c>
    </row>
    <row r="69">
      <c r="A69" s="204" t="inlineStr">
        <is>
          <t>Bike Bros</t>
        </is>
      </c>
      <c r="B69" s="200" t="n">
        <v>2.5</v>
      </c>
      <c r="C69" s="200" t="n">
        <v>0.9</v>
      </c>
      <c r="D69" s="208" t="inlineStr">
        <is>
          <t>was placed in mid-pack; actually in the basement with us</t>
        </is>
      </c>
    </row>
    <row r="70">
      <c r="A70" s="211" t="inlineStr">
        <is>
          <t>Spoke'd Up</t>
        </is>
      </c>
      <c r="B70" s="200" t="n">
        <v>1</v>
      </c>
      <c r="C70" s="200" t="n">
        <v>2.316</v>
      </c>
      <c r="D70" s="208" t="inlineStr">
        <is>
          <t>was placed in the basement; actually mid-pack with LiteCycle/MILC</t>
        </is>
      </c>
    </row>
    <row r="71">
      <c r="A71" s="200" t="inlineStr">
        <is>
          <t>LiteCycle</t>
        </is>
      </c>
      <c r="B71" s="200" t="n">
        <v>2</v>
      </c>
      <c r="C71" s="200" t="n">
        <v>2.765</v>
      </c>
      <c r="D71" s="208" t="inlineStr">
        <is>
          <t>directionally fine, a bit low</t>
        </is>
      </c>
    </row>
    <row r="72">
      <c r="A72" s="200" t="inlineStr">
        <is>
          <t>MILC Bikes</t>
        </is>
      </c>
      <c r="B72" s="200" t="n">
        <v>2.8</v>
      </c>
      <c r="C72" s="200" t="n">
        <v>2.604</v>
      </c>
      <c r="D72" s="208" t="inlineStr">
        <is>
          <t>directionally fine</t>
        </is>
      </c>
    </row>
    <row r="73">
      <c r="A73" s="200" t="inlineStr">
        <is>
          <t>SpaceBikes</t>
        </is>
      </c>
      <c r="B73" s="200" t="n">
        <v>11</v>
      </c>
      <c r="C73" s="200" t="n">
        <v>10.753</v>
      </c>
      <c r="D73" s="208" t="inlineStr">
        <is>
          <t>fine</t>
        </is>
      </c>
    </row>
    <row r="74">
      <c r="A74" s="200" t="inlineStr">
        <is>
          <t>BB LLC</t>
        </is>
      </c>
      <c r="B74" s="200" t="n">
        <v>22</v>
      </c>
      <c r="C74" s="200" t="n">
        <v>21.531</v>
      </c>
      <c r="D74" s="208" t="inlineStr">
        <is>
          <t>fine</t>
        </is>
      </c>
    </row>
    <row r="75">
      <c r="A75" s="200" t="inlineStr">
        <is>
          <t>WeBike</t>
        </is>
      </c>
      <c r="B75" s="200" t="n">
        <v>0.411</v>
      </c>
      <c r="C75" s="200" t="n">
        <v>0.411</v>
      </c>
      <c r="D75" s="208" t="inlineStr">
        <is>
          <t>exact — we had the live scorecard for ourselves</t>
        </is>
      </c>
    </row>
  </sheetData>
  <mergeCells count="1">
    <mergeCell ref="A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  <c r="H3" s="166" t="inlineStr">
        <is>
          <t>WeBike rank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  <c r="H4" s="167" t="n">
        <v>7</v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  <c r="H5" s="167" t="n">
        <v>7</v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  <c r="H6" s="167" t="n">
        <v>6</v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  <c r="H7" s="167" t="n">
        <v>6</v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  <c r="H8" s="159" t="n">
        <v>2</v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  <c r="H9" s="167" t="n">
        <v>7</v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  <c r="H10" t="n">
        <v>5</v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  <c r="H11" s="167" t="n">
        <v>7</v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  <c r="H12" s="159" t="n">
        <v>2</v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  <c r="H13" s="159" t="n">
        <v>1</v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required OC/day = forecast units / (productivity x 65 days). Never schedule below the forecast again. Q3 proof: OC 8/day vs 24 owned -&gt; 204 stock-outs AND labour cost/unit up $130 -&gt; 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Capacity factor (1 / productivity)</t>
        </is>
      </c>
      <c r="B9" s="159">
        <f>1/B8</f>
        <v/>
      </c>
      <c r="C9" s="170" t="inlineStr">
        <is>
          <t>CORRECTED: was 1+(1-p)=1.26, which understated the requirement. 1/0.74 = 1.35.</t>
        </is>
      </c>
    </row>
    <row r="10">
      <c r="A10" t="inlineStr">
        <is>
          <t>Required OC per day</t>
        </is>
      </c>
      <c r="B10">
        <f>B7/(B8*65)</f>
        <v/>
      </c>
      <c r="C10" t="inlineStr">
        <is>
          <t>units / (productivity x days) - 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7-firm mean 25,211 (range 22,060-27,630)</t>
        </is>
      </c>
      <c r="D34" s="168" t="n">
        <v>26564</v>
      </c>
    </row>
    <row r="35">
      <c r="A35" t="inlineStr">
        <is>
          <t>Production compensation [$]</t>
        </is>
      </c>
      <c r="B35" t="n">
        <v>20757</v>
      </c>
      <c r="C35" t="inlineStr">
        <is>
          <t>7-firm mean 21,441 (range 19,609-23,293)</t>
        </is>
      </c>
      <c r="D35" s="168" t="n">
        <v>22240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s="166" t="inlineStr">
        <is>
          <t>DEMAND SCENARIOS -&gt; REQUIRED OPERATING CAPACITY</t>
        </is>
      </c>
      <c r="B46" s="166" t="inlineStr">
        <is>
          <t>Demand</t>
        </is>
      </c>
      <c r="C46" s="166" t="inlineStr">
        <is>
          <t>Required OC/day</t>
        </is>
      </c>
      <c r="D46" s="166" t="inlineStr">
        <is>
          <t>Fits in 24/day?</t>
        </is>
      </c>
    </row>
    <row r="47">
      <c r="A47" t="inlineStr">
        <is>
          <t>A. Do nothing (Q3 demand less 16.3% ill will)</t>
        </is>
      </c>
      <c r="B47" t="n">
        <v>525</v>
      </c>
      <c r="C47" s="189">
        <f>B48/(0.74*65)</f>
        <v/>
      </c>
      <c r="D47">
        <f>IF(C48&lt;=24,"yes","NO")</f>
        <v/>
      </c>
    </row>
    <row r="48">
      <c r="A48" t="inlineStr">
        <is>
          <t>B. Base forecast (planner B7)</t>
        </is>
      </c>
      <c r="B48">
        <f>B7</f>
        <v/>
      </c>
      <c r="C48" s="189">
        <f>B49/(0.74*65)</f>
        <v/>
      </c>
      <c r="D48">
        <f>IF(C49&lt;=24,"yes","NO")</f>
        <v/>
      </c>
    </row>
    <row r="49">
      <c r="A49" t="inlineStr">
        <is>
          <t>C. + fill Rio to the 7-person cap</t>
        </is>
      </c>
      <c r="B49" s="159">
        <f>B49+200</f>
        <v/>
      </c>
      <c r="C49" s="189">
        <f>B50/(0.74*65)</f>
        <v/>
      </c>
      <c r="D49">
        <f>IF(C50&lt;=24,"yes","NO")</f>
        <v/>
      </c>
    </row>
    <row r="50">
      <c r="A50" t="inlineStr">
        <is>
          <t>D. + full web rebuild (7 staff, 4 tactics)</t>
        </is>
      </c>
      <c r="B50">
        <f>B50+315</f>
        <v/>
      </c>
      <c r="C50" s="189">
        <f>B51/(0.74*65)</f>
        <v/>
      </c>
      <c r="D50">
        <f>IF(C51&lt;=24,"yes","NO")</f>
        <v/>
      </c>
    </row>
    <row r="51">
      <c r="A51" t="inlineStr">
        <is>
          <t>E. + New York store</t>
        </is>
      </c>
      <c r="B51">
        <f>B51+400</f>
        <v/>
      </c>
      <c r="C51" s="189">
        <f>B52/(0.74*65)</f>
        <v/>
      </c>
      <c r="D51" s="167">
        <f>IF(C52&lt;=24,"yes","NO")</f>
        <v/>
      </c>
    </row>
    <row r="52">
      <c r="A52" t="inlineStr">
        <is>
          <t>Max units at 24/day and 74% productivity</t>
        </is>
      </c>
      <c r="B52" s="159">
        <f>24*0.74*65</f>
        <v/>
      </c>
      <c r="D52" s="167" t="n"/>
    </row>
    <row r="53">
      <c r="A53" t="inlineStr">
        <is>
          <t>Read</t>
        </is>
      </c>
      <c r="D53" s="185" t="inlineStr">
        <is>
          <t>Scenario C (Rio fill) fits comfortably at 17.8/day. Scenario D (Rio + full web rebuild) needs 24.3/day and EXCEEDS our 24/day fixed capacity by a hair. Scenario E (plus New York) needs 32.7/day. Capacity - not demand, not product - is now the binding constraint on growth.</t>
        </is>
      </c>
    </row>
    <row r="56">
      <c r="A56" s="166" t="inlineStr">
        <is>
          <t>WEB &amp; STAFFING TARGETS (from Q3_Web_Ops / Q3_Staffing)</t>
        </is>
      </c>
      <c r="B56" s="166" t="inlineStr">
        <is>
          <t>WeBike Q3</t>
        </is>
      </c>
      <c r="C56" s="166" t="inlineStr">
        <is>
          <t>Industry</t>
        </is>
      </c>
      <c r="D56" s="166" t="inlineStr">
        <is>
          <t>Q4 target</t>
        </is>
      </c>
    </row>
    <row r="57">
      <c r="A57" t="inlineStr">
        <is>
          <t>Web staff (cap is 7)</t>
        </is>
      </c>
      <c r="B57" t="n">
        <v>3</v>
      </c>
      <c r="C57" t="inlineStr">
        <is>
          <t>7 (four firms)</t>
        </is>
      </c>
      <c r="D57" s="168" t="n">
        <v>7</v>
      </c>
    </row>
    <row r="58">
      <c r="A58" t="inlineStr">
        <is>
          <t>Web productivity tactics funded (of 4)</t>
        </is>
      </c>
      <c r="B58" t="n">
        <v>1</v>
      </c>
      <c r="C58" t="n">
        <v>4</v>
      </c>
      <c r="D58" s="168" t="n">
        <v>4</v>
      </c>
    </row>
    <row r="59">
      <c r="A59" t="inlineStr">
        <is>
          <t>Web productivity budget</t>
        </is>
      </c>
      <c r="B59" t="n">
        <v>6000</v>
      </c>
      <c r="C59" t="inlineStr">
        <is>
          <t>24,000 - 33,000</t>
        </is>
      </c>
      <c r="D59" s="168" t="n">
        <v>28000</v>
      </c>
    </row>
    <row r="60">
      <c r="A60" t="inlineStr">
        <is>
          <t>Web demand</t>
        </is>
      </c>
      <c r="B60" t="n">
        <v>120</v>
      </c>
      <c r="C60" t="inlineStr">
        <is>
          <t>435 - 569</t>
        </is>
      </c>
      <c r="D60" s="168" t="n">
        <v>435</v>
      </c>
    </row>
    <row r="61">
      <c r="A61" t="inlineStr">
        <is>
          <t>Rio store staff (cap is 7)</t>
        </is>
      </c>
      <c r="B61" t="n">
        <v>4</v>
      </c>
      <c r="C61" t="inlineStr">
        <is>
          <t>-</t>
        </is>
      </c>
      <c r="D61" s="168" t="n">
        <v>7</v>
      </c>
    </row>
    <row r="62">
      <c r="A62" t="inlineStr">
        <is>
          <t>Amsterdam store staff (cap is 7)</t>
        </is>
      </c>
      <c r="B62" t="n">
        <v>7</v>
      </c>
      <c r="C62" t="inlineStr">
        <is>
          <t>7</t>
        </is>
      </c>
      <c r="D62" s="168" t="inlineStr">
        <is>
          <t>7 (AT CAP - no room)</t>
        </is>
      </c>
    </row>
    <row r="63">
      <c r="A63" t="inlineStr">
        <is>
          <t>Untrained staff</t>
        </is>
      </c>
      <c r="B63" t="n">
        <v>2</v>
      </c>
      <c r="C63" t="n">
        <v>0</v>
      </c>
      <c r="D63" s="167" t="n">
        <v>0</v>
      </c>
    </row>
    <row r="66">
      <c r="A66" s="166" t="inlineStr">
        <is>
          <t>CAPACITY IS NOW THE BINDING CONSTRAINT — and idle cash is the cure</t>
        </is>
      </c>
      <c r="B66" s="166" t="inlineStr">
        <is>
          <t>Value</t>
        </is>
      </c>
      <c r="C66" s="166" t="inlineStr">
        <is>
          <t>Note</t>
        </is>
      </c>
    </row>
    <row r="67">
      <c r="A67" t="inlineStr">
        <is>
          <t>Cash sitting idle</t>
        </is>
      </c>
      <c r="B67" s="167" t="n">
        <v>1010838</v>
      </c>
      <c r="C67" t="inlineStr">
        <is>
          <t>the direct cause of Asset Management 0.353 (LAST place)</t>
        </is>
      </c>
    </row>
    <row r="68">
      <c r="A68" t="inlineStr">
        <is>
          <t>Fixed capacity today</t>
        </is>
      </c>
      <c r="B68" t="n">
        <v>24</v>
      </c>
      <c r="C68" t="inlineStr">
        <is>
          <t>3 printers, $720,000 original cost -&gt; ~$240,000 each</t>
        </is>
      </c>
    </row>
    <row r="69">
      <c r="A69" t="inlineStr">
        <is>
          <t>Max units at 24/day and 74% productivity</t>
        </is>
      </c>
      <c r="B69">
        <f>24*0.74*65</f>
        <v/>
      </c>
    </row>
    <row r="70">
      <c r="A70" t="inlineStr">
        <is>
          <t>Demand if we fill Rio AND rebuild web</t>
        </is>
      </c>
      <c r="B70" t="n">
        <v>1171</v>
      </c>
      <c r="C70" t="inlineStr">
        <is>
          <t>exceeds the ceiling by ~17 units</t>
        </is>
      </c>
    </row>
    <row r="71">
      <c r="A71" t="inlineStr">
        <is>
          <t>A 4th printer would give</t>
        </is>
      </c>
      <c r="B71" s="159" t="n">
        <v>32</v>
      </c>
      <c r="C71" t="inlineStr">
        <is>
          <t>units/day -&gt; max ~1,539 units</t>
        </is>
      </c>
    </row>
    <row r="72">
      <c r="A72" t="inlineStr">
        <is>
          <t>Approx capital cost</t>
        </is>
      </c>
      <c r="B72" t="n">
        <v>240000</v>
      </c>
      <c r="C72" t="inlineStr">
        <is>
          <t>24% of idle cash</t>
        </is>
      </c>
    </row>
    <row r="73">
      <c r="A73" t="inlineStr">
        <is>
          <t>Approx added depreciation</t>
        </is>
      </c>
      <c r="B73" t="n">
        <v>10000</v>
      </c>
      <c r="C73" t="inlineStr">
        <is>
          <t>per quarter</t>
        </is>
      </c>
    </row>
    <row r="74">
      <c r="A74" t="inlineStr">
        <is>
          <t>Read</t>
        </is>
      </c>
      <c r="C74" s="174" t="inlineStr">
        <is>
          <t>Buying capacity solves TWO problems at once: it lifts the growth ceiling AND converts idle cash into revenue-producing assets, which is exactly what Asset Management 0.353 is punishing. Note that owning capacity is NOT what caused Q2's $148,652 excess-capacity charge - that came from SCHEDULING operating capacity we did not use. Depreciation is the only carrying cost of ownership.</t>
        </is>
      </c>
    </row>
    <row r="75">
      <c r="A75" t="inlineStr">
        <is>
          <t>Decision framing</t>
        </is>
      </c>
      <c r="C75" s="174" t="inlineStr">
        <is>
          <t>If we want Rio + web + New York we need roughly 33/day, i.e. 2 more printers. If we want Rio + web only, 1 more printer gives comfortable slack. Doing nothing caps us at ~1,154 units.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3" ht="36" customHeight="1" s="146">
      <c r="A3" s="218" t="inlineStr">
        <is>
          <t>SUPERSEDED IN PART by Q3_Competitor_Profiles (exact report). Corrections: BB LLC fixed=24 OC=24 OT=6.90 · MILC OC=17 not 24 · LiteCycle OC=14 · Spoke'd Up OC=15 · sales prod ceiling 78 (BB LLC) · sales pay avg $25,211 / worker avg $21,441 — we are BELOW both.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19,609 - 23,293 (7-firm)</t>
        </is>
      </c>
      <c r="D68" t="inlineStr">
        <is>
          <t>tied 5th/6th of 7; mix already right, salary low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22,060 - 27,630 (7-firm)</t>
        </is>
      </c>
      <c r="D69" t="inlineStr">
        <is>
          <t>6th of 7; salary starved, Full coverage bloated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mergeCells count="1">
    <mergeCell ref="A3:F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40" customWidth="1" style="146" min="2" max="2"/>
    <col width="34" customWidth="1" style="146" min="3" max="3"/>
    <col width="30" customWidth="1" style="146" min="4" max="4"/>
    <col width="13" customWidth="1" style="146" min="5" max="5"/>
    <col width="13" customWidth="1" style="146" min="6" max="6"/>
    <col width="13" customWidth="1" style="146" min="7" max="7"/>
    <col width="13" customWidth="1" style="146" min="8" max="8"/>
    <col width="13" customWidth="1" style="146" min="9" max="9"/>
    <col width="13" customWidth="1" style="146" min="10" max="10"/>
  </cols>
  <sheetData>
    <row r="1">
      <c r="A1" s="169" t="inlineStr">
        <is>
          <t>Sales and Service People — World Market, Q3 actual</t>
        </is>
      </c>
    </row>
    <row r="2">
      <c r="A2" s="170" t="inlineStr">
        <is>
          <t>Two hard findings: 7 people per city is the cap (nobody exceeds it, and Amsterdam has us AT it), and we are the only firm besides Bike Bros carrying UNTRAINED staff.</t>
        </is>
      </c>
    </row>
    <row r="4">
      <c r="A4" s="166" t="inlineStr">
        <is>
          <t>City</t>
        </is>
      </c>
      <c r="B4" s="166" t="inlineStr">
        <is>
          <t>Company</t>
        </is>
      </c>
      <c r="C4" s="166" t="inlineStr">
        <is>
          <t>Total</t>
        </is>
      </c>
      <c r="D4" s="166" t="inlineStr">
        <is>
          <t>Service</t>
        </is>
      </c>
      <c r="E4" s="166" t="inlineStr">
        <is>
          <t>Recreation</t>
        </is>
      </c>
      <c r="F4" s="166" t="inlineStr">
        <is>
          <t>Mountain</t>
        </is>
      </c>
      <c r="G4" s="166" t="inlineStr">
        <is>
          <t>Speed</t>
        </is>
      </c>
      <c r="H4" s="166" t="inlineStr">
        <is>
          <t>Assigned</t>
        </is>
      </c>
      <c r="I4" s="166" t="inlineStr">
        <is>
          <t>UNTRAINED</t>
        </is>
      </c>
      <c r="J4" s="166" t="inlineStr">
        <is>
          <t>At 7-cap?</t>
        </is>
      </c>
    </row>
    <row r="5">
      <c r="A5" t="inlineStr">
        <is>
          <t>New York City</t>
        </is>
      </c>
      <c r="B5" t="inlineStr">
        <is>
          <t>BB LLC</t>
        </is>
      </c>
      <c r="C5" t="n">
        <v>7</v>
      </c>
      <c r="D5" t="n">
        <v>1</v>
      </c>
      <c r="E5" t="n">
        <v>0</v>
      </c>
      <c r="F5" t="n">
        <v>3</v>
      </c>
      <c r="G5" t="n">
        <v>3</v>
      </c>
      <c r="H5" t="n">
        <v>7</v>
      </c>
      <c r="I5" t="n">
        <v>0</v>
      </c>
      <c r="J5" t="inlineStr">
        <is>
          <t>YES</t>
        </is>
      </c>
    </row>
    <row r="6">
      <c r="A6" t="inlineStr">
        <is>
          <t>New York City</t>
        </is>
      </c>
      <c r="B6" t="inlineStr">
        <is>
          <t>Spoke'd Up</t>
        </is>
      </c>
      <c r="C6" t="n">
        <v>5</v>
      </c>
      <c r="D6" t="n">
        <v>1</v>
      </c>
      <c r="E6" t="n">
        <v>2</v>
      </c>
      <c r="F6" t="n">
        <v>0</v>
      </c>
      <c r="G6" t="n">
        <v>2</v>
      </c>
      <c r="H6" t="n">
        <v>5</v>
      </c>
      <c r="I6" t="n">
        <v>0</v>
      </c>
    </row>
    <row r="7">
      <c r="A7" t="inlineStr">
        <is>
          <t>New York City</t>
        </is>
      </c>
      <c r="B7" t="inlineStr">
        <is>
          <t>SpaceBikes</t>
        </is>
      </c>
      <c r="C7" t="n">
        <v>7</v>
      </c>
      <c r="D7" t="n">
        <v>2</v>
      </c>
      <c r="E7" t="n">
        <v>2</v>
      </c>
      <c r="F7" t="n">
        <v>0</v>
      </c>
      <c r="G7" t="n">
        <v>3</v>
      </c>
      <c r="H7" t="n">
        <v>7</v>
      </c>
      <c r="I7" t="n">
        <v>0</v>
      </c>
      <c r="J7" t="inlineStr">
        <is>
          <t>YES</t>
        </is>
      </c>
    </row>
    <row r="8">
      <c r="A8" s="171" t="inlineStr">
        <is>
          <t>Rio de Janeiro</t>
        </is>
      </c>
      <c r="B8" s="171" t="inlineStr">
        <is>
          <t>WeBike</t>
        </is>
      </c>
      <c r="C8" s="171" t="n">
        <v>4</v>
      </c>
      <c r="D8" s="171" t="n">
        <v>1</v>
      </c>
      <c r="E8" s="171" t="n">
        <v>0</v>
      </c>
      <c r="F8" s="171" t="n">
        <v>1</v>
      </c>
      <c r="G8" s="171" t="n">
        <v>1</v>
      </c>
      <c r="H8" s="171" t="n">
        <v>3</v>
      </c>
      <c r="I8" s="188" t="n">
        <v>1</v>
      </c>
      <c r="J8" s="171" t="inlineStr"/>
    </row>
    <row r="9">
      <c r="A9" t="inlineStr">
        <is>
          <t>Amsterdam</t>
        </is>
      </c>
      <c r="B9" t="inlineStr">
        <is>
          <t>Bike Bros</t>
        </is>
      </c>
      <c r="C9" t="n">
        <v>7</v>
      </c>
      <c r="D9" t="n">
        <v>2</v>
      </c>
      <c r="E9" t="n">
        <v>0</v>
      </c>
      <c r="F9" t="n">
        <v>2</v>
      </c>
      <c r="G9" t="n">
        <v>2</v>
      </c>
      <c r="H9" t="n">
        <v>6</v>
      </c>
      <c r="I9" s="167" t="n">
        <v>1</v>
      </c>
      <c r="J9" t="inlineStr">
        <is>
          <t>YES</t>
        </is>
      </c>
    </row>
    <row r="10">
      <c r="A10" t="inlineStr">
        <is>
          <t>Amsterdam</t>
        </is>
      </c>
      <c r="B10" t="inlineStr">
        <is>
          <t>LiteCycle</t>
        </is>
      </c>
      <c r="C10" t="n">
        <v>5</v>
      </c>
      <c r="D10" t="n">
        <v>1</v>
      </c>
      <c r="E10" t="n">
        <v>0</v>
      </c>
      <c r="F10" t="n">
        <v>1</v>
      </c>
      <c r="G10" t="n">
        <v>3</v>
      </c>
      <c r="H10" t="n">
        <v>5</v>
      </c>
      <c r="I10" t="n">
        <v>0</v>
      </c>
    </row>
    <row r="11">
      <c r="A11" s="171" t="inlineStr">
        <is>
          <t>Amsterdam</t>
        </is>
      </c>
      <c r="B11" s="171" t="inlineStr">
        <is>
          <t>WeBike</t>
        </is>
      </c>
      <c r="C11" s="171" t="n">
        <v>7</v>
      </c>
      <c r="D11" s="171" t="n">
        <v>1</v>
      </c>
      <c r="E11" s="171" t="n">
        <v>0</v>
      </c>
      <c r="F11" s="171" t="n">
        <v>3</v>
      </c>
      <c r="G11" s="171" t="n">
        <v>2</v>
      </c>
      <c r="H11" s="171" t="n">
        <v>6</v>
      </c>
      <c r="I11" s="188" t="n">
        <v>1</v>
      </c>
      <c r="J11" s="171" t="inlineStr">
        <is>
          <t>YES</t>
        </is>
      </c>
    </row>
    <row r="12">
      <c r="A12" t="inlineStr">
        <is>
          <t>Amsterdam</t>
        </is>
      </c>
      <c r="B12" t="inlineStr">
        <is>
          <t>BB LLC</t>
        </is>
      </c>
      <c r="C12" t="n">
        <v>7</v>
      </c>
      <c r="D12" t="n">
        <v>1</v>
      </c>
      <c r="E12" t="n">
        <v>0</v>
      </c>
      <c r="F12" t="n">
        <v>3</v>
      </c>
      <c r="G12" t="n">
        <v>3</v>
      </c>
      <c r="H12" t="n">
        <v>7</v>
      </c>
      <c r="I12" t="n">
        <v>0</v>
      </c>
      <c r="J12" t="inlineStr">
        <is>
          <t>YES</t>
        </is>
      </c>
    </row>
    <row r="13">
      <c r="A13" t="inlineStr">
        <is>
          <t>Amsterdam</t>
        </is>
      </c>
      <c r="B13" t="inlineStr">
        <is>
          <t>Spoke'd Up</t>
        </is>
      </c>
      <c r="C13" t="n">
        <v>6</v>
      </c>
      <c r="D13" t="n">
        <v>1</v>
      </c>
      <c r="E13" t="n">
        <v>2</v>
      </c>
      <c r="F13" t="n">
        <v>0</v>
      </c>
      <c r="G13" t="n">
        <v>3</v>
      </c>
      <c r="H13" t="n">
        <v>6</v>
      </c>
      <c r="I13" t="n">
        <v>0</v>
      </c>
    </row>
    <row r="14">
      <c r="A14" t="inlineStr">
        <is>
          <t>Amsterdam</t>
        </is>
      </c>
      <c r="B14" t="inlineStr">
        <is>
          <t>SpaceBikes</t>
        </is>
      </c>
      <c r="C14" t="n">
        <v>7</v>
      </c>
      <c r="D14" t="n">
        <v>2</v>
      </c>
      <c r="E14" t="n">
        <v>2</v>
      </c>
      <c r="F14" t="n">
        <v>0</v>
      </c>
      <c r="G14" t="n">
        <v>3</v>
      </c>
      <c r="H14" t="n">
        <v>7</v>
      </c>
      <c r="I14" t="n">
        <v>0</v>
      </c>
      <c r="J14" t="inlineStr">
        <is>
          <t>YES</t>
        </is>
      </c>
    </row>
    <row r="15">
      <c r="A15" t="inlineStr">
        <is>
          <t>Amsterdam</t>
        </is>
      </c>
      <c r="B15" t="inlineStr">
        <is>
          <t>MILC Bikes</t>
        </is>
      </c>
      <c r="C15" t="n">
        <v>7</v>
      </c>
      <c r="D15" t="n">
        <v>1</v>
      </c>
      <c r="E15" t="n">
        <v>3</v>
      </c>
      <c r="F15" t="n">
        <v>0</v>
      </c>
      <c r="G15" t="n">
        <v>3</v>
      </c>
      <c r="H15" t="n">
        <v>7</v>
      </c>
      <c r="I15" t="n">
        <v>0</v>
      </c>
      <c r="J15" t="inlineStr">
        <is>
          <t>YES</t>
        </is>
      </c>
    </row>
    <row r="16">
      <c r="A16" t="inlineStr">
        <is>
          <t>Bangalore</t>
        </is>
      </c>
      <c r="B16" t="inlineStr">
        <is>
          <t>LiteCycle</t>
        </is>
      </c>
      <c r="C16" t="n">
        <v>5</v>
      </c>
      <c r="D16" t="n">
        <v>1</v>
      </c>
      <c r="E16" t="n">
        <v>0</v>
      </c>
      <c r="F16" t="n">
        <v>1</v>
      </c>
      <c r="G16" t="n">
        <v>3</v>
      </c>
      <c r="H16" t="n">
        <v>5</v>
      </c>
      <c r="I16" t="n">
        <v>0</v>
      </c>
    </row>
    <row r="19">
      <c r="A19" s="166" t="inlineStr">
        <is>
          <t>FIRM ROLLUP</t>
        </is>
      </c>
      <c r="B19" s="166" t="inlineStr">
        <is>
          <t>Store people</t>
        </is>
      </c>
      <c r="C19" s="166" t="inlineStr">
        <is>
          <t>Service</t>
        </is>
      </c>
      <c r="D19" s="166" t="inlineStr">
        <is>
          <t>Recreation</t>
        </is>
      </c>
      <c r="E19" s="166" t="inlineStr">
        <is>
          <t>Mountain</t>
        </is>
      </c>
      <c r="F19" s="166" t="inlineStr">
        <is>
          <t>Speed</t>
        </is>
      </c>
      <c r="G19" s="166" t="inlineStr">
        <is>
          <t>Untrained</t>
        </is>
      </c>
      <c r="H19" s="166" t="inlineStr">
        <is>
          <t>Store demand</t>
        </is>
      </c>
      <c r="I19" s="166" t="inlineStr">
        <is>
          <t>Demand / store person</t>
        </is>
      </c>
    </row>
    <row r="20">
      <c r="A20" t="inlineStr">
        <is>
          <t>Bike Bros</t>
        </is>
      </c>
      <c r="B20" t="n">
        <v>7</v>
      </c>
      <c r="C20" t="n">
        <v>2</v>
      </c>
      <c r="D20" t="n">
        <v>0</v>
      </c>
      <c r="E20" t="n">
        <v>2</v>
      </c>
      <c r="F20" t="n">
        <v>2</v>
      </c>
      <c r="G20" t="n">
        <v>1</v>
      </c>
      <c r="H20" t="n">
        <v>490</v>
      </c>
      <c r="I20" s="189" t="n">
        <v>70</v>
      </c>
    </row>
    <row r="21">
      <c r="A21" t="inlineStr">
        <is>
          <t>BB LLC</t>
        </is>
      </c>
      <c r="B21" t="n">
        <v>14</v>
      </c>
      <c r="C21" t="n">
        <v>2</v>
      </c>
      <c r="D21" t="n">
        <v>0</v>
      </c>
      <c r="E21" t="n">
        <v>6</v>
      </c>
      <c r="F21" t="n">
        <v>6</v>
      </c>
      <c r="G21" t="n">
        <v>0</v>
      </c>
      <c r="H21" t="n">
        <v>938</v>
      </c>
      <c r="I21" s="189" t="n">
        <v>67</v>
      </c>
    </row>
    <row r="22">
      <c r="A22" t="inlineStr">
        <is>
          <t>Spoke'd Up</t>
        </is>
      </c>
      <c r="B22" t="n">
        <v>11</v>
      </c>
      <c r="C22" t="n">
        <v>2</v>
      </c>
      <c r="D22" t="n">
        <v>4</v>
      </c>
      <c r="E22" t="n">
        <v>0</v>
      </c>
      <c r="F22" t="n">
        <v>5</v>
      </c>
      <c r="G22" t="n">
        <v>0</v>
      </c>
      <c r="H22" t="n">
        <v>716</v>
      </c>
      <c r="I22" s="189" t="n">
        <v>65.09090909090909</v>
      </c>
    </row>
    <row r="23">
      <c r="A23" t="inlineStr">
        <is>
          <t>SpaceBikes</t>
        </is>
      </c>
      <c r="B23" t="n">
        <v>14</v>
      </c>
      <c r="C23" t="n">
        <v>4</v>
      </c>
      <c r="D23" t="n">
        <v>4</v>
      </c>
      <c r="E23" t="n">
        <v>0</v>
      </c>
      <c r="F23" t="n">
        <v>6</v>
      </c>
      <c r="G23" t="n">
        <v>0</v>
      </c>
      <c r="H23" t="n">
        <v>807</v>
      </c>
      <c r="I23" s="189" t="n">
        <v>57.64285714285715</v>
      </c>
    </row>
    <row r="24">
      <c r="A24" t="inlineStr">
        <is>
          <t>LiteCycle</t>
        </is>
      </c>
      <c r="B24" t="n">
        <v>10</v>
      </c>
      <c r="C24" t="n">
        <v>2</v>
      </c>
      <c r="D24" t="n">
        <v>0</v>
      </c>
      <c r="E24" t="n">
        <v>2</v>
      </c>
      <c r="F24" t="n">
        <v>6</v>
      </c>
      <c r="G24" t="n">
        <v>0</v>
      </c>
      <c r="H24" t="n">
        <v>549</v>
      </c>
      <c r="I24" s="189" t="n">
        <v>54.9</v>
      </c>
    </row>
    <row r="25">
      <c r="A25" t="inlineStr">
        <is>
          <t>MILC Bikes</t>
        </is>
      </c>
      <c r="B25" t="n">
        <v>7</v>
      </c>
      <c r="C25" t="n">
        <v>1</v>
      </c>
      <c r="D25" t="n">
        <v>3</v>
      </c>
      <c r="E25" t="n">
        <v>0</v>
      </c>
      <c r="F25" t="n">
        <v>3</v>
      </c>
      <c r="G25" t="n">
        <v>0</v>
      </c>
      <c r="H25" t="n">
        <v>364</v>
      </c>
      <c r="I25" s="189" t="n">
        <v>52</v>
      </c>
    </row>
    <row r="26">
      <c r="A26" s="171" t="inlineStr">
        <is>
          <t>WeBike</t>
        </is>
      </c>
      <c r="B26" s="171" t="n">
        <v>11</v>
      </c>
      <c r="C26" s="171" t="n">
        <v>2</v>
      </c>
      <c r="D26" s="171" t="n">
        <v>0</v>
      </c>
      <c r="E26" s="171" t="n">
        <v>4</v>
      </c>
      <c r="F26" s="171" t="n">
        <v>3</v>
      </c>
      <c r="G26" s="188" t="n">
        <v>2</v>
      </c>
      <c r="H26" s="171" t="n">
        <v>507</v>
      </c>
      <c r="I26" s="190" t="n">
        <v>46.09090909090909</v>
      </c>
    </row>
    <row r="29">
      <c r="A29" s="166" t="inlineStr">
        <is>
          <t>PRODUCTIVITY GAP</t>
        </is>
      </c>
      <c r="B29" s="166" t="inlineStr">
        <is>
          <t>Value</t>
        </is>
      </c>
      <c r="C29" s="166" t="inlineStr">
        <is>
          <t>Note</t>
        </is>
      </c>
    </row>
    <row r="30">
      <c r="A30" t="inlineStr">
        <is>
          <t>WeBike demand per store person</t>
        </is>
      </c>
      <c r="B30" s="191" t="n">
        <v>46.09090909090909</v>
      </c>
      <c r="C30" s="170" t="inlineStr">
        <is>
          <t>LOWEST in the industry</t>
        </is>
      </c>
    </row>
    <row r="31">
      <c r="A31" t="inlineStr">
        <is>
          <t>Industry average (excl. us)</t>
        </is>
      </c>
      <c r="B31" s="160" t="n">
        <v>61.1056277056277</v>
      </c>
      <c r="C31" s="170" t="inlineStr">
        <is>
          <t>Bike Bros 70.0 is best; BB LLC 67.0</t>
        </is>
      </c>
    </row>
    <row r="32">
      <c r="A32" t="inlineStr">
        <is>
          <t>Shortfall per person</t>
        </is>
      </c>
      <c r="B32" s="189">
        <f>C31-C30</f>
        <v/>
      </c>
      <c r="C32" s="170" t="n"/>
    </row>
    <row r="33">
      <c r="A33" t="inlineStr">
        <is>
          <t>Our store people</t>
        </is>
      </c>
      <c r="B33" t="n">
        <v>11</v>
      </c>
      <c r="C33" s="170" t="n"/>
    </row>
    <row r="34">
      <c r="A34" t="inlineStr">
        <is>
          <t>Store demand if we matched the average</t>
        </is>
      </c>
      <c r="B34">
        <f>C31*C33</f>
        <v/>
      </c>
      <c r="C34" s="170" t="n"/>
    </row>
    <row r="35">
      <c r="A35" t="inlineStr">
        <is>
          <t>Additional units available at current headcount</t>
        </is>
      </c>
      <c r="B35" s="159">
        <f>C34-507</f>
        <v/>
      </c>
      <c r="C35" s="170" t="inlineStr">
        <is>
          <t>no new hires needed</t>
        </is>
      </c>
    </row>
    <row r="38">
      <c r="A38" s="166" t="inlineStr">
        <is>
          <t>THE 7-PERSON CITY CAP — this settles depth vs breadth</t>
        </is>
      </c>
      <c r="B38" s="166" t="inlineStr">
        <is>
          <t>Value</t>
        </is>
      </c>
      <c r="C38" s="166" t="inlineStr">
        <is>
          <t>Note</t>
        </is>
      </c>
    </row>
    <row r="39">
      <c r="A39" t="inlineStr">
        <is>
          <t>Maximum staff observed in any city (all 12 rows)</t>
        </is>
      </c>
      <c r="B39" t="n">
        <v>7</v>
      </c>
      <c r="C39" s="170" t="inlineStr">
        <is>
          <t>BB LLC, SpaceBikes, Bike Bros, MILC and our own Amsterdam all sit at 7</t>
        </is>
      </c>
    </row>
    <row r="40">
      <c r="A40" t="inlineStr">
        <is>
          <t>WeBike Amsterdam headcount</t>
        </is>
      </c>
      <c r="B40" s="167" t="n">
        <v>7</v>
      </c>
      <c r="C40" s="170" t="inlineStr">
        <is>
          <t>AT THE CAP - we cannot add a single person there</t>
        </is>
      </c>
    </row>
    <row r="41">
      <c r="A41" t="inlineStr">
        <is>
          <t>WeBike Rio headcount</t>
        </is>
      </c>
      <c r="B41" s="159" t="n">
        <v>4</v>
      </c>
      <c r="C41" s="170" t="inlineStr">
        <is>
          <t>3 SLOTS OPEN - the only store depth available to us</t>
        </is>
      </c>
    </row>
    <row r="42">
      <c r="A42" t="inlineStr">
        <is>
          <t>Read</t>
        </is>
      </c>
      <c r="C42" s="174" t="inlineStr">
        <is>
          <t>'Deepen Amsterdam' is not a legal move. Amsterdam is maxed at 7. The only ways to add store selling capacity are (a) fill Rio's 3 open slots, or (b) open a new city, which unlocks 7 more.</t>
        </is>
      </c>
    </row>
    <row r="45">
      <c r="A45" s="166" t="inlineStr">
        <is>
          <t>RIO vs AMSTERDAM — where a body is worth more</t>
        </is>
      </c>
      <c r="B45" s="166" t="inlineStr">
        <is>
          <t>Rio</t>
        </is>
      </c>
      <c r="C45" s="166" t="inlineStr">
        <is>
          <t>Amsterdam</t>
        </is>
      </c>
    </row>
    <row r="46">
      <c r="A46" t="inlineStr">
        <is>
          <t>Store people</t>
        </is>
      </c>
      <c r="B46" t="n">
        <v>4</v>
      </c>
      <c r="C46" t="n">
        <v>7</v>
      </c>
    </row>
    <row r="47">
      <c r="A47" t="inlineStr">
        <is>
          <t>City demand (all channels)</t>
        </is>
      </c>
      <c r="B47" t="n">
        <v>270</v>
      </c>
      <c r="C47" t="n">
        <v>295</v>
      </c>
    </row>
    <row r="48">
      <c r="A48" t="inlineStr">
        <is>
          <t>Demand per person</t>
        </is>
      </c>
      <c r="B48" s="160">
        <f>C47/C46</f>
        <v/>
      </c>
      <c r="C48" s="191">
        <f>D47/D46</f>
        <v/>
      </c>
    </row>
    <row r="49">
      <c r="A49" t="inlineStr">
        <is>
          <t>Rival stores in city</t>
        </is>
      </c>
      <c r="B49" t="n">
        <v>0</v>
      </c>
      <c r="C49" t="n">
        <v>6</v>
      </c>
    </row>
    <row r="50">
      <c r="A50" t="inlineStr">
        <is>
          <t>Open slots to the 7-cap</t>
        </is>
      </c>
      <c r="B50" t="n">
        <v>3</v>
      </c>
      <c r="C50" t="n">
        <v>0</v>
      </c>
    </row>
    <row r="51">
      <c r="A51" t="inlineStr">
        <is>
          <t>Read</t>
        </is>
      </c>
      <c r="B51" s="174" t="inlineStr">
        <is>
          <t>A Rio head is worth ~60% more than an Amsterdam head because Rio has no rival store. Filling the 3 open Rio slots is the highest-return staffing move on the board.</t>
        </is>
      </c>
    </row>
    <row r="52">
      <c r="A52" t="inlineStr">
        <is>
          <t>CAVEAT</t>
        </is>
      </c>
      <c r="B52" s="170" t="inlineStr">
        <is>
          <t>City demand includes web orders, so per-person figures are directional rather than pure store productivity. The ranking is robust; the exact multiple is not.</t>
        </is>
      </c>
    </row>
    <row r="55">
      <c r="A55" s="166" t="inlineStr">
        <is>
          <t>UNTRAINED STAFF — a free win we skipped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WeBike untrained people</t>
        </is>
      </c>
      <c r="B56" s="167" t="n">
        <v>2</v>
      </c>
      <c r="C56" s="170" t="inlineStr">
        <is>
          <t>1 in Rio, 1 in Amsterdam</t>
        </is>
      </c>
    </row>
    <row r="57">
      <c r="A57" t="inlineStr">
        <is>
          <t>Firms with any untrained staff</t>
        </is>
      </c>
      <c r="B57" t="inlineStr">
        <is>
          <t>WeBike (2), Bike Bros (1)</t>
        </is>
      </c>
      <c r="C57" s="170" t="inlineStr">
        <is>
          <t>the other five are 100% trained</t>
        </is>
      </c>
    </row>
    <row r="58">
      <c r="A58" t="inlineStr">
        <is>
          <t>Mountain training cost</t>
        </is>
      </c>
      <c r="B58" t="n">
        <v>400</v>
      </c>
      <c r="C58" s="170" t="inlineStr">
        <is>
          <t>per quarter</t>
        </is>
      </c>
    </row>
    <row r="59">
      <c r="A59" t="inlineStr">
        <is>
          <t>Speed training cost</t>
        </is>
      </c>
      <c r="B59" t="n">
        <v>400</v>
      </c>
      <c r="C59" s="170" t="inlineStr">
        <is>
          <t>per quarter</t>
        </is>
      </c>
    </row>
    <row r="60">
      <c r="A60" t="inlineStr">
        <is>
          <t>Cost to train both</t>
        </is>
      </c>
      <c r="B60" s="159" t="n">
        <v>800</v>
      </c>
      <c r="C60" s="170" t="inlineStr">
        <is>
          <t>trivial against ~$750 contribution PER UNIT</t>
        </is>
      </c>
    </row>
    <row r="61">
      <c r="A61" t="inlineStr">
        <is>
          <t>Read</t>
        </is>
      </c>
      <c r="C61" s="174" t="inlineStr">
        <is>
          <t>We are paying two full salaries ($24,425/yr each) for untrained sellers while every serious competitor trains everyone. Fix this first - it costs $800.</t>
        </is>
      </c>
    </row>
    <row r="64">
      <c r="A64" s="166" t="inlineStr">
        <is>
          <t>SPECIALISATION vs SEGMENT RESULT</t>
        </is>
      </c>
      <c r="B64" s="166" t="inlineStr">
        <is>
          <t>Specialists</t>
        </is>
      </c>
      <c r="C64" s="166" t="inlineStr">
        <is>
          <t>Segment demand</t>
        </is>
      </c>
      <c r="D64" s="166" t="inlineStr">
        <is>
          <t>Demand per specialist</t>
        </is>
      </c>
    </row>
    <row r="65">
      <c r="A65" s="166" t="inlineStr">
        <is>
          <t>MOUNTAIN</t>
        </is>
      </c>
      <c r="D65" s="189" t="n"/>
    </row>
    <row r="66">
      <c r="A66" t="inlineStr">
        <is>
          <t>LiteCycle</t>
        </is>
      </c>
      <c r="B66" t="n">
        <v>2</v>
      </c>
      <c r="C66" t="n">
        <v>340</v>
      </c>
      <c r="D66" s="189">
        <f>C66/B66</f>
        <v/>
      </c>
    </row>
    <row r="67">
      <c r="A67" t="inlineStr">
        <is>
          <t>BB LLC</t>
        </is>
      </c>
      <c r="B67" t="n">
        <v>6</v>
      </c>
      <c r="C67" t="n">
        <v>751</v>
      </c>
      <c r="D67" s="189">
        <f>C67/B67</f>
        <v/>
      </c>
    </row>
    <row r="68">
      <c r="A68" s="173" t="inlineStr">
        <is>
          <t>WeBike</t>
        </is>
      </c>
      <c r="B68" t="n">
        <v>4</v>
      </c>
      <c r="C68" t="n">
        <v>358</v>
      </c>
      <c r="D68" s="189">
        <f>C68/B68</f>
        <v/>
      </c>
    </row>
    <row r="69">
      <c r="A69" t="inlineStr">
        <is>
          <t>Bike Bros</t>
        </is>
      </c>
      <c r="B69" t="n">
        <v>2</v>
      </c>
      <c r="C69" t="n">
        <v>172</v>
      </c>
      <c r="D69" s="189">
        <f>C69/B69</f>
        <v/>
      </c>
    </row>
    <row r="70">
      <c r="A70" s="166" t="inlineStr">
        <is>
          <t>SPEED</t>
        </is>
      </c>
      <c r="D70" s="189" t="n"/>
    </row>
    <row r="71">
      <c r="A71" t="inlineStr">
        <is>
          <t>BB LLC</t>
        </is>
      </c>
      <c r="B71" t="n">
        <v>6</v>
      </c>
      <c r="C71" t="n">
        <v>657</v>
      </c>
      <c r="D71" s="189">
        <f>C71/B71</f>
        <v/>
      </c>
    </row>
    <row r="72">
      <c r="A72" t="inlineStr">
        <is>
          <t>MILC Bikes</t>
        </is>
      </c>
      <c r="B72" t="n">
        <v>3</v>
      </c>
      <c r="C72" t="n">
        <v>328</v>
      </c>
      <c r="D72" s="189">
        <f>C72/B72</f>
        <v/>
      </c>
    </row>
    <row r="73">
      <c r="A73" t="inlineStr">
        <is>
          <t>SpaceBikes</t>
        </is>
      </c>
      <c r="B73" t="n">
        <v>6</v>
      </c>
      <c r="C73" t="n">
        <v>588</v>
      </c>
      <c r="D73" s="189">
        <f>C73/B73</f>
        <v/>
      </c>
    </row>
    <row r="74">
      <c r="A74" t="inlineStr">
        <is>
          <t>LiteCycle</t>
        </is>
      </c>
      <c r="B74" t="n">
        <v>6</v>
      </c>
      <c r="C74" t="n">
        <v>548</v>
      </c>
      <c r="D74" s="189">
        <f>C74/B74</f>
        <v/>
      </c>
    </row>
    <row r="75">
      <c r="A75" t="inlineStr">
        <is>
          <t>Spoke'd Up</t>
        </is>
      </c>
      <c r="B75" t="n">
        <v>5</v>
      </c>
      <c r="C75" t="n">
        <v>362</v>
      </c>
      <c r="D75" s="189">
        <f>C75/B75</f>
        <v/>
      </c>
    </row>
    <row r="76">
      <c r="A76" s="173" t="inlineStr">
        <is>
          <t>WeBike</t>
        </is>
      </c>
      <c r="B76" s="167" t="n">
        <v>3</v>
      </c>
      <c r="C76" t="n">
        <v>215</v>
      </c>
      <c r="D76" s="189">
        <f>C76/B76</f>
        <v/>
      </c>
    </row>
    <row r="77">
      <c r="A77" s="166" t="inlineStr">
        <is>
          <t>RECREATION</t>
        </is>
      </c>
      <c r="D77" s="189" t="n"/>
    </row>
    <row r="78">
      <c r="A78" t="inlineStr">
        <is>
          <t>SpaceBikes</t>
        </is>
      </c>
      <c r="B78" t="n">
        <v>4</v>
      </c>
      <c r="C78" t="n">
        <v>710</v>
      </c>
      <c r="D78" s="189">
        <f>C78/B78</f>
        <v/>
      </c>
    </row>
    <row r="79">
      <c r="A79" t="inlineStr">
        <is>
          <t>MILC Bikes</t>
        </is>
      </c>
      <c r="B79" t="n">
        <v>3</v>
      </c>
      <c r="C79" t="n">
        <v>471</v>
      </c>
      <c r="D79" s="189">
        <f>C79/B79</f>
        <v/>
      </c>
    </row>
    <row r="80">
      <c r="A80" t="inlineStr">
        <is>
          <t>Spoke'd Up</t>
        </is>
      </c>
      <c r="B80" t="n">
        <v>4</v>
      </c>
      <c r="C80" t="n">
        <v>492</v>
      </c>
      <c r="D80" s="189">
        <f>C80/B80</f>
        <v/>
      </c>
    </row>
    <row r="81">
      <c r="A81" s="173" t="inlineStr">
        <is>
          <t>WeBike</t>
        </is>
      </c>
      <c r="B81" t="n">
        <v>0</v>
      </c>
      <c r="C81" t="n">
        <v>54</v>
      </c>
      <c r="D81" s="189" t="inlineStr">
        <is>
          <t>spillover only - no Rec specialists</t>
        </is>
      </c>
    </row>
    <row r="84">
      <c r="A84" s="166" t="inlineStr">
        <is>
          <t>Q4 STAFFING PLAN</t>
        </is>
      </c>
      <c r="B84" s="166" t="inlineStr">
        <is>
          <t>Action</t>
        </is>
      </c>
      <c r="C84" s="166" t="inlineStr">
        <is>
          <t>Cost</t>
        </is>
      </c>
      <c r="D84" s="166" t="inlineStr">
        <is>
          <t>Expected units</t>
        </is>
      </c>
    </row>
    <row r="85">
      <c r="A85" t="inlineStr">
        <is>
          <t>1. Train the 2 untrained</t>
        </is>
      </c>
      <c r="B85" s="174" t="inlineStr">
        <is>
          <t>1 Mountain (Rio) + 1 Speed (Amsterdam)</t>
        </is>
      </c>
      <c r="C85" t="n">
        <v>800</v>
      </c>
      <c r="D85" t="inlineStr">
        <is>
          <t>free productivity</t>
        </is>
      </c>
    </row>
    <row r="86">
      <c r="A86" t="inlineStr">
        <is>
          <t>2. Fill Rio to the 7-cap</t>
        </is>
      </c>
      <c r="B86" s="174" t="inlineStr">
        <is>
          <t>+3 people: 1 Mountain, 1 Speed, 1 Service</t>
        </is>
      </c>
      <c r="C86" t="inlineStr">
        <is>
          <t>~$18,300/qtr salary + hire + train</t>
        </is>
      </c>
      <c r="D86" t="inlineStr">
        <is>
          <t>~+200 at Rio's ~67/head</t>
        </is>
      </c>
    </row>
    <row r="87">
      <c r="A87" t="inlineStr">
        <is>
          <t>3. Rebuild web staff</t>
        </is>
      </c>
      <c r="B87" s="174" t="inlineStr">
        <is>
          <t>3 -&gt; 6 web sales/support</t>
        </is>
      </c>
      <c r="C87" t="inlineStr">
        <is>
          <t>~$18,300/qtr</t>
        </is>
      </c>
      <c r="D87" t="inlineStr">
        <is>
          <t>~+152 (see Q3_Channel)</t>
        </is>
      </c>
    </row>
    <row r="88">
      <c r="A88" t="inlineStr">
        <is>
          <t>4. Add Speed specialists</t>
        </is>
      </c>
      <c r="B88" s="174" t="inlineStr">
        <is>
          <t>we have 3 vs BB LLC/LiteCycle/SpaceBikes 6</t>
        </is>
      </c>
      <c r="C88" t="inlineStr">
        <is>
          <t>included above</t>
        </is>
      </c>
      <c r="D88" t="inlineStr">
        <is>
          <t>Speed is our weakest segment AND the largest</t>
        </is>
      </c>
    </row>
    <row r="89">
      <c r="A89" t="inlineStr">
        <is>
          <t>5. New York store (if funded)</t>
        </is>
      </c>
      <c r="B89" s="174" t="inlineStr">
        <is>
          <t>unlocks 7 fresh slots; staff Speed-heavy</t>
        </is>
      </c>
      <c r="C89" t="inlineStr">
        <is>
          <t>setup + lease + salaries</t>
        </is>
      </c>
      <c r="D89" t="inlineStr">
        <is>
          <t>~400-570 at incumbent rates</t>
        </is>
      </c>
    </row>
    <row r="90">
      <c r="A90" t="inlineStr">
        <is>
          <t>NOT possible</t>
        </is>
      </c>
      <c r="B90" s="185" t="inlineStr">
        <is>
          <t>Adding anyone in Amsterdam - we are at the 7-person cap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16" customWidth="1" style="146" min="2" max="2"/>
    <col width="20" customWidth="1" style="146" min="3" max="3"/>
    <col width="58" customWidth="1" style="146" min="4" max="4"/>
    <col width="14" customWidth="1" style="146" min="5" max="5"/>
    <col width="14" customWidth="1" style="146" min="6" max="6"/>
    <col width="14" customWidth="1" style="146" min="7" max="7"/>
    <col width="14" customWidth="1" style="146" min="8" max="8"/>
  </cols>
  <sheetData>
    <row r="1">
      <c r="A1" s="169" t="inlineStr">
        <is>
          <t>Web Sales &amp; Service + Web Productivity Budgets — Q3 actual</t>
        </is>
      </c>
    </row>
    <row r="2">
      <c r="A2" s="170" t="inlineStr">
        <is>
          <t>Two findings: web staff is ALSO capped at 7 and we sit at 3, and there are FOUR web productivity tactics of which we fund ONE. Every firm running all four gets 435-569 web units; the two running fewer get 120-138.</t>
        </is>
      </c>
    </row>
    <row r="4">
      <c r="A4" s="166" t="inlineStr">
        <is>
          <t>WEB STAFF</t>
        </is>
      </c>
      <c r="B4" s="166" t="inlineStr">
        <is>
          <t>Sales</t>
        </is>
      </c>
      <c r="C4" s="166" t="inlineStr">
        <is>
          <t>Service</t>
        </is>
      </c>
      <c r="D4" s="166" t="inlineStr">
        <is>
          <t>Total</t>
        </is>
      </c>
      <c r="E4" s="166" t="inlineStr">
        <is>
          <t>Web demand</t>
        </is>
      </c>
      <c r="F4" s="166" t="inlineStr">
        <is>
          <t>Demand / web head</t>
        </is>
      </c>
      <c r="G4" s="166" t="inlineStr">
        <is>
          <t>Slots open to 7</t>
        </is>
      </c>
    </row>
    <row r="5">
      <c r="A5" t="inlineStr">
        <is>
          <t>BB LLC</t>
        </is>
      </c>
      <c r="B5" t="n">
        <v>5</v>
      </c>
      <c r="C5" t="n">
        <v>2</v>
      </c>
      <c r="D5" t="n">
        <v>7</v>
      </c>
      <c r="E5" t="n">
        <v>569</v>
      </c>
      <c r="F5" s="189" t="n">
        <v>81.28571428571429</v>
      </c>
      <c r="G5" t="n">
        <v>0</v>
      </c>
    </row>
    <row r="6">
      <c r="A6" t="inlineStr">
        <is>
          <t>SpaceBikes</t>
        </is>
      </c>
      <c r="B6" t="n">
        <v>5</v>
      </c>
      <c r="C6" t="n">
        <v>2</v>
      </c>
      <c r="D6" t="n">
        <v>7</v>
      </c>
      <c r="E6" t="n">
        <v>491</v>
      </c>
      <c r="F6" s="189" t="n">
        <v>70.14285714285714</v>
      </c>
      <c r="G6" t="n">
        <v>0</v>
      </c>
    </row>
    <row r="7">
      <c r="A7" t="inlineStr">
        <is>
          <t>LiteCycle</t>
        </is>
      </c>
      <c r="B7" t="n">
        <v>5</v>
      </c>
      <c r="C7" t="n">
        <v>2</v>
      </c>
      <c r="D7" t="n">
        <v>7</v>
      </c>
      <c r="E7" t="n">
        <v>435</v>
      </c>
      <c r="F7" s="189" t="n">
        <v>62.14285714285715</v>
      </c>
      <c r="G7" t="n">
        <v>0</v>
      </c>
    </row>
    <row r="8">
      <c r="A8" t="inlineStr">
        <is>
          <t>MILC Bikes</t>
        </is>
      </c>
      <c r="B8" t="n">
        <v>6</v>
      </c>
      <c r="C8" t="n">
        <v>1</v>
      </c>
      <c r="D8" t="n">
        <v>7</v>
      </c>
      <c r="E8" t="n">
        <v>435</v>
      </c>
      <c r="F8" s="189" t="n">
        <v>62.14285714285715</v>
      </c>
      <c r="G8" t="n">
        <v>0</v>
      </c>
    </row>
    <row r="9">
      <c r="A9" t="inlineStr">
        <is>
          <t>Spoke'd Up</t>
        </is>
      </c>
      <c r="B9" t="n">
        <v>2</v>
      </c>
      <c r="C9" t="n">
        <v>1</v>
      </c>
      <c r="D9" t="n">
        <v>3</v>
      </c>
      <c r="E9" t="n">
        <v>138</v>
      </c>
      <c r="F9" s="189" t="n">
        <v>46</v>
      </c>
      <c r="G9" t="n">
        <v>4</v>
      </c>
    </row>
    <row r="10">
      <c r="A10" s="171" t="inlineStr">
        <is>
          <t>WeBike</t>
        </is>
      </c>
      <c r="B10" s="171" t="n">
        <v>2</v>
      </c>
      <c r="C10" s="171" t="n">
        <v>1</v>
      </c>
      <c r="D10" s="171" t="n">
        <v>3</v>
      </c>
      <c r="E10" s="171" t="n">
        <v>120</v>
      </c>
      <c r="F10" s="190" t="n">
        <v>40</v>
      </c>
      <c r="G10" s="188" t="n">
        <v>4</v>
      </c>
    </row>
    <row r="11">
      <c r="A11" t="inlineStr">
        <is>
          <t>Bike Bros</t>
        </is>
      </c>
      <c r="B11" t="n">
        <v>0</v>
      </c>
      <c r="C11" t="n">
        <v>0</v>
      </c>
      <c r="D11" t="n">
        <v>0</v>
      </c>
      <c r="E11" t="n">
        <v>0</v>
      </c>
      <c r="F11" s="189" t="n">
        <v>0</v>
      </c>
      <c r="G11" t="inlineStr">
        <is>
          <t>no web centre</t>
        </is>
      </c>
    </row>
    <row r="14">
      <c r="A14" s="166" t="inlineStr">
        <is>
          <t>THE WEB STAFF CAP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Max web staff observed</t>
        </is>
      </c>
      <c r="B15" t="n">
        <v>7</v>
      </c>
      <c r="C15" s="170" t="inlineStr">
        <is>
          <t>LiteCycle, BB LLC, SpaceBikes and MILC all sit exactly at 7</t>
        </is>
      </c>
    </row>
    <row r="16">
      <c r="A16" t="inlineStr">
        <is>
          <t>WeBike web staff</t>
        </is>
      </c>
      <c r="B16" s="167" t="n">
        <v>3</v>
      </c>
      <c r="C16" s="170" t="inlineStr">
        <is>
          <t>2 sales + 1 service - we CUT to this in Q3</t>
        </is>
      </c>
    </row>
    <row r="17">
      <c r="A17" t="inlineStr">
        <is>
          <t>Slots open</t>
        </is>
      </c>
      <c r="B17" t="n">
        <v>4</v>
      </c>
      <c r="C17" s="170" t="inlineStr">
        <is>
          <t>same 7-person ceiling as the city stores</t>
        </is>
      </c>
    </row>
    <row r="18">
      <c r="A18" t="inlineStr">
        <is>
          <t>Our demand per web head</t>
        </is>
      </c>
      <c r="B18" s="167" t="n">
        <v>40</v>
      </c>
      <c r="C18" s="170" t="inlineStr">
        <is>
          <t>LOWEST of all six firms with a web centre</t>
        </is>
      </c>
    </row>
    <row r="19">
      <c r="A19" t="inlineStr">
        <is>
          <t>Leader demand per web head</t>
        </is>
      </c>
      <c r="B19" t="n">
        <v>81.3</v>
      </c>
      <c r="C19" s="170" t="inlineStr">
        <is>
          <t>BB LLC</t>
        </is>
      </c>
    </row>
    <row r="20">
      <c r="A20" t="inlineStr">
        <is>
          <t>Read</t>
        </is>
      </c>
      <c r="C20" s="174" t="inlineStr">
        <is>
          <t>The web centre has the same 7-person ceiling as a store, but unlike Amsterdam we are nowhere near it. Four open slots and the worst output per head is the largest single pool of unclaimed demand we have found.</t>
        </is>
      </c>
    </row>
    <row r="23">
      <c r="A23" s="166" t="inlineStr">
        <is>
          <t>WEB PRODUCTIVITY BUDGETS</t>
        </is>
      </c>
      <c r="B23" s="166" t="inlineStr">
        <is>
          <t>LiteCycle</t>
        </is>
      </c>
      <c r="C23" s="166" t="inlineStr">
        <is>
          <t>WeBike</t>
        </is>
      </c>
      <c r="D23" s="166" t="inlineStr">
        <is>
          <t>BB LLC</t>
        </is>
      </c>
      <c r="E23" s="166" t="inlineStr">
        <is>
          <t>Spoke'd Up</t>
        </is>
      </c>
      <c r="F23" s="166" t="inlineStr">
        <is>
          <t>SpaceBikes</t>
        </is>
      </c>
      <c r="G23" s="166" t="inlineStr">
        <is>
          <t>MILC Bikes</t>
        </is>
      </c>
      <c r="H23" s="166" t="inlineStr">
        <is>
          <t>Average</t>
        </is>
      </c>
    </row>
    <row r="24">
      <c r="A24" t="inlineStr">
        <is>
          <t>Toll-free phone advising / service calls</t>
        </is>
      </c>
      <c r="B24" t="n">
        <v>7000</v>
      </c>
      <c r="C24" s="171" t="n">
        <v>6000</v>
      </c>
      <c r="D24" t="n">
        <v>9000</v>
      </c>
      <c r="E24" t="n">
        <v>3000</v>
      </c>
      <c r="F24" t="n">
        <v>6000</v>
      </c>
      <c r="G24" t="n">
        <v>3000</v>
      </c>
      <c r="H24" t="n">
        <v>5667</v>
      </c>
    </row>
    <row r="25">
      <c r="A25" t="inlineStr">
        <is>
          <t>Advanced shopping cart &amp; checkout</t>
        </is>
      </c>
      <c r="B25" t="n">
        <v>7000</v>
      </c>
      <c r="C25" s="188" t="n">
        <v>0</v>
      </c>
      <c r="D25" t="n">
        <v>7000</v>
      </c>
      <c r="E25" t="n">
        <v>0</v>
      </c>
      <c r="F25" t="n">
        <v>7000</v>
      </c>
      <c r="G25" t="n">
        <v>7000</v>
      </c>
      <c r="H25" t="n">
        <v>7000</v>
      </c>
    </row>
    <row r="26">
      <c r="A26" t="inlineStr">
        <is>
          <t>Continuous page upgrades (content, appeal, navigation)</t>
        </is>
      </c>
      <c r="B26" t="n">
        <v>7000</v>
      </c>
      <c r="C26" s="188" t="n">
        <v>0</v>
      </c>
      <c r="D26" t="n">
        <v>9000</v>
      </c>
      <c r="E26" t="n">
        <v>6000</v>
      </c>
      <c r="F26" t="n">
        <v>12000</v>
      </c>
      <c r="G26" t="n">
        <v>6000</v>
      </c>
      <c r="H26" t="n">
        <v>6667</v>
      </c>
    </row>
    <row r="27">
      <c r="A27" t="inlineStr">
        <is>
          <t>Order tracking software</t>
        </is>
      </c>
      <c r="B27" t="n">
        <v>8000</v>
      </c>
      <c r="C27" s="188" t="n">
        <v>0</v>
      </c>
      <c r="D27" t="n">
        <v>8000</v>
      </c>
      <c r="E27" t="n">
        <v>0</v>
      </c>
      <c r="F27" t="n">
        <v>8000</v>
      </c>
      <c r="G27" t="n">
        <v>8000</v>
      </c>
      <c r="H27" t="n">
        <v>8000</v>
      </c>
    </row>
    <row r="28">
      <c r="A28" t="inlineStr">
        <is>
          <t>TOTAL</t>
        </is>
      </c>
      <c r="B28" t="n">
        <v>29000</v>
      </c>
      <c r="C28" s="171" t="n">
        <v>6000</v>
      </c>
      <c r="D28" t="n">
        <v>33000</v>
      </c>
      <c r="E28" t="n">
        <v>9000</v>
      </c>
      <c r="F28" t="n">
        <v>33000</v>
      </c>
      <c r="G28" t="n">
        <v>24000</v>
      </c>
      <c r="H28" t="n">
        <v>27334</v>
      </c>
    </row>
    <row r="29">
      <c r="A29" t="inlineStr">
        <is>
          <t>Tactics funded (of 4)</t>
        </is>
      </c>
      <c r="B29" t="n">
        <v>4</v>
      </c>
      <c r="C29" s="171" t="n">
        <v>1</v>
      </c>
      <c r="D29" t="n">
        <v>4</v>
      </c>
      <c r="E29" t="n">
        <v>2</v>
      </c>
      <c r="F29" t="n">
        <v>4</v>
      </c>
      <c r="G29" t="n">
        <v>4</v>
      </c>
    </row>
    <row r="30">
      <c r="A30" t="inlineStr">
        <is>
          <t>Web demand</t>
        </is>
      </c>
      <c r="B30" t="n">
        <v>435</v>
      </c>
      <c r="C30" s="171" t="n">
        <v>120</v>
      </c>
      <c r="D30" t="n">
        <v>569</v>
      </c>
      <c r="E30" t="n">
        <v>138</v>
      </c>
      <c r="F30" t="n">
        <v>491</v>
      </c>
      <c r="G30" t="n">
        <v>435</v>
      </c>
    </row>
    <row r="33">
      <c r="A33" s="166" t="inlineStr">
        <is>
          <t>THE PATTERN IS ALMOST PERFECT</t>
        </is>
      </c>
      <c r="B33" s="166" t="inlineStr">
        <is>
          <t>Tactics funded</t>
        </is>
      </c>
      <c r="C33" s="166" t="inlineStr">
        <is>
          <t>Total budget</t>
        </is>
      </c>
      <c r="D33" s="166" t="inlineStr">
        <is>
          <t>Web demand</t>
        </is>
      </c>
    </row>
    <row r="34">
      <c r="A34" t="inlineStr">
        <is>
          <t>BB LLC</t>
        </is>
      </c>
      <c r="B34" t="n">
        <v>4</v>
      </c>
      <c r="C34" t="n">
        <v>33000</v>
      </c>
      <c r="D34" s="159" t="n">
        <v>569</v>
      </c>
    </row>
    <row r="35">
      <c r="A35" t="inlineStr">
        <is>
          <t>SpaceBikes</t>
        </is>
      </c>
      <c r="B35" t="n">
        <v>4</v>
      </c>
      <c r="C35" t="n">
        <v>33000</v>
      </c>
      <c r="D35" s="159" t="n">
        <v>491</v>
      </c>
    </row>
    <row r="36">
      <c r="A36" t="inlineStr">
        <is>
          <t>LiteCycle</t>
        </is>
      </c>
      <c r="B36" t="n">
        <v>4</v>
      </c>
      <c r="C36" t="n">
        <v>29000</v>
      </c>
      <c r="D36" s="159" t="n">
        <v>435</v>
      </c>
    </row>
    <row r="37">
      <c r="A37" t="inlineStr">
        <is>
          <t>MILC Bikes</t>
        </is>
      </c>
      <c r="B37" t="n">
        <v>4</v>
      </c>
      <c r="C37" t="n">
        <v>24000</v>
      </c>
      <c r="D37" s="159" t="n">
        <v>435</v>
      </c>
    </row>
    <row r="38">
      <c r="A38" t="inlineStr">
        <is>
          <t>Spoke'd Up</t>
        </is>
      </c>
      <c r="B38" t="n">
        <v>2</v>
      </c>
      <c r="C38" t="n">
        <v>9000</v>
      </c>
      <c r="D38" s="167" t="n">
        <v>138</v>
      </c>
    </row>
    <row r="39">
      <c r="A39" t="inlineStr">
        <is>
          <t>WeBike</t>
        </is>
      </c>
      <c r="B39" t="n">
        <v>1</v>
      </c>
      <c r="C39" t="n">
        <v>6000</v>
      </c>
      <c r="D39" s="167" t="n">
        <v>120</v>
      </c>
    </row>
    <row r="40">
      <c r="A40" t="inlineStr">
        <is>
          <t>Read</t>
        </is>
      </c>
      <c r="D40" s="174" t="inlineStr">
        <is>
          <t>Every firm funding all four tactics ($24k-33k) lands at 435-569 web units. Both firms funding fewer land at 120-138. Headcount moves with budget (7 vs 3) so the two effects cannot be fully separated - but we are at the bottom of BOTH.</t>
        </is>
      </c>
    </row>
    <row r="43">
      <c r="A43" s="166" t="inlineStr">
        <is>
          <t>WHAT WE NEVER STARTED</t>
        </is>
      </c>
      <c r="B43" s="166" t="inlineStr">
        <is>
          <t>Our budget</t>
        </is>
      </c>
      <c r="C43" s="166" t="inlineStr">
        <is>
          <t>Industry average</t>
        </is>
      </c>
      <c r="D43" s="166" t="inlineStr">
        <is>
          <t>Note</t>
        </is>
      </c>
    </row>
    <row r="44">
      <c r="A44" t="inlineStr">
        <is>
          <t>Toll-free phone</t>
        </is>
      </c>
      <c r="B44" s="159" t="n">
        <v>6000</v>
      </c>
      <c r="C44" t="n">
        <v>5667</v>
      </c>
      <c r="D44" s="170" t="inlineStr">
        <is>
          <t>ABOVE average - our one good web decision (raised from $3k)</t>
        </is>
      </c>
    </row>
    <row r="45">
      <c r="A45" t="inlineStr">
        <is>
          <t>Advanced shopping cart &amp; checkout</t>
        </is>
      </c>
      <c r="B45" s="167" t="n">
        <v>0</v>
      </c>
      <c r="C45" t="n">
        <v>7000</v>
      </c>
      <c r="D45" s="170" t="inlineStr">
        <is>
          <t>NEVER STARTED - 4 of 6 firms fund it at $7,000</t>
        </is>
      </c>
    </row>
    <row r="46">
      <c r="A46" t="inlineStr">
        <is>
          <t>Continuous page upgrades</t>
        </is>
      </c>
      <c r="B46" s="167" t="n">
        <v>0</v>
      </c>
      <c r="C46" t="n">
        <v>6667</v>
      </c>
      <c r="D46" s="170" t="inlineStr">
        <is>
          <t>WE STOPPED THIS IN Q3 - SpaceBikes funds it at $12,000</t>
        </is>
      </c>
    </row>
    <row r="47">
      <c r="A47" t="inlineStr">
        <is>
          <t>Order tracking software</t>
        </is>
      </c>
      <c r="B47" s="167" t="n">
        <v>0</v>
      </c>
      <c r="C47" t="n">
        <v>8000</v>
      </c>
      <c r="D47" s="170" t="inlineStr">
        <is>
          <t>NEVER STARTED - 4 of 6 firms fund it at $8,000</t>
        </is>
      </c>
    </row>
    <row r="48">
      <c r="A48" t="inlineStr">
        <is>
          <t>Our total</t>
        </is>
      </c>
      <c r="B48" t="n">
        <v>6000</v>
      </c>
      <c r="C48" t="n">
        <v>27500</v>
      </c>
      <c r="D48" s="170" t="inlineStr">
        <is>
          <t>average of the four full-tactic firms</t>
        </is>
      </c>
    </row>
    <row r="51">
      <c r="A51" s="166" t="inlineStr">
        <is>
          <t>THE FULL WEB REBUILD CASE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Current web demand</t>
        </is>
      </c>
      <c r="B52" t="n">
        <v>120</v>
      </c>
      <c r="C52" s="170" t="inlineStr">
        <is>
          <t>3 staff, 1 tactic, $6,000</t>
        </is>
      </c>
    </row>
    <row r="53">
      <c r="A53" t="inlineStr">
        <is>
          <t>Full-tactic cohort web demand range</t>
        </is>
      </c>
      <c r="B53" t="inlineStr">
        <is>
          <t>435 - 569</t>
        </is>
      </c>
      <c r="C53" s="170" t="inlineStr">
        <is>
          <t>7 staff, 4 tactics, $24k-33k</t>
        </is>
      </c>
    </row>
    <row r="54">
      <c r="A54" t="inlineStr">
        <is>
          <t>Conservative target (cohort floor)</t>
        </is>
      </c>
      <c r="B54" t="n">
        <v>435</v>
      </c>
      <c r="C54" s="170" t="inlineStr">
        <is>
          <t>LiteCycle / MILC level</t>
        </is>
      </c>
    </row>
    <row r="55">
      <c r="A55" t="inlineStr">
        <is>
          <t>Additional demand</t>
        </is>
      </c>
      <c r="B55">
        <f>C54-C52</f>
        <v/>
      </c>
      <c r="C55" s="170" t="n"/>
    </row>
    <row r="56">
      <c r="A56" t="inlineStr">
        <is>
          <t>Contribution per unit</t>
        </is>
      </c>
      <c r="B56" t="n">
        <v>750</v>
      </c>
      <c r="C56" s="170" t="n"/>
    </row>
    <row r="57">
      <c r="A57" t="inlineStr">
        <is>
          <t>Gross margin opportunity</t>
        </is>
      </c>
      <c r="B57" s="159">
        <f>C55*C56</f>
        <v/>
      </c>
      <c r="C57" s="170" t="n"/>
    </row>
    <row r="58">
      <c r="A58" t="inlineStr">
        <is>
          <t>Cost: +4 web staff per quarter</t>
        </is>
      </c>
      <c r="B58" t="n">
        <v>24425</v>
      </c>
      <c r="C58" s="170" t="inlineStr">
        <is>
          <t>4 x $24,425/yr = ~$6,106/qtr each</t>
        </is>
      </c>
    </row>
    <row r="59">
      <c r="A59" t="inlineStr">
        <is>
          <t>Cost: raise web budget $6,000 -&gt; $28,000</t>
        </is>
      </c>
      <c r="B59" t="n">
        <v>22000</v>
      </c>
      <c r="C59" s="170" t="inlineStr">
        <is>
          <t>add 3 tactics, top up toll-free</t>
        </is>
      </c>
    </row>
    <row r="60">
      <c r="A60" t="inlineStr">
        <is>
          <t>Total incremental cost</t>
        </is>
      </c>
      <c r="B60">
        <f>C58+C59</f>
        <v/>
      </c>
      <c r="C60" s="170" t="n"/>
    </row>
    <row r="61">
      <c r="A61" t="inlineStr">
        <is>
          <t>NET QUARTERLY GAIN</t>
        </is>
      </c>
      <c r="B61" s="192">
        <f>C57-C60</f>
        <v/>
      </c>
      <c r="C61" s="170" t="n"/>
    </row>
    <row r="62">
      <c r="A62" t="inlineStr">
        <is>
          <t>Note</t>
        </is>
      </c>
      <c r="C62" s="170" t="inlineStr">
        <is>
          <t>This supersedes the earlier +$89,600 estimate, which only modelled matching the average web MIX. Matching the leaders' web OPERATION is worth far more.</t>
        </is>
      </c>
    </row>
    <row r="65">
      <c r="A65" s="166" t="inlineStr">
        <is>
          <t>CAPACITY WARNING</t>
        </is>
      </c>
      <c r="B65" s="166" t="inlineStr">
        <is>
          <t>Units</t>
        </is>
      </c>
      <c r="C65" s="166" t="inlineStr">
        <is>
          <t>Note</t>
        </is>
      </c>
    </row>
    <row r="66">
      <c r="A66" t="inlineStr">
        <is>
          <t>Store demand today</t>
        </is>
      </c>
      <c r="B66" t="n">
        <v>507</v>
      </c>
      <c r="C66" s="170" t="n"/>
    </row>
    <row r="67">
      <c r="A67" t="inlineStr">
        <is>
          <t>Rio +3 staff at ~67/head</t>
        </is>
      </c>
      <c r="B67" t="n">
        <v>200</v>
      </c>
      <c r="C67" s="170" t="inlineStr">
        <is>
          <t>see Q3_Staffing</t>
        </is>
      </c>
    </row>
    <row r="68">
      <c r="A68" t="inlineStr">
        <is>
          <t>Web at cohort floor</t>
        </is>
      </c>
      <c r="B68" t="n">
        <v>435</v>
      </c>
      <c r="C68" s="170" t="n"/>
    </row>
    <row r="69">
      <c r="A69" t="inlineStr">
        <is>
          <t>Indicative total demand</t>
        </is>
      </c>
      <c r="B69">
        <f>C66+C67+C68</f>
        <v/>
      </c>
      <c r="C69" s="170" t="inlineStr">
        <is>
          <t>before ill will</t>
        </is>
      </c>
    </row>
    <row r="70">
      <c r="A70" t="inlineStr">
        <is>
          <t>Max units at 24/day, 65 days, 74% productivity</t>
        </is>
      </c>
      <c r="B70">
        <f>24*65*0.74</f>
        <v/>
      </c>
      <c r="C70" s="170" t="n"/>
    </row>
    <row r="71">
      <c r="A71" t="inlineStr">
        <is>
          <t>Required scheduled OC per day</t>
        </is>
      </c>
      <c r="B71" s="168">
        <f>C69/(0.74*65)</f>
        <v/>
      </c>
      <c r="C71" s="170" t="inlineStr">
        <is>
          <t>units / (productivity x days)</t>
        </is>
      </c>
    </row>
    <row r="72">
      <c r="A72" t="inlineStr">
        <is>
          <t>Fixed capacity per day</t>
        </is>
      </c>
      <c r="B72" t="n">
        <v>24</v>
      </c>
      <c r="C72" s="170" t="n"/>
    </row>
    <row r="73">
      <c r="A73" t="inlineStr">
        <is>
          <t>Headroom</t>
        </is>
      </c>
      <c r="B73">
        <f>C72-C71</f>
        <v/>
      </c>
      <c r="C73" s="170" t="n"/>
    </row>
    <row r="74">
      <c r="A74" t="inlineStr">
        <is>
          <t>Read</t>
        </is>
      </c>
      <c r="C74" s="174" t="inlineStr">
        <is>
          <t>Doing all of this at once pushes demand toward ~1,140 and required OC to roughly 21/day - inside our 24/day fixed capacity, but with little slack. Schedule OC to the FORECAST and re-run the production simulation before committing.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22" customWidth="1" style="146" min="2" max="2"/>
    <col width="30" customWidth="1" style="146" min="3" max="3"/>
    <col width="60" customWidth="1" style="146" min="4" max="4"/>
    <col width="5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Price Judgment — World Market, Q3 actual</t>
        </is>
      </c>
    </row>
    <row r="2">
      <c r="A2" s="170" t="inlineStr">
        <is>
          <t>100 = no price resistance. Lower = buyers find the price high. Because the score depends only on price vs segment willingness-to-pay, identical triplets imply identical prices - which lets us rank every rival's price without seeing the price list.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Price judgment in target</t>
        </is>
      </c>
      <c r="H4" s="166" t="inlineStr">
        <is>
          <t>Resistance?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63</v>
      </c>
      <c r="D5" t="n">
        <v>78</v>
      </c>
      <c r="E5" t="n">
        <v>90</v>
      </c>
      <c r="F5" t="inlineStr">
        <is>
          <t>Speed</t>
        </is>
      </c>
      <c r="G5" s="167" t="n">
        <v>90</v>
      </c>
      <c r="H5" t="inlineStr">
        <is>
          <t>-10</t>
        </is>
      </c>
    </row>
    <row r="6">
      <c r="A6" t="inlineStr">
        <is>
          <t>TERRAMAX</t>
        </is>
      </c>
      <c r="B6" t="inlineStr">
        <is>
          <t>Bike Bros</t>
        </is>
      </c>
      <c r="C6" t="n">
        <v>73</v>
      </c>
      <c r="D6" t="n">
        <v>91</v>
      </c>
      <c r="E6" t="n">
        <v>100</v>
      </c>
      <c r="F6" t="inlineStr">
        <is>
          <t>Mountain</t>
        </is>
      </c>
      <c r="G6" s="167" t="n">
        <v>91</v>
      </c>
      <c r="H6" t="inlineStr">
        <is>
          <t>-9</t>
        </is>
      </c>
    </row>
    <row r="7">
      <c r="A7" t="inlineStr">
        <is>
          <t>Mach 0.6</t>
        </is>
      </c>
      <c r="B7" t="inlineStr">
        <is>
          <t>Bike Bros</t>
        </is>
      </c>
      <c r="C7" t="n">
        <v>70</v>
      </c>
      <c r="D7" t="n">
        <v>86</v>
      </c>
      <c r="E7" t="n">
        <v>100</v>
      </c>
      <c r="F7" t="inlineStr">
        <is>
          <t>Speed</t>
        </is>
      </c>
      <c r="G7" s="159" t="n">
        <v>100</v>
      </c>
      <c r="H7" t="inlineStr">
        <is>
          <t>none</t>
        </is>
      </c>
    </row>
    <row r="8">
      <c r="A8" t="inlineStr">
        <is>
          <t>TERRAMean</t>
        </is>
      </c>
      <c r="B8" t="inlineStr">
        <is>
          <t>Bike Bros</t>
        </is>
      </c>
      <c r="C8" t="n">
        <v>82</v>
      </c>
      <c r="D8" t="n">
        <v>100</v>
      </c>
      <c r="E8" t="n">
        <v>100</v>
      </c>
      <c r="F8" t="inlineStr">
        <is>
          <t>Mountain</t>
        </is>
      </c>
      <c r="G8" s="159" t="n">
        <v>100</v>
      </c>
      <c r="H8" t="inlineStr">
        <is>
          <t>none</t>
        </is>
      </c>
    </row>
    <row r="9">
      <c r="A9" t="inlineStr">
        <is>
          <t>MountainCruise1</t>
        </is>
      </c>
      <c r="B9" t="inlineStr">
        <is>
          <t>Bike Bros</t>
        </is>
      </c>
      <c r="C9" t="n">
        <v>92</v>
      </c>
      <c r="D9" t="n">
        <v>100</v>
      </c>
      <c r="E9" t="n">
        <v>100</v>
      </c>
      <c r="F9" t="inlineStr">
        <is>
          <t>Recreation</t>
        </is>
      </c>
      <c r="G9" s="167" t="n">
        <v>92</v>
      </c>
      <c r="H9" t="inlineStr">
        <is>
          <t>-8</t>
        </is>
      </c>
    </row>
    <row r="10">
      <c r="A10" t="inlineStr">
        <is>
          <t>LiteSpeed Pro+</t>
        </is>
      </c>
      <c r="B10" t="inlineStr">
        <is>
          <t>LiteCycle</t>
        </is>
      </c>
      <c r="C10" t="n">
        <v>73</v>
      </c>
      <c r="D10" t="n">
        <v>90</v>
      </c>
      <c r="E10" t="n">
        <v>100</v>
      </c>
      <c r="F10" t="inlineStr">
        <is>
          <t>Speed</t>
        </is>
      </c>
      <c r="G10" s="159" t="n">
        <v>100</v>
      </c>
      <c r="H10" t="inlineStr">
        <is>
          <t>none</t>
        </is>
      </c>
    </row>
    <row r="11">
      <c r="A11" t="inlineStr">
        <is>
          <t>LiteSpeed+</t>
        </is>
      </c>
      <c r="B11" t="inlineStr">
        <is>
          <t>LiteCycle</t>
        </is>
      </c>
      <c r="C11" t="n">
        <v>83</v>
      </c>
      <c r="D11" t="n">
        <v>100</v>
      </c>
      <c r="E11" t="n">
        <v>100</v>
      </c>
      <c r="F11" t="inlineStr">
        <is>
          <t>Speed</t>
        </is>
      </c>
      <c r="G11" s="159" t="n">
        <v>100</v>
      </c>
      <c r="H11" t="inlineStr">
        <is>
          <t>none</t>
        </is>
      </c>
    </row>
    <row r="12">
      <c r="A12" t="inlineStr">
        <is>
          <t>LiteTrail Pro</t>
        </is>
      </c>
      <c r="B12" t="inlineStr">
        <is>
          <t>LiteCycle</t>
        </is>
      </c>
      <c r="C12" t="n">
        <v>85</v>
      </c>
      <c r="D12" t="n">
        <v>100</v>
      </c>
      <c r="E12" t="n">
        <v>100</v>
      </c>
      <c r="F12" t="inlineStr">
        <is>
          <t>Mountain</t>
        </is>
      </c>
      <c r="G12" s="159" t="n">
        <v>100</v>
      </c>
      <c r="H12" t="inlineStr">
        <is>
          <t>none</t>
        </is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81</v>
      </c>
      <c r="D13" s="171" t="n">
        <v>100</v>
      </c>
      <c r="E13" s="171" t="n">
        <v>100</v>
      </c>
      <c r="F13" s="171" t="inlineStr">
        <is>
          <t>Mountain</t>
        </is>
      </c>
      <c r="G13" s="172" t="n">
        <v>100</v>
      </c>
      <c r="H13" s="171" t="inlineStr">
        <is>
          <t>none</t>
        </is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76</v>
      </c>
      <c r="D14" s="171" t="n">
        <v>94</v>
      </c>
      <c r="E14" s="171" t="n">
        <v>100</v>
      </c>
      <c r="F14" s="171" t="inlineStr">
        <is>
          <t>Speed</t>
        </is>
      </c>
      <c r="G14" s="172" t="n">
        <v>100</v>
      </c>
      <c r="H14" s="171" t="inlineStr">
        <is>
          <t>none</t>
        </is>
      </c>
    </row>
    <row r="15">
      <c r="A15" t="inlineStr">
        <is>
          <t>Blu Ruged Ballz</t>
        </is>
      </c>
      <c r="B15" t="inlineStr">
        <is>
          <t>BB LLC</t>
        </is>
      </c>
      <c r="C15" t="n">
        <v>81</v>
      </c>
      <c r="D15" t="n">
        <v>100</v>
      </c>
      <c r="E15" t="n">
        <v>100</v>
      </c>
      <c r="F15" t="inlineStr">
        <is>
          <t>Mountain</t>
        </is>
      </c>
      <c r="G15" s="159" t="n">
        <v>100</v>
      </c>
      <c r="H15" t="inlineStr">
        <is>
          <t>none</t>
        </is>
      </c>
    </row>
    <row r="16">
      <c r="A16" t="inlineStr">
        <is>
          <t>Blu Aero Ballz</t>
        </is>
      </c>
      <c r="B16" t="inlineStr">
        <is>
          <t>BB LLC</t>
        </is>
      </c>
      <c r="C16" t="n">
        <v>70</v>
      </c>
      <c r="D16" t="n">
        <v>86</v>
      </c>
      <c r="E16" t="n">
        <v>100</v>
      </c>
      <c r="F16" t="inlineStr">
        <is>
          <t>Speed</t>
        </is>
      </c>
      <c r="G16" s="159" t="n">
        <v>100</v>
      </c>
      <c r="H16" t="inlineStr">
        <is>
          <t>none</t>
        </is>
      </c>
    </row>
    <row r="17">
      <c r="A17" t="inlineStr">
        <is>
          <t>Blu Tail Ballz</t>
        </is>
      </c>
      <c r="B17" t="inlineStr">
        <is>
          <t>BB LLC</t>
        </is>
      </c>
      <c r="C17" t="n">
        <v>81</v>
      </c>
      <c r="D17" t="n">
        <v>100</v>
      </c>
      <c r="E17" t="n">
        <v>100</v>
      </c>
      <c r="F17" t="inlineStr">
        <is>
          <t>Mountain</t>
        </is>
      </c>
      <c r="G17" s="159" t="n">
        <v>100</v>
      </c>
      <c r="H17" t="inlineStr">
        <is>
          <t>none</t>
        </is>
      </c>
    </row>
    <row r="18">
      <c r="A18" t="inlineStr">
        <is>
          <t>Blu Tube Ballz</t>
        </is>
      </c>
      <c r="B18" t="inlineStr">
        <is>
          <t>BB LLC</t>
        </is>
      </c>
      <c r="C18" t="n">
        <v>70</v>
      </c>
      <c r="D18" t="n">
        <v>86</v>
      </c>
      <c r="E18" t="n">
        <v>100</v>
      </c>
      <c r="F18" t="inlineStr">
        <is>
          <t>Speed</t>
        </is>
      </c>
      <c r="G18" s="159" t="n">
        <v>100</v>
      </c>
      <c r="H18" t="inlineStr">
        <is>
          <t>none</t>
        </is>
      </c>
    </row>
    <row r="19">
      <c r="A19" t="inlineStr">
        <is>
          <t>Spoke'd Easy</t>
        </is>
      </c>
      <c r="B19" t="inlineStr">
        <is>
          <t>Spoke'd Up</t>
        </is>
      </c>
      <c r="C19" t="n">
        <v>100</v>
      </c>
      <c r="D19" t="n">
        <v>100</v>
      </c>
      <c r="E19" t="n">
        <v>100</v>
      </c>
      <c r="F19" t="inlineStr">
        <is>
          <t>Recreation</t>
        </is>
      </c>
      <c r="G19" s="159" t="n">
        <v>100</v>
      </c>
      <c r="H19" t="inlineStr">
        <is>
          <t>none</t>
        </is>
      </c>
    </row>
    <row r="20">
      <c r="A20" t="inlineStr">
        <is>
          <t>Spoke'd Speed</t>
        </is>
      </c>
      <c r="B20" t="inlineStr">
        <is>
          <t>Spoke'd Up</t>
        </is>
      </c>
      <c r="C20" t="n">
        <v>73</v>
      </c>
      <c r="D20" t="n">
        <v>91</v>
      </c>
      <c r="E20" t="n">
        <v>100</v>
      </c>
      <c r="F20" t="inlineStr">
        <is>
          <t>Speed</t>
        </is>
      </c>
      <c r="G20" s="159" t="n">
        <v>100</v>
      </c>
      <c r="H20" t="inlineStr">
        <is>
          <t>none</t>
        </is>
      </c>
    </row>
    <row r="21">
      <c r="A21" t="inlineStr">
        <is>
          <t>The Armstrong</t>
        </is>
      </c>
      <c r="B21" t="inlineStr">
        <is>
          <t>SpaceBikes</t>
        </is>
      </c>
      <c r="C21" t="n">
        <v>70</v>
      </c>
      <c r="D21" t="n">
        <v>86</v>
      </c>
      <c r="E21" t="n">
        <v>100</v>
      </c>
      <c r="F21" t="inlineStr">
        <is>
          <t>Speed</t>
        </is>
      </c>
      <c r="G21" s="159" t="n">
        <v>100</v>
      </c>
      <c r="H21" t="inlineStr">
        <is>
          <t>none</t>
        </is>
      </c>
    </row>
    <row r="22">
      <c r="A22" t="inlineStr">
        <is>
          <t>Mars Rover</t>
        </is>
      </c>
      <c r="B22" t="inlineStr">
        <is>
          <t>SpaceBikes</t>
        </is>
      </c>
      <c r="C22" t="n">
        <v>100</v>
      </c>
      <c r="D22" t="n">
        <v>100</v>
      </c>
      <c r="E22" t="n">
        <v>100</v>
      </c>
      <c r="F22" t="inlineStr">
        <is>
          <t>Recreation</t>
        </is>
      </c>
      <c r="G22" s="159" t="n">
        <v>100</v>
      </c>
      <c r="H22" t="inlineStr">
        <is>
          <t>none</t>
        </is>
      </c>
    </row>
    <row r="23">
      <c r="A23" t="inlineStr">
        <is>
          <t>Whole MILC MKII</t>
        </is>
      </c>
      <c r="B23" t="inlineStr">
        <is>
          <t>MILC Bikes</t>
        </is>
      </c>
      <c r="C23" t="n">
        <v>100</v>
      </c>
      <c r="D23" t="n">
        <v>100</v>
      </c>
      <c r="E23" t="n">
        <v>100</v>
      </c>
      <c r="F23" t="inlineStr">
        <is>
          <t>Recreation</t>
        </is>
      </c>
      <c r="G23" s="159" t="n">
        <v>100</v>
      </c>
      <c r="H23" t="inlineStr">
        <is>
          <t>none</t>
        </is>
      </c>
    </row>
    <row r="24">
      <c r="A24" t="inlineStr">
        <is>
          <t>Skim MILC MKII</t>
        </is>
      </c>
      <c r="B24" t="inlineStr">
        <is>
          <t>MILC Bikes</t>
        </is>
      </c>
      <c r="C24" t="n">
        <v>76</v>
      </c>
      <c r="D24" t="n">
        <v>94</v>
      </c>
      <c r="E24" t="n">
        <v>100</v>
      </c>
      <c r="F24" t="inlineStr">
        <is>
          <t>Speed</t>
        </is>
      </c>
      <c r="G24" s="159" t="n">
        <v>100</v>
      </c>
      <c r="H24" t="inlineStr">
        <is>
          <t>none</t>
        </is>
      </c>
    </row>
    <row r="27">
      <c r="A27" s="166" t="inlineStr">
        <is>
          <t>INFERRED PRICE TIERS (cheapest first)</t>
        </is>
      </c>
      <c r="B27" s="166" t="inlineStr">
        <is>
          <t>Rec</t>
        </is>
      </c>
      <c r="C27" s="166" t="inlineStr">
        <is>
          <t>Mountain</t>
        </is>
      </c>
      <c r="D27" s="166" t="inlineStr">
        <is>
          <t>Speed</t>
        </is>
      </c>
      <c r="E27" s="166" t="inlineStr">
        <is>
          <t>Brands at this price</t>
        </is>
      </c>
    </row>
    <row r="28">
      <c r="A28" t="inlineStr">
        <is>
          <t>tier 100</t>
        </is>
      </c>
      <c r="B28" t="n">
        <v>100</v>
      </c>
      <c r="C28" t="n">
        <v>100</v>
      </c>
      <c r="D28" t="n">
        <v>100</v>
      </c>
      <c r="E28" s="170" t="inlineStr">
        <is>
          <t>Spoke'd Easy (Spoke'd Up), Mars Rover (SpaceBikes), Whole MILC MKII (MILC Bikes)</t>
        </is>
      </c>
    </row>
    <row r="29">
      <c r="A29" t="inlineStr">
        <is>
          <t>tier 92</t>
        </is>
      </c>
      <c r="B29" t="n">
        <v>92</v>
      </c>
      <c r="C29" t="n">
        <v>100</v>
      </c>
      <c r="D29" t="n">
        <v>100</v>
      </c>
      <c r="E29" s="170" t="inlineStr">
        <is>
          <t>MountainCruise1 (Bike Bros)</t>
        </is>
      </c>
    </row>
    <row r="30">
      <c r="A30" t="inlineStr">
        <is>
          <t>tier 85</t>
        </is>
      </c>
      <c r="B30" t="n">
        <v>85</v>
      </c>
      <c r="C30" t="n">
        <v>100</v>
      </c>
      <c r="D30" t="n">
        <v>100</v>
      </c>
      <c r="E30" s="170" t="inlineStr">
        <is>
          <t>LiteTrail Pro (LiteCycle)</t>
        </is>
      </c>
    </row>
    <row r="31">
      <c r="A31" t="inlineStr">
        <is>
          <t>tier 83</t>
        </is>
      </c>
      <c r="B31" t="n">
        <v>83</v>
      </c>
      <c r="C31" t="n">
        <v>100</v>
      </c>
      <c r="D31" t="n">
        <v>100</v>
      </c>
      <c r="E31" s="170" t="inlineStr">
        <is>
          <t>LiteSpeed+ (LiteCycle)</t>
        </is>
      </c>
    </row>
    <row r="32">
      <c r="A32" t="inlineStr">
        <is>
          <t>tier 82</t>
        </is>
      </c>
      <c r="B32" t="n">
        <v>82</v>
      </c>
      <c r="C32" t="n">
        <v>100</v>
      </c>
      <c r="D32" t="n">
        <v>100</v>
      </c>
      <c r="E32" s="170" t="inlineStr">
        <is>
          <t>TERRAMean (Bike Bros)</t>
        </is>
      </c>
    </row>
    <row r="33">
      <c r="A33" s="173" t="inlineStr">
        <is>
          <t>tier 81</t>
        </is>
      </c>
      <c r="B33" s="173" t="n">
        <v>81</v>
      </c>
      <c r="C33" s="173" t="n">
        <v>100</v>
      </c>
      <c r="D33" s="173" t="n">
        <v>100</v>
      </c>
      <c r="E33" s="193" t="inlineStr">
        <is>
          <t>Hike Bike (WeBike), Blu Ruged Ballz (BB LLC), Blu Tail Ballz (BB LLC)</t>
        </is>
      </c>
    </row>
    <row r="34">
      <c r="A34" s="173" t="inlineStr">
        <is>
          <t>tier 76</t>
        </is>
      </c>
      <c r="B34" s="173" t="n">
        <v>76</v>
      </c>
      <c r="C34" s="173" t="n">
        <v>94</v>
      </c>
      <c r="D34" s="173" t="n">
        <v>100</v>
      </c>
      <c r="E34" s="193" t="inlineStr">
        <is>
          <t>Swift Bike (WeBike), Skim MILC MKII (MILC Bikes)</t>
        </is>
      </c>
    </row>
    <row r="35">
      <c r="A35" t="inlineStr">
        <is>
          <t>tier 73</t>
        </is>
      </c>
      <c r="B35" t="n">
        <v>73</v>
      </c>
      <c r="C35" t="n">
        <v>91</v>
      </c>
      <c r="D35" t="n">
        <v>100</v>
      </c>
      <c r="E35" s="170" t="inlineStr">
        <is>
          <t>TERRAMAX (Bike Bros), Spoke'd Speed (Spoke'd Up)</t>
        </is>
      </c>
    </row>
    <row r="36">
      <c r="A36" t="inlineStr">
        <is>
          <t>tier 73</t>
        </is>
      </c>
      <c r="B36" t="n">
        <v>73</v>
      </c>
      <c r="C36" t="n">
        <v>90</v>
      </c>
      <c r="D36" t="n">
        <v>100</v>
      </c>
      <c r="E36" s="170" t="inlineStr">
        <is>
          <t>LiteSpeed Pro+ (LiteCycle)</t>
        </is>
      </c>
    </row>
    <row r="37">
      <c r="A37" t="inlineStr">
        <is>
          <t>tier 70</t>
        </is>
      </c>
      <c r="B37" t="n">
        <v>70</v>
      </c>
      <c r="C37" t="n">
        <v>86</v>
      </c>
      <c r="D37" t="n">
        <v>100</v>
      </c>
      <c r="E37" s="170" t="inlineStr">
        <is>
          <t>Mach 0.6 (Bike Bros), Blu Aero Ballz (BB LLC), Blu Tube Ballz (BB LLC), The Armstrong (SpaceBikes)</t>
        </is>
      </c>
    </row>
    <row r="38">
      <c r="A38" t="inlineStr">
        <is>
          <t>tier 63</t>
        </is>
      </c>
      <c r="B38" t="n">
        <v>63</v>
      </c>
      <c r="C38" t="n">
        <v>78</v>
      </c>
      <c r="D38" t="n">
        <v>90</v>
      </c>
      <c r="E38" s="170" t="inlineStr">
        <is>
          <t>MACH I.I (Bike Bros)</t>
        </is>
      </c>
    </row>
    <row r="41">
      <c r="A41" s="166" t="inlineStr">
        <is>
          <t>SEGMENT PRICE SENSITIVITY — resistance sets in at different tiers</t>
        </is>
      </c>
      <c r="B41" s="166" t="inlineStr">
        <is>
          <t>Mountain</t>
        </is>
      </c>
      <c r="C41" s="166" t="inlineStr">
        <is>
          <t>Speed</t>
        </is>
      </c>
      <c r="D41" s="166" t="inlineStr">
        <is>
          <t>Recreation</t>
        </is>
      </c>
    </row>
    <row r="42">
      <c r="A42" t="inlineStr">
        <is>
          <t>tier 100 (cheapest)</t>
        </is>
      </c>
      <c r="B42" t="n">
        <v>100</v>
      </c>
      <c r="C42" t="n">
        <v>100</v>
      </c>
      <c r="D42" t="n">
        <v>100</v>
      </c>
    </row>
    <row r="43">
      <c r="A43" t="inlineStr">
        <is>
          <t>tier 92</t>
        </is>
      </c>
      <c r="B43" t="n">
        <v>100</v>
      </c>
      <c r="C43" t="n">
        <v>100</v>
      </c>
      <c r="D43" t="n">
        <v>92</v>
      </c>
    </row>
    <row r="44">
      <c r="A44" t="inlineStr">
        <is>
          <t>tier 85</t>
        </is>
      </c>
      <c r="B44" t="n">
        <v>100</v>
      </c>
      <c r="C44" t="n">
        <v>100</v>
      </c>
      <c r="D44" t="n">
        <v>85</v>
      </c>
    </row>
    <row r="45">
      <c r="A45" t="inlineStr">
        <is>
          <t>tier 83</t>
        </is>
      </c>
      <c r="B45" t="n">
        <v>100</v>
      </c>
      <c r="C45" t="n">
        <v>100</v>
      </c>
      <c r="D45" t="n">
        <v>83</v>
      </c>
    </row>
    <row r="46">
      <c r="A46" t="inlineStr">
        <is>
          <t>tier 82</t>
        </is>
      </c>
      <c r="B46" t="n">
        <v>100</v>
      </c>
      <c r="C46" t="n">
        <v>100</v>
      </c>
      <c r="D46" t="n">
        <v>82</v>
      </c>
    </row>
    <row r="47">
      <c r="A47" t="inlineStr">
        <is>
          <t>tier 81  &lt;- Hike Bike</t>
        </is>
      </c>
      <c r="B47" s="159" t="n">
        <v>100</v>
      </c>
      <c r="C47" t="n">
        <v>100</v>
      </c>
      <c r="D47" t="n">
        <v>81</v>
      </c>
    </row>
    <row r="48">
      <c r="A48" t="inlineStr">
        <is>
          <t>tier 76  &lt;- Swift Bike</t>
        </is>
      </c>
      <c r="B48" t="n">
        <v>94</v>
      </c>
      <c r="C48" s="159" t="n">
        <v>100</v>
      </c>
      <c r="D48" t="n">
        <v>76</v>
      </c>
    </row>
    <row r="49">
      <c r="A49" t="inlineStr">
        <is>
          <t>tier 73</t>
        </is>
      </c>
      <c r="B49" t="n">
        <v>91</v>
      </c>
      <c r="C49" t="n">
        <v>100</v>
      </c>
      <c r="D49" t="n">
        <v>73</v>
      </c>
    </row>
    <row r="50">
      <c r="A50" t="inlineStr">
        <is>
          <t>tier 70</t>
        </is>
      </c>
      <c r="B50" t="n">
        <v>86</v>
      </c>
      <c r="C50" s="159" t="n">
        <v>100</v>
      </c>
      <c r="D50" t="n">
        <v>70</v>
      </c>
    </row>
    <row r="51">
      <c r="A51" t="inlineStr">
        <is>
          <t>tier 63 (most expensive)</t>
        </is>
      </c>
      <c r="B51" t="n">
        <v>78</v>
      </c>
      <c r="C51" s="167" t="n">
        <v>90</v>
      </c>
      <c r="D51" t="n">
        <v>63</v>
      </c>
    </row>
    <row r="52">
      <c r="A52" t="inlineStr">
        <is>
          <t>Read</t>
        </is>
      </c>
      <c r="D52" s="174" t="inlineStr">
        <is>
          <t>SPEED is the least price-sensitive segment in the game - it tolerates every price up to tier 70 with zero resistance. MOUNTAIN starts resisting immediately below tier 81. RECREATION resists almost everything.</t>
        </is>
      </c>
    </row>
    <row r="55">
      <c r="A55" s="166" t="inlineStr">
        <is>
          <t>HIKE BIKE — price is already optimal, hold it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Price</t>
        </is>
      </c>
      <c r="B56" t="n">
        <v>1365</v>
      </c>
      <c r="C56" s="170" t="n"/>
    </row>
    <row r="57">
      <c r="A57" t="inlineStr">
        <is>
          <t>Mountain price judgment</t>
        </is>
      </c>
      <c r="B57" s="159" t="n">
        <v>100</v>
      </c>
      <c r="C57" s="170" t="inlineStr">
        <is>
          <t>ZERO price resistance</t>
        </is>
      </c>
    </row>
    <row r="58">
      <c r="A58" t="inlineStr">
        <is>
          <t>Price tier</t>
        </is>
      </c>
      <c r="B58" t="n">
        <v>81</v>
      </c>
      <c r="C58" s="170" t="inlineStr">
        <is>
          <t>the HIGHEST-priced tier that still scores 100 in Mountain</t>
        </is>
      </c>
    </row>
    <row r="59">
      <c r="A59" t="inlineStr">
        <is>
          <t>Next tier up (73)</t>
        </is>
      </c>
      <c r="B59" t="n">
        <v>91</v>
      </c>
      <c r="C59" s="170" t="inlineStr">
        <is>
          <t>TERRAMAX sits there and takes a 9-point hit</t>
        </is>
      </c>
    </row>
    <row r="60">
      <c r="A60" t="inlineStr">
        <is>
          <t>Verdict</t>
        </is>
      </c>
      <c r="C60" s="181" t="inlineStr">
        <is>
          <t>We are extracting the maximum price Mountain will bear without penalty. Raising it drops us into the resistance band. HOLD $1,365.</t>
        </is>
      </c>
    </row>
    <row r="63">
      <c r="A63" s="166" t="inlineStr">
        <is>
          <t>SWIFT BIKE — we are UNDER-priced in Speed</t>
        </is>
      </c>
      <c r="B63" s="166" t="inlineStr">
        <is>
          <t>Value</t>
        </is>
      </c>
      <c r="C63" s="166" t="inlineStr">
        <is>
          <t>Note</t>
        </is>
      </c>
    </row>
    <row r="64">
      <c r="A64" t="inlineStr">
        <is>
          <t>Price</t>
        </is>
      </c>
      <c r="B64" t="n">
        <v>1450</v>
      </c>
      <c r="C64" s="170" t="n"/>
    </row>
    <row r="65">
      <c r="A65" t="inlineStr">
        <is>
          <t>Speed price judgment</t>
        </is>
      </c>
      <c r="B65" t="n">
        <v>100</v>
      </c>
      <c r="C65" s="170" t="inlineStr">
        <is>
          <t>zero resistance</t>
        </is>
      </c>
    </row>
    <row r="66">
      <c r="A66" t="inlineStr">
        <is>
          <t>Our price tier</t>
        </is>
      </c>
      <c r="B66" t="n">
        <v>76</v>
      </c>
      <c r="C66" s="170" t="n"/>
    </row>
    <row r="67">
      <c r="A67" t="inlineStr">
        <is>
          <t>Tier 70 brands (Armstrong, Blu Tube, Blu Aero, Mach 0.6)</t>
        </is>
      </c>
      <c r="B67" s="159" t="n">
        <v>100</v>
      </c>
      <c r="C67" s="170" t="inlineStr">
        <is>
          <t>priced ABOVE us and STILL score 100 in Speed</t>
        </is>
      </c>
    </row>
    <row r="68">
      <c r="A68" t="inlineStr">
        <is>
          <t>First tier with Speed resistance</t>
        </is>
      </c>
      <c r="B68" t="n">
        <v>63</v>
      </c>
      <c r="C68" s="170" t="inlineStr">
        <is>
          <t>only MACH I.I, at 90</t>
        </is>
      </c>
    </row>
    <row r="69">
      <c r="A69" t="inlineStr">
        <is>
          <t>Headroom</t>
        </is>
      </c>
      <c r="C69" s="170" t="inlineStr">
        <is>
          <t>roughly 1-2 price tiers before Speed resistance appears</t>
        </is>
      </c>
    </row>
    <row r="70">
      <c r="A70" t="inlineStr">
        <is>
          <t>Estimated tier-70 price</t>
        </is>
      </c>
      <c r="B70" t="n">
        <v>1595</v>
      </c>
      <c r="C70" s="170" t="inlineStr">
        <is>
          <t>INFERRED - see the estimate note below</t>
        </is>
      </c>
    </row>
    <row r="71">
      <c r="A71" t="inlineStr">
        <is>
          <t>Potential price increase</t>
        </is>
      </c>
      <c r="B71">
        <f>C70-C64</f>
        <v/>
      </c>
      <c r="C71" s="170" t="n"/>
    </row>
    <row r="72">
      <c r="A72" t="inlineStr">
        <is>
          <t>On Q3 volume (215 units)</t>
        </is>
      </c>
      <c r="B72" s="159">
        <f>C71*215</f>
        <v/>
      </c>
      <c r="C72" s="170" t="inlineStr">
        <is>
          <t>pure margin - no cost change</t>
        </is>
      </c>
    </row>
    <row r="73">
      <c r="A73" t="inlineStr">
        <is>
          <t>On a rebuilt Speed volume (say 400 units)</t>
        </is>
      </c>
      <c r="B73" s="159">
        <f>C71*400</f>
        <v/>
      </c>
      <c r="C73" s="170" t="n"/>
    </row>
    <row r="74">
      <c r="A74" t="inlineStr">
        <is>
          <t>CAVEAT</t>
        </is>
      </c>
      <c r="C74" s="174" t="inlineStr">
        <is>
          <t>The $1,595 figure is inferred from BB LLC's ~$1,480 average price across 4 brands, two of which appear to sit at our $1,365 tier. VERIFY against the actual price list before locking. The DIRECTION (we have room to raise) is solid; the exact number is not.</t>
        </is>
      </c>
    </row>
    <row r="77">
      <c r="A77" s="166" t="inlineStr">
        <is>
          <t>THE BB LLC COMPARISON IS NOW AIRTIGHT</t>
        </is>
      </c>
      <c r="B77" s="166" t="inlineStr">
        <is>
          <t>Hike Bike (WeBike)</t>
        </is>
      </c>
      <c r="C77" s="166" t="inlineStr">
        <is>
          <t>Blu Ruged Ballz (BB LLC)</t>
        </is>
      </c>
    </row>
    <row r="78">
      <c r="A78" t="inlineStr">
        <is>
          <t>Brand judgment - Mountain</t>
        </is>
      </c>
      <c r="B78" t="n">
        <v>73</v>
      </c>
      <c r="C78" t="n">
        <v>73</v>
      </c>
    </row>
    <row r="79">
      <c r="A79" t="inlineStr">
        <is>
          <t>Component recipe</t>
        </is>
      </c>
      <c r="B79" t="inlineStr">
        <is>
          <t>56/73/1</t>
        </is>
      </c>
      <c r="C79" t="inlineStr">
        <is>
          <t>56/73/1 (identical)</t>
        </is>
      </c>
    </row>
    <row r="80">
      <c r="A80" t="inlineStr">
        <is>
          <t>Price judgment</t>
        </is>
      </c>
      <c r="B80" t="inlineStr">
        <is>
          <t>81 / 100 / 100</t>
        </is>
      </c>
      <c r="C80" t="inlineStr">
        <is>
          <t>81 / 100 / 100 (identical)</t>
        </is>
      </c>
    </row>
    <row r="81">
      <c r="A81" t="inlineStr">
        <is>
          <t>Implied price</t>
        </is>
      </c>
      <c r="B81" t="inlineStr">
        <is>
          <t>$1,365</t>
        </is>
      </c>
      <c r="C81" t="inlineStr">
        <is>
          <t>$1,365 (same tier)</t>
        </is>
      </c>
    </row>
    <row r="82">
      <c r="A82" t="inlineStr">
        <is>
          <t>Mountain share</t>
        </is>
      </c>
      <c r="B82" s="179" t="n">
        <v>0.221</v>
      </c>
      <c r="C82" s="161" t="n">
        <v>0.463</v>
      </c>
    </row>
    <row r="83">
      <c r="A83" t="inlineStr">
        <is>
          <t>Conclusion</t>
        </is>
      </c>
      <c r="C83" s="174" t="inlineStr">
        <is>
          <t>Same product, same price, same price perception - and they take 2.1x our share. There is now no product or pricing explanation left. The entire gap is SUPPLY (we stocked out 33%), COVERAGE (14 store staff vs 14 but 7 web vs our 3) and ADS (24 regional vs our 19).</t>
        </is>
      </c>
    </row>
    <row r="86">
      <c r="A86" s="166" t="inlineStr">
        <is>
          <t>ANOTHER REASON TO SKIP RECREATION</t>
        </is>
      </c>
      <c r="B86" s="166" t="inlineStr">
        <is>
          <t>Value</t>
        </is>
      </c>
      <c r="C86" s="166" t="inlineStr">
        <is>
          <t>Note</t>
        </is>
      </c>
    </row>
    <row r="87">
      <c r="A87" t="inlineStr">
        <is>
          <t>Hike Bike Recreation price judgment</t>
        </is>
      </c>
      <c r="B87" s="167" t="n">
        <v>81</v>
      </c>
      <c r="C87" s="170" t="inlineStr">
        <is>
          <t>Rec buyers resist our $1,365</t>
        </is>
      </c>
    </row>
    <row r="88">
      <c r="A88" t="inlineStr">
        <is>
          <t>All three Recreation brands</t>
        </is>
      </c>
      <c r="B88" t="n">
        <v>100</v>
      </c>
      <c r="C88" s="170" t="inlineStr">
        <is>
          <t>Spoke'd Easy, Mars Rover, Whole MILC - all at tier 100</t>
        </is>
      </c>
    </row>
    <row r="89">
      <c r="A89" t="inlineStr">
        <is>
          <t>Read</t>
        </is>
      </c>
      <c r="C89" s="170" t="inlineStr">
        <is>
          <t>Recreation is the most price-sensitive segment AND the winning brands are the cheapest in the game. Entering would mean a low-price, low-margin product - the opposite of our 'profit margin leader' strategy. Combined with the 56-vs-76 brand judgment gap, Recreation stays parked.</t>
        </is>
      </c>
    </row>
    <row r="92">
      <c r="A92" s="166" t="inlineStr">
        <is>
          <t>Q4 PRICING ACTIONS</t>
        </is>
      </c>
      <c r="B92" s="166" t="inlineStr">
        <is>
          <t>Decision</t>
        </is>
      </c>
    </row>
    <row r="93">
      <c r="A93" t="inlineStr">
        <is>
          <t>Hike Bike</t>
        </is>
      </c>
      <c r="B93" s="174" t="inlineStr">
        <is>
          <t>HOLD $1,365. Mountain judgment 100 and we sit at the top tier that achieves it.</t>
        </is>
      </c>
    </row>
    <row r="94">
      <c r="A94" t="inlineStr">
        <is>
          <t>Swift Bike</t>
        </is>
      </c>
      <c r="B94" s="174" t="inlineStr">
        <is>
          <t>RAISE. Speed tolerates 1-2 tiers above us with zero resistance. Verify the exact price list, then move toward the Armstrong / Blu Tube tier.</t>
        </is>
      </c>
    </row>
    <row r="95">
      <c r="A95" t="inlineStr">
        <is>
          <t>Sequencing note</t>
        </is>
      </c>
      <c r="B95" s="174" t="inlineStr">
        <is>
          <t>Raise the Swift Bike price in the SAME quarter we fix its design to 77 - better product plus a price the segment does not resist is the cleanest margin gain available.</t>
        </is>
      </c>
    </row>
    <row r="96">
      <c r="A96" t="inlineStr">
        <is>
          <t>Capacity note</t>
        </is>
      </c>
      <c r="B96" s="174" t="inlineStr">
        <is>
          <t>A price rise also RELIEVES the capacity squeeze: more margin per unit on the same 24/day. If we cannot build 1,171 units, we should at least earn more on the ones we do build.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24" customWidth="1" style="146" min="2" max="2"/>
    <col width="26" customWidth="1" style="146" min="3" max="3"/>
    <col width="62" customWidth="1" style="146" min="4" max="4"/>
    <col width="34" customWidth="1" style="146" min="5" max="5"/>
    <col width="14" customWidth="1" style="146" min="6" max="6"/>
    <col width="14" customWidth="1" style="146" min="7" max="7"/>
    <col width="14" customWidth="1" style="146" min="8" max="8"/>
    <col width="14" customWidth="1" style="146" min="9" max="9"/>
    <col width="14" customWidth="1" style="146" min="10" max="10"/>
  </cols>
  <sheetData>
    <row r="1">
      <c r="A1" s="169" t="inlineStr">
        <is>
          <t>Competitors' Prices — World Market, Q3 actual</t>
        </is>
      </c>
    </row>
    <row r="2">
      <c r="A2" s="170" t="inlineStr">
        <is>
          <t>Actual price list. It confirms the price tiers inferred from price judgment: every tier maps to a distinct price, monotonically, across all 11 tiers.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Price</t>
        </is>
      </c>
      <c r="D4" s="166" t="inlineStr">
        <is>
          <t>Rebate</t>
        </is>
      </c>
      <c r="E4" s="166" t="inlineStr">
        <is>
          <t>Net price</t>
        </is>
      </c>
      <c r="F4" s="166" t="inlineStr">
        <is>
          <t>Priority</t>
        </is>
      </c>
      <c r="G4" s="166" t="inlineStr">
        <is>
          <t>Segment</t>
        </is>
      </c>
      <c r="H4" s="166" t="inlineStr">
        <is>
          <t>Brand judgment</t>
        </is>
      </c>
      <c r="I4" s="166" t="inlineStr">
        <is>
          <t>Price judgment</t>
        </is>
      </c>
      <c r="J4" s="166" t="inlineStr">
        <is>
          <t>Price tier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1749</v>
      </c>
      <c r="D5" t="n">
        <v>0</v>
      </c>
      <c r="E5" t="n">
        <v>1749</v>
      </c>
      <c r="F5" t="n">
        <v>1</v>
      </c>
      <c r="G5" t="inlineStr">
        <is>
          <t>Speed</t>
        </is>
      </c>
      <c r="H5" t="n">
        <v>77</v>
      </c>
      <c r="I5" s="167" t="n">
        <v>90</v>
      </c>
      <c r="J5" t="n">
        <v>63</v>
      </c>
    </row>
    <row r="6">
      <c r="A6" t="inlineStr">
        <is>
          <t>Blu Aero Ballz</t>
        </is>
      </c>
      <c r="B6" t="inlineStr">
        <is>
          <t>BB LLC</t>
        </is>
      </c>
      <c r="C6" t="n">
        <v>1580</v>
      </c>
      <c r="D6" t="n">
        <v>0</v>
      </c>
      <c r="E6" t="n">
        <v>1580</v>
      </c>
      <c r="F6" t="n">
        <v>2</v>
      </c>
      <c r="G6" t="inlineStr">
        <is>
          <t>Speed</t>
        </is>
      </c>
      <c r="H6" t="n">
        <v>74</v>
      </c>
      <c r="I6" s="159" t="n">
        <v>100</v>
      </c>
      <c r="J6" t="n">
        <v>70</v>
      </c>
    </row>
    <row r="7">
      <c r="A7" t="inlineStr">
        <is>
          <t>Blu Tube Ballz</t>
        </is>
      </c>
      <c r="B7" t="inlineStr">
        <is>
          <t>BB LLC</t>
        </is>
      </c>
      <c r="C7" t="n">
        <v>1580</v>
      </c>
      <c r="D7" t="n">
        <v>0</v>
      </c>
      <c r="E7" t="n">
        <v>1580</v>
      </c>
      <c r="F7" t="n">
        <v>3</v>
      </c>
      <c r="G7" t="inlineStr">
        <is>
          <t>Speed</t>
        </is>
      </c>
      <c r="H7" t="n">
        <v>76</v>
      </c>
      <c r="I7" s="159" t="n">
        <v>100</v>
      </c>
      <c r="J7" t="n">
        <v>70</v>
      </c>
    </row>
    <row r="8">
      <c r="A8" t="inlineStr">
        <is>
          <t>The Armstrong</t>
        </is>
      </c>
      <c r="B8" t="inlineStr">
        <is>
          <t>SpaceBikes</t>
        </is>
      </c>
      <c r="C8" t="n">
        <v>1580</v>
      </c>
      <c r="D8" t="n">
        <v>0</v>
      </c>
      <c r="E8" t="n">
        <v>1580</v>
      </c>
      <c r="F8" t="n">
        <v>1</v>
      </c>
      <c r="G8" t="inlineStr">
        <is>
          <t>Speed</t>
        </is>
      </c>
      <c r="H8" t="n">
        <v>76</v>
      </c>
      <c r="I8" s="159" t="n">
        <v>100</v>
      </c>
      <c r="J8" t="n">
        <v>70</v>
      </c>
    </row>
    <row r="9">
      <c r="A9" t="inlineStr">
        <is>
          <t>Mach 0.6</t>
        </is>
      </c>
      <c r="B9" t="inlineStr">
        <is>
          <t>Bike Bros</t>
        </is>
      </c>
      <c r="C9" t="n">
        <v>1579</v>
      </c>
      <c r="D9" t="n">
        <v>0</v>
      </c>
      <c r="E9" t="n">
        <v>1579</v>
      </c>
      <c r="F9" t="n">
        <v>3</v>
      </c>
      <c r="G9" t="inlineStr">
        <is>
          <t>Speed</t>
        </is>
      </c>
      <c r="H9" t="n">
        <v>61</v>
      </c>
      <c r="I9" s="159" t="n">
        <v>100</v>
      </c>
      <c r="J9" t="n">
        <v>70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1515</v>
      </c>
      <c r="D10" t="n">
        <v>0</v>
      </c>
      <c r="E10" t="n">
        <v>1515</v>
      </c>
      <c r="F10" t="n">
        <v>1</v>
      </c>
      <c r="G10" t="inlineStr">
        <is>
          <t>Speed</t>
        </is>
      </c>
      <c r="H10" t="n">
        <v>77</v>
      </c>
      <c r="I10" s="159" t="n">
        <v>100</v>
      </c>
      <c r="J10" t="n">
        <v>73</v>
      </c>
    </row>
    <row r="11">
      <c r="A11" t="inlineStr">
        <is>
          <t>TERRAMAX</t>
        </is>
      </c>
      <c r="B11" t="inlineStr">
        <is>
          <t>Bike Bros</t>
        </is>
      </c>
      <c r="C11" t="n">
        <v>1499</v>
      </c>
      <c r="D11" t="n">
        <v>0</v>
      </c>
      <c r="E11" t="n">
        <v>1499</v>
      </c>
      <c r="F11" t="n">
        <v>2</v>
      </c>
      <c r="G11" t="inlineStr">
        <is>
          <t>Mountain</t>
        </is>
      </c>
      <c r="H11" t="n">
        <v>73</v>
      </c>
      <c r="I11" s="167" t="n">
        <v>91</v>
      </c>
      <c r="J11" t="n">
        <v>73</v>
      </c>
    </row>
    <row r="12">
      <c r="A12" t="inlineStr">
        <is>
          <t>Spoke'd Speed</t>
        </is>
      </c>
      <c r="B12" t="inlineStr">
        <is>
          <t>Spoke'd Up</t>
        </is>
      </c>
      <c r="C12" t="n">
        <v>1499</v>
      </c>
      <c r="D12" t="n">
        <v>0</v>
      </c>
      <c r="E12" t="n">
        <v>1499</v>
      </c>
      <c r="F12" t="n">
        <v>2</v>
      </c>
      <c r="G12" t="inlineStr">
        <is>
          <t>Speed</t>
        </is>
      </c>
      <c r="H12" t="n">
        <v>75</v>
      </c>
      <c r="I12" s="159" t="n">
        <v>100</v>
      </c>
      <c r="J12" t="n">
        <v>73</v>
      </c>
    </row>
    <row r="13">
      <c r="A13" s="171" t="inlineStr">
        <is>
          <t>Swift Bike</t>
        </is>
      </c>
      <c r="B13" s="171" t="inlineStr">
        <is>
          <t>WeBike</t>
        </is>
      </c>
      <c r="C13" s="171" t="n">
        <v>1450</v>
      </c>
      <c r="D13" s="171" t="n">
        <v>0</v>
      </c>
      <c r="E13" s="171" t="n">
        <v>1450</v>
      </c>
      <c r="F13" s="171" t="n">
        <v>2</v>
      </c>
      <c r="G13" s="171" t="inlineStr">
        <is>
          <t>Speed</t>
        </is>
      </c>
      <c r="H13" s="171" t="n">
        <v>72</v>
      </c>
      <c r="I13" s="172" t="n">
        <v>100</v>
      </c>
      <c r="J13" s="171" t="n">
        <v>76</v>
      </c>
    </row>
    <row r="14">
      <c r="A14" t="inlineStr">
        <is>
          <t>Skim MILC MKII</t>
        </is>
      </c>
      <c r="B14" t="inlineStr">
        <is>
          <t>MILC Bikes</t>
        </is>
      </c>
      <c r="C14" t="n">
        <v>1450</v>
      </c>
      <c r="D14" t="n">
        <v>0</v>
      </c>
      <c r="E14" t="n">
        <v>1450</v>
      </c>
      <c r="F14" t="n">
        <v>2</v>
      </c>
      <c r="G14" t="inlineStr">
        <is>
          <t>Speed</t>
        </is>
      </c>
      <c r="H14" t="n">
        <v>76</v>
      </c>
      <c r="I14" s="159" t="n">
        <v>100</v>
      </c>
      <c r="J14" t="n">
        <v>76</v>
      </c>
    </row>
    <row r="15">
      <c r="A15" s="171" t="inlineStr">
        <is>
          <t>Hike Bike</t>
        </is>
      </c>
      <c r="B15" s="171" t="inlineStr">
        <is>
          <t>WeBike</t>
        </is>
      </c>
      <c r="C15" s="171" t="n">
        <v>1365</v>
      </c>
      <c r="D15" s="171" t="n">
        <v>0</v>
      </c>
      <c r="E15" s="171" t="n">
        <v>1365</v>
      </c>
      <c r="F15" s="171" t="n">
        <v>1</v>
      </c>
      <c r="G15" s="171" t="inlineStr">
        <is>
          <t>Mountain</t>
        </is>
      </c>
      <c r="H15" s="171" t="n">
        <v>73</v>
      </c>
      <c r="I15" s="172" t="n">
        <v>100</v>
      </c>
      <c r="J15" s="171" t="n">
        <v>81</v>
      </c>
    </row>
    <row r="16">
      <c r="A16" t="inlineStr">
        <is>
          <t>Blu Ruged Ballz</t>
        </is>
      </c>
      <c r="B16" t="inlineStr">
        <is>
          <t>BB LLC</t>
        </is>
      </c>
      <c r="C16" t="n">
        <v>1365</v>
      </c>
      <c r="D16" t="n">
        <v>0</v>
      </c>
      <c r="E16" t="n">
        <v>1365</v>
      </c>
      <c r="F16" t="n">
        <v>1</v>
      </c>
      <c r="G16" t="inlineStr">
        <is>
          <t>Mountain</t>
        </is>
      </c>
      <c r="H16" t="n">
        <v>73</v>
      </c>
      <c r="I16" s="159" t="n">
        <v>100</v>
      </c>
      <c r="J16" t="n">
        <v>81</v>
      </c>
    </row>
    <row r="17">
      <c r="A17" t="inlineStr">
        <is>
          <t>Blu Tail Ballz</t>
        </is>
      </c>
      <c r="B17" t="inlineStr">
        <is>
          <t>BB LLC</t>
        </is>
      </c>
      <c r="C17" t="n">
        <v>1365</v>
      </c>
      <c r="D17" t="n">
        <v>0</v>
      </c>
      <c r="E17" t="n">
        <v>1365</v>
      </c>
      <c r="F17" t="n">
        <v>4</v>
      </c>
      <c r="G17" t="inlineStr">
        <is>
          <t>Mountain</t>
        </is>
      </c>
      <c r="H17" t="n">
        <v>70</v>
      </c>
      <c r="I17" s="159" t="n">
        <v>100</v>
      </c>
      <c r="J17" t="n">
        <v>81</v>
      </c>
    </row>
    <row r="18">
      <c r="A18" t="inlineStr">
        <is>
          <t>TERRAMean</t>
        </is>
      </c>
      <c r="B18" t="inlineStr">
        <is>
          <t>Bike Bros</t>
        </is>
      </c>
      <c r="C18" t="n">
        <v>1349</v>
      </c>
      <c r="D18" t="n">
        <v>0</v>
      </c>
      <c r="E18" t="n">
        <v>1349</v>
      </c>
      <c r="F18" t="n">
        <v>4</v>
      </c>
      <c r="G18" t="inlineStr">
        <is>
          <t>Mountain</t>
        </is>
      </c>
      <c r="H18" t="n">
        <v>72</v>
      </c>
      <c r="I18" s="159" t="n">
        <v>100</v>
      </c>
      <c r="J18" t="n">
        <v>82</v>
      </c>
    </row>
    <row r="19">
      <c r="A19" t="inlineStr">
        <is>
          <t>LiteSpeed+</t>
        </is>
      </c>
      <c r="B19" t="inlineStr">
        <is>
          <t>LiteCycle</t>
        </is>
      </c>
      <c r="C19" t="n">
        <v>1325</v>
      </c>
      <c r="D19" t="n">
        <v>0</v>
      </c>
      <c r="E19" t="n">
        <v>1325</v>
      </c>
      <c r="F19" t="n">
        <v>2</v>
      </c>
      <c r="G19" t="inlineStr">
        <is>
          <t>Speed</t>
        </is>
      </c>
      <c r="H19" t="n">
        <v>74</v>
      </c>
      <c r="I19" s="159" t="n">
        <v>100</v>
      </c>
      <c r="J19" t="n">
        <v>83</v>
      </c>
    </row>
    <row r="20">
      <c r="A20" t="inlineStr">
        <is>
          <t>LiteTrail Pro</t>
        </is>
      </c>
      <c r="B20" t="inlineStr">
        <is>
          <t>LiteCycle</t>
        </is>
      </c>
      <c r="C20" t="n">
        <v>1300</v>
      </c>
      <c r="D20" t="n">
        <v>0</v>
      </c>
      <c r="E20" t="n">
        <v>1300</v>
      </c>
      <c r="F20" t="n">
        <v>3</v>
      </c>
      <c r="G20" t="inlineStr">
        <is>
          <t>Mountain</t>
        </is>
      </c>
      <c r="H20" t="n">
        <v>70</v>
      </c>
      <c r="I20" s="159" t="n">
        <v>100</v>
      </c>
      <c r="J20" t="n">
        <v>85</v>
      </c>
    </row>
    <row r="21">
      <c r="A21" t="inlineStr">
        <is>
          <t>MountainCruise1</t>
        </is>
      </c>
      <c r="B21" t="inlineStr">
        <is>
          <t>Bike Bros</t>
        </is>
      </c>
      <c r="C21" t="n">
        <v>1199</v>
      </c>
      <c r="D21" t="n">
        <v>0</v>
      </c>
      <c r="E21" t="n">
        <v>1199</v>
      </c>
      <c r="F21" t="n">
        <v>5</v>
      </c>
      <c r="G21" t="inlineStr">
        <is>
          <t>Recreation</t>
        </is>
      </c>
      <c r="H21" t="n">
        <v>76</v>
      </c>
      <c r="I21" s="167" t="n">
        <v>92</v>
      </c>
      <c r="J21" t="n">
        <v>92</v>
      </c>
    </row>
    <row r="22">
      <c r="A22" t="inlineStr">
        <is>
          <t>Mars Rover</t>
        </is>
      </c>
      <c r="B22" t="inlineStr">
        <is>
          <t>SpaceBikes</t>
        </is>
      </c>
      <c r="C22" t="n">
        <v>1100</v>
      </c>
      <c r="D22" t="n">
        <v>50</v>
      </c>
      <c r="E22" t="n">
        <v>1050</v>
      </c>
      <c r="F22" t="n">
        <v>2</v>
      </c>
      <c r="G22" t="inlineStr">
        <is>
          <t>Recreation</t>
        </is>
      </c>
      <c r="H22" t="n">
        <v>73</v>
      </c>
      <c r="I22" s="159" t="n">
        <v>100</v>
      </c>
      <c r="J22" t="n">
        <v>100</v>
      </c>
    </row>
    <row r="23">
      <c r="A23" t="inlineStr">
        <is>
          <t>Spoke'd Easy</t>
        </is>
      </c>
      <c r="B23" t="inlineStr">
        <is>
          <t>Spoke'd Up</t>
        </is>
      </c>
      <c r="C23" t="n">
        <v>999</v>
      </c>
      <c r="D23" t="n">
        <v>0</v>
      </c>
      <c r="E23" t="n">
        <v>999</v>
      </c>
      <c r="F23" t="n">
        <v>1</v>
      </c>
      <c r="G23" t="inlineStr">
        <is>
          <t>Recreation</t>
        </is>
      </c>
      <c r="H23" t="n">
        <v>73</v>
      </c>
      <c r="I23" s="159" t="n">
        <v>100</v>
      </c>
      <c r="J23" t="n">
        <v>100</v>
      </c>
    </row>
    <row r="24">
      <c r="A24" t="inlineStr">
        <is>
          <t>Whole MILC MKII</t>
        </is>
      </c>
      <c r="B24" t="inlineStr">
        <is>
          <t>MILC Bikes</t>
        </is>
      </c>
      <c r="C24" t="n">
        <v>1050</v>
      </c>
      <c r="D24" t="n">
        <v>100</v>
      </c>
      <c r="E24" t="n">
        <v>950</v>
      </c>
      <c r="F24" t="n">
        <v>1</v>
      </c>
      <c r="G24" t="inlineStr">
        <is>
          <t>Recreation</t>
        </is>
      </c>
      <c r="H24" t="n">
        <v>74</v>
      </c>
      <c r="I24" s="159" t="n">
        <v>100</v>
      </c>
      <c r="J24" t="n">
        <v>100</v>
      </c>
    </row>
    <row r="27">
      <c r="A27" s="166" t="inlineStr">
        <is>
          <t>TIER VALIDATION — inferred tier vs actual net price</t>
        </is>
      </c>
      <c r="B27" s="166" t="inlineStr">
        <is>
          <t>Net price range</t>
        </is>
      </c>
      <c r="C27" s="166" t="inlineStr">
        <is>
          <t>Spread</t>
        </is>
      </c>
      <c r="D27" s="166" t="inlineStr">
        <is>
          <t>Brands</t>
        </is>
      </c>
    </row>
    <row r="28">
      <c r="A28" t="inlineStr">
        <is>
          <t>tier 100</t>
        </is>
      </c>
      <c r="B28" t="inlineStr">
        <is>
          <t>950 - 1,050</t>
        </is>
      </c>
      <c r="C28" t="n">
        <v>100</v>
      </c>
      <c r="D28" s="170" t="inlineStr">
        <is>
          <t>Spoke'd Easy, Mars Rover, Whole MILC MKII</t>
        </is>
      </c>
    </row>
    <row r="29">
      <c r="A29" t="inlineStr">
        <is>
          <t>tier 92</t>
        </is>
      </c>
      <c r="B29" t="inlineStr">
        <is>
          <t>1,199 - 1,199</t>
        </is>
      </c>
      <c r="C29" t="n">
        <v>0</v>
      </c>
      <c r="D29" s="170" t="inlineStr">
        <is>
          <t>MountainCruise1</t>
        </is>
      </c>
    </row>
    <row r="30">
      <c r="A30" t="inlineStr">
        <is>
          <t>tier 85</t>
        </is>
      </c>
      <c r="B30" t="inlineStr">
        <is>
          <t>1,300 - 1,300</t>
        </is>
      </c>
      <c r="C30" t="n">
        <v>0</v>
      </c>
      <c r="D30" s="170" t="inlineStr">
        <is>
          <t>LiteTrail Pro</t>
        </is>
      </c>
    </row>
    <row r="31">
      <c r="A31" t="inlineStr">
        <is>
          <t>tier 83</t>
        </is>
      </c>
      <c r="B31" t="inlineStr">
        <is>
          <t>1,325 - 1,325</t>
        </is>
      </c>
      <c r="C31" t="n">
        <v>0</v>
      </c>
      <c r="D31" s="170" t="inlineStr">
        <is>
          <t>LiteSpeed+</t>
        </is>
      </c>
    </row>
    <row r="32">
      <c r="A32" t="inlineStr">
        <is>
          <t>tier 82</t>
        </is>
      </c>
      <c r="B32" t="inlineStr">
        <is>
          <t>1,349 - 1,349</t>
        </is>
      </c>
      <c r="C32" t="n">
        <v>0</v>
      </c>
      <c r="D32" s="170" t="inlineStr">
        <is>
          <t>TERRAMean</t>
        </is>
      </c>
    </row>
    <row r="33">
      <c r="A33" t="inlineStr">
        <is>
          <t>tier 81</t>
        </is>
      </c>
      <c r="B33" t="inlineStr">
        <is>
          <t>1,365 - 1,365</t>
        </is>
      </c>
      <c r="C33" t="n">
        <v>0</v>
      </c>
      <c r="D33" s="170" t="inlineStr">
        <is>
          <t>Hike Bike, Blu Ruged Ballz, Blu Tail Ballz</t>
        </is>
      </c>
    </row>
    <row r="34">
      <c r="A34" t="inlineStr">
        <is>
          <t>tier 76</t>
        </is>
      </c>
      <c r="B34" t="inlineStr">
        <is>
          <t>1,450 - 1,450</t>
        </is>
      </c>
      <c r="C34" t="n">
        <v>0</v>
      </c>
      <c r="D34" s="170" t="inlineStr">
        <is>
          <t>Swift Bike, Skim MILC MKII</t>
        </is>
      </c>
    </row>
    <row r="35">
      <c r="A35" t="inlineStr">
        <is>
          <t>tier 73</t>
        </is>
      </c>
      <c r="B35" t="inlineStr">
        <is>
          <t>1,499 - 1,515</t>
        </is>
      </c>
      <c r="C35" t="n">
        <v>16</v>
      </c>
      <c r="D35" s="170" t="inlineStr">
        <is>
          <t>TERRAMAX, LiteSpeed Pro+, Spoke'd Speed</t>
        </is>
      </c>
    </row>
    <row r="36">
      <c r="A36" t="inlineStr">
        <is>
          <t>tier 70</t>
        </is>
      </c>
      <c r="B36" t="inlineStr">
        <is>
          <t>1,579 - 1,580</t>
        </is>
      </c>
      <c r="C36" t="n">
        <v>1</v>
      </c>
      <c r="D36" s="170" t="inlineStr">
        <is>
          <t>Mach 0.6, Blu Aero Ballz, Blu Tube Ballz, The Armstrong</t>
        </is>
      </c>
    </row>
    <row r="37">
      <c r="A37" t="inlineStr">
        <is>
          <t>tier 63</t>
        </is>
      </c>
      <c r="B37" t="inlineStr">
        <is>
          <t>1,749 - 1,749</t>
        </is>
      </c>
      <c r="C37" t="n">
        <v>0</v>
      </c>
      <c r="D37" s="170" t="inlineStr">
        <is>
          <t>MACH I.I</t>
        </is>
      </c>
    </row>
    <row r="38">
      <c r="A38" t="inlineStr">
        <is>
          <t>Result</t>
        </is>
      </c>
      <c r="D38" s="181" t="inlineStr">
        <is>
          <t>Perfectly monotonic. Identical price judgment DID mean identical price in every case. Our earlier $1,595 estimate for tier 70 came in at $1,580 - off by $15 (0.9%).</t>
        </is>
      </c>
    </row>
    <row r="41">
      <c r="A41" s="166" t="inlineStr">
        <is>
          <t>SPEED PRICE LADDER — we are nearly the cheapest</t>
        </is>
      </c>
      <c r="B41" s="166" t="inlineStr">
        <is>
          <t>Price</t>
        </is>
      </c>
      <c r="C41" s="166" t="inlineStr">
        <is>
          <t>Brand judgment</t>
        </is>
      </c>
      <c r="D41" s="166" t="inlineStr">
        <is>
          <t>Price judgment</t>
        </is>
      </c>
      <c r="E41" s="166" t="inlineStr">
        <is>
          <t>Note</t>
        </is>
      </c>
    </row>
    <row r="42">
      <c r="A42" t="inlineStr">
        <is>
          <t>MACH I.I</t>
        </is>
      </c>
      <c r="B42" t="n">
        <v>1749</v>
      </c>
      <c r="C42" t="n">
        <v>77</v>
      </c>
      <c r="D42" t="n">
        <v>90</v>
      </c>
      <c r="E42" s="170" t="inlineStr">
        <is>
          <t>only Speed brand with price resistance</t>
        </is>
      </c>
    </row>
    <row r="43">
      <c r="A43" t="inlineStr">
        <is>
          <t>Blu Aero Ballz</t>
        </is>
      </c>
      <c r="B43" t="n">
        <v>1580</v>
      </c>
      <c r="C43" t="n">
        <v>74</v>
      </c>
      <c r="D43" t="n">
        <v>100</v>
      </c>
      <c r="E43" s="170" t="inlineStr">
        <is>
          <t>highest price with ZERO resistance</t>
        </is>
      </c>
    </row>
    <row r="44">
      <c r="A44" t="inlineStr">
        <is>
          <t>Blu Tube Ballz</t>
        </is>
      </c>
      <c r="B44" t="n">
        <v>1580</v>
      </c>
      <c r="C44" t="n">
        <v>76</v>
      </c>
      <c r="D44" t="n">
        <v>100</v>
      </c>
      <c r="E44" s="170" t="inlineStr">
        <is>
          <t>highest price with ZERO resistance</t>
        </is>
      </c>
    </row>
    <row r="45">
      <c r="A45" t="inlineStr">
        <is>
          <t>The Armstrong</t>
        </is>
      </c>
      <c r="B45" t="n">
        <v>1580</v>
      </c>
      <c r="C45" t="n">
        <v>76</v>
      </c>
      <c r="D45" t="n">
        <v>100</v>
      </c>
      <c r="E45" s="170" t="inlineStr">
        <is>
          <t>highest price with ZERO resistance</t>
        </is>
      </c>
    </row>
    <row r="46">
      <c r="A46" t="inlineStr">
        <is>
          <t>Mach 0.6</t>
        </is>
      </c>
      <c r="B46" t="n">
        <v>1579</v>
      </c>
      <c r="C46" t="n">
        <v>61</v>
      </c>
      <c r="D46" t="n">
        <v>100</v>
      </c>
      <c r="E46" s="170" t="inlineStr"/>
    </row>
    <row r="47">
      <c r="A47" t="inlineStr">
        <is>
          <t>LiteSpeed Pro+</t>
        </is>
      </c>
      <c r="B47" t="n">
        <v>1515</v>
      </c>
      <c r="C47" t="n">
        <v>77</v>
      </c>
      <c r="D47" t="n">
        <v>100</v>
      </c>
      <c r="E47" s="170" t="inlineStr"/>
    </row>
    <row r="48">
      <c r="A48" t="inlineStr">
        <is>
          <t>Spoke'd Speed</t>
        </is>
      </c>
      <c r="B48" t="n">
        <v>1499</v>
      </c>
      <c r="C48" t="n">
        <v>75</v>
      </c>
      <c r="D48" t="n">
        <v>100</v>
      </c>
      <c r="E48" s="170" t="inlineStr"/>
    </row>
    <row r="49">
      <c r="A49" s="171" t="inlineStr">
        <is>
          <t>Swift Bike</t>
        </is>
      </c>
      <c r="B49" s="171" t="n">
        <v>1450</v>
      </c>
      <c r="C49" s="171" t="n">
        <v>72</v>
      </c>
      <c r="D49" s="171" t="n">
        <v>100</v>
      </c>
      <c r="E49" s="194" t="inlineStr">
        <is>
          <t>OURS - 2nd cheapest, 2nd worst product</t>
        </is>
      </c>
    </row>
    <row r="50">
      <c r="A50" t="inlineStr">
        <is>
          <t>Skim MILC MKII</t>
        </is>
      </c>
      <c r="B50" t="n">
        <v>1450</v>
      </c>
      <c r="C50" t="n">
        <v>76</v>
      </c>
      <c r="D50" t="n">
        <v>100</v>
      </c>
      <c r="E50" s="170" t="inlineStr"/>
    </row>
    <row r="51">
      <c r="A51" t="inlineStr">
        <is>
          <t>LiteSpeed+</t>
        </is>
      </c>
      <c r="B51" t="n">
        <v>1325</v>
      </c>
      <c r="C51" t="n">
        <v>74</v>
      </c>
      <c r="D51" t="n">
        <v>100</v>
      </c>
      <c r="E51" s="170" t="inlineStr"/>
    </row>
    <row r="54">
      <c r="A54" s="166" t="inlineStr">
        <is>
          <t>SWIFT BIKE PRICE MOVE — now precise</t>
        </is>
      </c>
      <c r="B54" s="166" t="inlineStr">
        <is>
          <t>Value</t>
        </is>
      </c>
      <c r="C54" s="166" t="inlineStr">
        <is>
          <t>Note</t>
        </is>
      </c>
    </row>
    <row r="55">
      <c r="A55" t="inlineStr">
        <is>
          <t>Current price</t>
        </is>
      </c>
      <c r="B55" t="n">
        <v>1450</v>
      </c>
      <c r="C55" s="170" t="inlineStr">
        <is>
          <t>2nd cheapest of 10 Speed brands</t>
        </is>
      </c>
    </row>
    <row r="56">
      <c r="A56" t="inlineStr">
        <is>
          <t>Speed median price</t>
        </is>
      </c>
      <c r="B56" t="n">
        <v>1547</v>
      </c>
      <c r="C56" s="170" t="inlineStr">
        <is>
          <t>we sit $97 below the median</t>
        </is>
      </c>
    </row>
    <row r="57">
      <c r="A57" t="inlineStr">
        <is>
          <t>Highest price with ZERO Speed resistance</t>
        </is>
      </c>
      <c r="B57" s="159" t="n">
        <v>1580</v>
      </c>
      <c r="C57" s="170" t="inlineStr">
        <is>
          <t>Mach 0.6, Blu Aero, Blu Tube, The Armstrong</t>
        </is>
      </c>
    </row>
    <row r="58">
      <c r="A58" t="inlineStr">
        <is>
          <t>First price WITH resistance</t>
        </is>
      </c>
      <c r="B58" t="n">
        <v>1749</v>
      </c>
      <c r="C58" s="170" t="inlineStr">
        <is>
          <t>MACH I.I, judgment 90</t>
        </is>
      </c>
    </row>
    <row r="59">
      <c r="A59" t="inlineStr">
        <is>
          <t>Safe increase</t>
        </is>
      </c>
      <c r="B59" s="159">
        <f>C57-C55</f>
        <v/>
      </c>
      <c r="C59" s="170" t="inlineStr">
        <is>
          <t>proven safe by four rival brands</t>
        </is>
      </c>
    </row>
    <row r="60">
      <c r="A60" t="inlineStr">
        <is>
          <t>On Q3 volume (215 units)</t>
        </is>
      </c>
      <c r="B60" s="159">
        <f>C59*215</f>
        <v/>
      </c>
      <c r="C60" s="170" t="inlineStr">
        <is>
          <t>pure margin, no cost change</t>
        </is>
      </c>
    </row>
    <row r="61">
      <c r="A61" t="inlineStr">
        <is>
          <t>On a rebuilt Speed volume (400 units)</t>
        </is>
      </c>
      <c r="B61" s="159">
        <f>C59*400</f>
        <v/>
      </c>
      <c r="C61" s="170" t="n"/>
    </row>
    <row r="62">
      <c r="A62" t="inlineStr">
        <is>
          <t>Untested zone</t>
        </is>
      </c>
      <c r="B62" t="inlineStr">
        <is>
          <t>1,581 - 1,748</t>
        </is>
      </c>
      <c r="C62" s="170" t="inlineStr">
        <is>
          <t>nobody prices here, so resistance onset is unknown. $1,580 is the evidence-backed target.</t>
        </is>
      </c>
    </row>
    <row r="65">
      <c r="A65" s="166" t="inlineStr">
        <is>
          <t>HIKE BIKE — confirmed at the Mountain ceiling</t>
        </is>
      </c>
      <c r="B65" s="166" t="inlineStr">
        <is>
          <t>Price</t>
        </is>
      </c>
      <c r="C65" s="166" t="inlineStr">
        <is>
          <t>Mountain price judgment</t>
        </is>
      </c>
    </row>
    <row r="66">
      <c r="A66" t="inlineStr">
        <is>
          <t>LiteTrail Pro</t>
        </is>
      </c>
      <c r="B66" t="n">
        <v>1300</v>
      </c>
      <c r="C66" s="170" t="n">
        <v>100</v>
      </c>
    </row>
    <row r="67">
      <c r="A67" t="inlineStr">
        <is>
          <t>LiteSpeed+ (Speed brand)</t>
        </is>
      </c>
      <c r="B67" t="n">
        <v>1325</v>
      </c>
      <c r="C67" s="170" t="n">
        <v>100</v>
      </c>
    </row>
    <row r="68">
      <c r="A68" t="inlineStr">
        <is>
          <t>TERRAMean</t>
        </is>
      </c>
      <c r="B68" t="n">
        <v>1349</v>
      </c>
      <c r="C68" s="170" t="n">
        <v>100</v>
      </c>
    </row>
    <row r="69">
      <c r="A69" t="inlineStr">
        <is>
          <t>Hike Bike / Blu Ruged Ballz / Blu Tail Ballz</t>
        </is>
      </c>
      <c r="B69" s="159" t="n">
        <v>1365</v>
      </c>
      <c r="C69" s="181" t="n">
        <v>100</v>
      </c>
    </row>
    <row r="70">
      <c r="A70" t="inlineStr">
        <is>
          <t>Swift Bike / Skim MILC (tier above)</t>
        </is>
      </c>
      <c r="B70" t="n">
        <v>1450</v>
      </c>
      <c r="C70" s="185" t="n">
        <v>94</v>
      </c>
    </row>
    <row r="71">
      <c r="A71" t="inlineStr">
        <is>
          <t>TERRAMAX</t>
        </is>
      </c>
      <c r="B71" t="n">
        <v>1499</v>
      </c>
      <c r="C71" s="170" t="n">
        <v>91</v>
      </c>
    </row>
    <row r="72">
      <c r="A72" t="inlineStr">
        <is>
          <t>Read</t>
        </is>
      </c>
      <c r="C72" s="170" t="inlineStr">
        <is>
          <t>Mountain resistance begins somewhere between $1,365 and $1,450. We sit at the top of the clean band. HOLD $1,365 - the $85 of untested space is not worth risking a judgment drop.</t>
        </is>
      </c>
    </row>
    <row r="75">
      <c r="A75" s="166" t="inlineStr">
        <is>
          <t>CONTRIBUTION PER UNIT — matters now that capacity binds</t>
        </is>
      </c>
      <c r="B75" s="166" t="inlineStr">
        <is>
          <t>Price</t>
        </is>
      </c>
      <c r="C75" s="166" t="inlineStr">
        <is>
          <t>Q3 unit cost</t>
        </is>
      </c>
      <c r="D75" s="166" t="inlineStr">
        <is>
          <t>Contribution</t>
        </is>
      </c>
    </row>
    <row r="76">
      <c r="A76" t="inlineStr">
        <is>
          <t>Hike Bike</t>
        </is>
      </c>
      <c r="B76" t="n">
        <v>1365</v>
      </c>
      <c r="C76" t="n">
        <v>618</v>
      </c>
      <c r="D76" s="170">
        <f>B76-C76</f>
        <v/>
      </c>
    </row>
    <row r="77">
      <c r="A77" t="inlineStr">
        <is>
          <t>Swift Bike (today)</t>
        </is>
      </c>
      <c r="B77" t="n">
        <v>1450</v>
      </c>
      <c r="C77" t="n">
        <v>694</v>
      </c>
      <c r="D77" s="170">
        <f>B77-C77</f>
        <v/>
      </c>
    </row>
    <row r="78">
      <c r="A78" t="inlineStr">
        <is>
          <t>Swift Bike at $1,580</t>
        </is>
      </c>
      <c r="B78" t="n">
        <v>1580</v>
      </c>
      <c r="C78" t="n">
        <v>694</v>
      </c>
      <c r="D78" s="181">
        <f>B78-C78</f>
        <v/>
      </c>
    </row>
    <row r="79">
      <c r="A79" t="inlineStr">
        <is>
          <t>Swift Bike at $1,580 with 14-speed gears</t>
        </is>
      </c>
      <c r="B79" t="n">
        <v>1580</v>
      </c>
      <c r="C79" t="inlineStr">
        <is>
          <t>lower</t>
        </is>
      </c>
      <c r="D79" s="170" t="inlineStr">
        <is>
          <t>higher still</t>
        </is>
      </c>
    </row>
    <row r="80">
      <c r="A80" t="inlineStr">
        <is>
          <t>Read</t>
        </is>
      </c>
      <c r="D80" s="174" t="inlineStr">
        <is>
          <t>At $1,580 Swift Bike becomes our MOST profitable unit ($886 vs Hike Bike's $747). Switching it to 14-speed (the design fix) should cut its cost too, widening the gap further.</t>
        </is>
      </c>
    </row>
    <row r="83">
      <c r="A83" s="166" t="inlineStr">
        <is>
          <t>PRIORITY FIELD — a lever we have not thought about</t>
        </is>
      </c>
      <c r="B83" s="166" t="inlineStr">
        <is>
          <t>Value</t>
        </is>
      </c>
      <c r="C83" s="166" t="inlineStr">
        <is>
          <t>Note</t>
        </is>
      </c>
    </row>
    <row r="84">
      <c r="A84" t="inlineStr">
        <is>
          <t>Our priority order</t>
        </is>
      </c>
      <c r="B84" t="inlineStr">
        <is>
          <t>1 Hike Bike, 2 Swift Bike</t>
        </is>
      </c>
      <c r="C84" s="170" t="n"/>
    </row>
    <row r="85">
      <c r="A85" t="inlineStr">
        <is>
          <t>Q3 stock-out by brand</t>
        </is>
      </c>
      <c r="B85" t="inlineStr">
        <is>
          <t>Hike Bike 134/412 = 32.5%</t>
        </is>
      </c>
      <c r="C85" s="170" t="inlineStr">
        <is>
          <t>Swift Bike 70/215 = 32.6%</t>
        </is>
      </c>
    </row>
    <row r="86">
      <c r="A86" t="inlineStr">
        <is>
          <t>Observation</t>
        </is>
      </c>
      <c r="C86" s="170" t="inlineStr">
        <is>
          <t>Both brands lost almost exactly the same percentage, so priority 1 did NOT shield Hike Bike in Q3. Treat the mechanism as unverified.</t>
        </is>
      </c>
    </row>
    <row r="87">
      <c r="A87" t="inlineStr">
        <is>
          <t>Why it matters in Q4</t>
        </is>
      </c>
      <c r="C87" s="174" t="inlineStr">
        <is>
          <t>Capacity is now binding (see Q4_Planner). If we cannot build all demand, the priority order decides the mix. After the price rise, Swift Bike earns $886/unit vs Hike Bike's $747 - so a pure margin view argues for promoting Swift Bike.</t>
        </is>
      </c>
    </row>
    <row r="88">
      <c r="A88" t="inlineStr">
        <is>
          <t>Counter-argument</t>
        </is>
      </c>
      <c r="C88" s="174" t="inlineStr">
        <is>
          <t>Mountain is our PRIMARY segment for the Balanced Scorecard's Market Performance, and we hold 22.1% there vs 7.5% in Speed. Starving Hike Bike would hurt the scorecard even if it helps the income statement. Decide deliberately - do not leave it on default.</t>
        </is>
      </c>
    </row>
    <row r="89">
      <c r="A89" t="inlineStr">
        <is>
          <t>Rebates</t>
        </is>
      </c>
      <c r="B89" t="inlineStr">
        <is>
          <t>we use 0</t>
        </is>
      </c>
      <c r="C89" s="170" t="inlineStr">
        <is>
          <t>Only the two Recreation leaders rebate: Mars Rover $50, Whole MILC $100. Rebates appear to be a Recreation/price-sensitive tool - no reason for us to start.</t>
        </is>
      </c>
    </row>
    <row r="92">
      <c r="A92" s="166" t="inlineStr">
        <is>
          <t>HOW RIVALS PRICE BY SEGMENT — the pattern to copy</t>
        </is>
      </c>
      <c r="B92" s="166" t="inlineStr">
        <is>
          <t>Mountain</t>
        </is>
      </c>
      <c r="C92" s="166" t="inlineStr">
        <is>
          <t>Speed</t>
        </is>
      </c>
      <c r="D92" s="166" t="inlineStr">
        <is>
          <t>Recreation</t>
        </is>
      </c>
    </row>
    <row r="93">
      <c r="A93" t="inlineStr">
        <is>
          <t>BB LLC</t>
        </is>
      </c>
      <c r="B93" t="inlineStr">
        <is>
          <t>$1,365</t>
        </is>
      </c>
      <c r="C93" t="inlineStr">
        <is>
          <t>$1,580</t>
        </is>
      </c>
      <c r="D93" s="170" t="inlineStr">
        <is>
          <t>n/a</t>
        </is>
      </c>
    </row>
    <row r="94">
      <c r="A94" t="inlineStr">
        <is>
          <t>SpaceBikes</t>
        </is>
      </c>
      <c r="B94" t="inlineStr">
        <is>
          <t>n/a</t>
        </is>
      </c>
      <c r="C94" t="inlineStr">
        <is>
          <t>$1,580</t>
        </is>
      </c>
      <c r="D94" s="170" t="inlineStr">
        <is>
          <t>$1,050 net</t>
        </is>
      </c>
    </row>
    <row r="95">
      <c r="A95" t="inlineStr">
        <is>
          <t>MILC Bikes</t>
        </is>
      </c>
      <c r="B95" t="inlineStr">
        <is>
          <t>n/a</t>
        </is>
      </c>
      <c r="C95" t="inlineStr">
        <is>
          <t>$1,450</t>
        </is>
      </c>
      <c r="D95" s="170" t="inlineStr">
        <is>
          <t>$950 net</t>
        </is>
      </c>
    </row>
    <row r="96">
      <c r="A96" t="inlineStr">
        <is>
          <t>LiteCycle</t>
        </is>
      </c>
      <c r="B96" t="inlineStr">
        <is>
          <t>$1,300</t>
        </is>
      </c>
      <c r="C96" t="inlineStr">
        <is>
          <t>$1,325 - $1,515</t>
        </is>
      </c>
      <c r="D96" s="170" t="inlineStr">
        <is>
          <t>n/a</t>
        </is>
      </c>
    </row>
    <row r="97">
      <c r="A97" t="inlineStr">
        <is>
          <t>Bike Bros</t>
        </is>
      </c>
      <c r="B97" t="inlineStr">
        <is>
          <t>$1,349 - $1,499</t>
        </is>
      </c>
      <c r="C97" t="inlineStr">
        <is>
          <t>$1,579 - $1,749</t>
        </is>
      </c>
      <c r="D97" s="170" t="inlineStr">
        <is>
          <t>$1,199</t>
        </is>
      </c>
    </row>
    <row r="98">
      <c r="A98" t="inlineStr">
        <is>
          <t>Spoke'd Up</t>
        </is>
      </c>
      <c r="B98" t="inlineStr">
        <is>
          <t>n/a</t>
        </is>
      </c>
      <c r="C98" t="inlineStr">
        <is>
          <t>$1,499</t>
        </is>
      </c>
      <c r="D98" s="170" t="inlineStr">
        <is>
          <t>$999</t>
        </is>
      </c>
    </row>
    <row r="99">
      <c r="A99" s="171" t="inlineStr">
        <is>
          <t>WeBike</t>
        </is>
      </c>
      <c r="B99" s="171" t="inlineStr">
        <is>
          <t>$1,365</t>
        </is>
      </c>
      <c r="C99" s="171" t="inlineStr">
        <is>
          <t>$1,450</t>
        </is>
      </c>
      <c r="D99" s="194" t="inlineStr">
        <is>
          <t>n/a</t>
        </is>
      </c>
    </row>
    <row r="100">
      <c r="A100" t="inlineStr">
        <is>
          <t>Read</t>
        </is>
      </c>
      <c r="D100" s="174" t="inlineStr">
        <is>
          <t>The strong firms price Speed $200+ above Mountain and Recreation far below. BB LLC is the cleanest example: identical Mountain price to ours, Speed $215 higher. We copied their Mountain price correctly and missed their Speed price entirely.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7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22" customWidth="1" style="146" min="2" max="2"/>
    <col width="18" customWidth="1" style="146" min="3" max="3"/>
    <col width="16" customWidth="1" style="146" min="4" max="4"/>
    <col width="16" customWidth="1" style="146" min="5" max="5"/>
    <col width="18" customWidth="1" style="146" min="6" max="6"/>
    <col width="22" customWidth="1" style="146" min="7" max="7"/>
    <col width="18" customWidth="1" style="146" min="8" max="8"/>
    <col width="18" customWidth="1" style="146" min="9" max="9"/>
    <col width="18" customWidth="1" style="146" min="10" max="10"/>
    <col width="18" customWidth="1" style="146" min="11" max="11"/>
    <col width="18" customWidth="1" style="146" min="12" max="12"/>
    <col width="18" customWidth="1" style="146" min="13" max="13"/>
  </cols>
  <sheetData>
    <row r="1">
      <c r="A1" s="169" t="inlineStr">
        <is>
          <t>Competitors' Profiles by city — Q3 actual (measured store vs web)</t>
        </is>
      </c>
    </row>
    <row r="2" ht="48" customHeight="1" s="146">
      <c r="A2" s="170" t="inlineStr">
        <is>
          <t>Source: Detailed report for city, all four cities. Totals reconcile to 6,559. WeBike 627 / 507 store / 120 web. Firm store+web vs Q3_Channel is ±1 rounding; city figures are the ground truth. Bike Bros is N/A outside Amsterdam.</t>
        </is>
      </c>
    </row>
    <row r="4">
      <c r="A4" s="166" t="inlineStr">
        <is>
          <t>Company</t>
        </is>
      </c>
      <c r="B4" s="166" t="inlineStr">
        <is>
          <t>City</t>
        </is>
      </c>
      <c r="C4" s="166" t="inlineStr">
        <is>
          <t>Total</t>
        </is>
      </c>
      <c r="D4" s="166" t="inlineStr">
        <is>
          <t>Store</t>
        </is>
      </c>
      <c r="E4" s="166" t="inlineStr">
        <is>
          <t>Web</t>
        </is>
      </c>
      <c r="F4" s="166" t="inlineStr">
        <is>
          <t>Brands</t>
        </is>
      </c>
      <c r="G4" s="166" t="inlineStr">
        <is>
          <t>Avg price</t>
        </is>
      </c>
      <c r="H4" s="166" t="inlineStr">
        <is>
          <t>Inserts</t>
        </is>
      </c>
      <c r="I4" s="166" t="inlineStr">
        <is>
          <t>Store people</t>
        </is>
      </c>
      <c r="J4" s="166" t="inlineStr">
        <is>
          <t>Demand / store person</t>
        </is>
      </c>
      <c r="K4" s="166" t="inlineStr">
        <is>
          <t>Web people</t>
        </is>
      </c>
      <c r="L4" s="166" t="inlineStr">
        <is>
          <t>Demand / web person</t>
        </is>
      </c>
    </row>
    <row r="5">
      <c r="A5" t="inlineStr">
        <is>
          <t>LiteCycle</t>
        </is>
      </c>
      <c r="B5" t="inlineStr">
        <is>
          <t>New York City</t>
        </is>
      </c>
      <c r="C5" t="n">
        <v>143</v>
      </c>
      <c r="D5" t="n">
        <v>0</v>
      </c>
      <c r="E5" t="n">
        <v>143</v>
      </c>
      <c r="F5" t="n">
        <v>3</v>
      </c>
      <c r="G5" t="n">
        <v>1380</v>
      </c>
      <c r="H5" t="n">
        <v>12</v>
      </c>
      <c r="K5" t="n">
        <v>7</v>
      </c>
      <c r="L5" t="n">
        <v>20</v>
      </c>
    </row>
    <row r="6">
      <c r="A6" s="171" t="inlineStr">
        <is>
          <t>WeBike</t>
        </is>
      </c>
      <c r="B6" s="171" t="inlineStr">
        <is>
          <t>New York City</t>
        </is>
      </c>
      <c r="C6" s="171" t="n">
        <v>38</v>
      </c>
      <c r="D6" s="171" t="n">
        <v>0</v>
      </c>
      <c r="E6" s="171" t="n">
        <v>38</v>
      </c>
      <c r="F6" s="171" t="n">
        <v>2</v>
      </c>
      <c r="G6" s="171" t="n">
        <v>1408</v>
      </c>
      <c r="H6" s="171" t="n">
        <v>19</v>
      </c>
      <c r="I6" s="171" t="n"/>
      <c r="J6" s="171" t="n"/>
      <c r="K6" s="171" t="n">
        <v>3</v>
      </c>
      <c r="L6" s="171" t="n">
        <v>13</v>
      </c>
    </row>
    <row r="7">
      <c r="A7" t="inlineStr">
        <is>
          <t>BB LLC</t>
        </is>
      </c>
      <c r="B7" t="inlineStr">
        <is>
          <t>New York City</t>
        </is>
      </c>
      <c r="C7" t="n">
        <v>752</v>
      </c>
      <c r="D7" t="n">
        <v>567</v>
      </c>
      <c r="E7" t="n">
        <v>185</v>
      </c>
      <c r="F7" t="n">
        <v>4</v>
      </c>
      <c r="G7" t="n">
        <v>1473</v>
      </c>
      <c r="H7" t="n">
        <v>24</v>
      </c>
      <c r="I7" t="n">
        <v>7</v>
      </c>
      <c r="J7" t="n">
        <v>81</v>
      </c>
      <c r="K7" t="n">
        <v>7</v>
      </c>
      <c r="L7" t="n">
        <v>26</v>
      </c>
    </row>
    <row r="8">
      <c r="A8" t="inlineStr">
        <is>
          <t>Spoke'd Up</t>
        </is>
      </c>
      <c r="B8" t="inlineStr">
        <is>
          <t>New York City</t>
        </is>
      </c>
      <c r="C8" t="n">
        <v>412</v>
      </c>
      <c r="D8" t="n">
        <v>371</v>
      </c>
      <c r="E8" t="n">
        <v>41</v>
      </c>
      <c r="F8" t="n">
        <v>2</v>
      </c>
      <c r="G8" t="n">
        <v>1249</v>
      </c>
      <c r="H8" t="n">
        <v>12</v>
      </c>
      <c r="I8" t="n">
        <v>5</v>
      </c>
      <c r="J8" t="n">
        <v>74</v>
      </c>
      <c r="K8" t="n">
        <v>3</v>
      </c>
      <c r="L8" t="n">
        <v>14</v>
      </c>
    </row>
    <row r="9">
      <c r="A9" t="inlineStr">
        <is>
          <t>SpaceBikes</t>
        </is>
      </c>
      <c r="B9" t="inlineStr">
        <is>
          <t>New York City</t>
        </is>
      </c>
      <c r="C9" t="n">
        <v>574</v>
      </c>
      <c r="D9" t="n">
        <v>435</v>
      </c>
      <c r="E9" t="n">
        <v>139</v>
      </c>
      <c r="F9" t="n">
        <v>2</v>
      </c>
      <c r="G9" t="n">
        <v>1340</v>
      </c>
      <c r="H9" t="n">
        <v>17</v>
      </c>
      <c r="I9" t="n">
        <v>7</v>
      </c>
      <c r="J9" t="n">
        <v>62</v>
      </c>
      <c r="K9" t="n">
        <v>7</v>
      </c>
      <c r="L9" t="n">
        <v>20</v>
      </c>
    </row>
    <row r="10">
      <c r="A10" t="inlineStr">
        <is>
          <t>MILC Bikes</t>
        </is>
      </c>
      <c r="B10" t="inlineStr">
        <is>
          <t>New York City</t>
        </is>
      </c>
      <c r="C10" t="n">
        <v>120</v>
      </c>
      <c r="D10" t="n">
        <v>0</v>
      </c>
      <c r="E10" t="n">
        <v>120</v>
      </c>
      <c r="F10" t="n">
        <v>2</v>
      </c>
      <c r="G10" t="n">
        <v>1250</v>
      </c>
      <c r="H10" t="n">
        <v>12</v>
      </c>
      <c r="K10" t="n">
        <v>7</v>
      </c>
      <c r="L10" t="n">
        <v>17</v>
      </c>
    </row>
    <row r="11">
      <c r="A11" t="inlineStr">
        <is>
          <t>LiteCycle</t>
        </is>
      </c>
      <c r="B11" t="inlineStr">
        <is>
          <t>Rio de Janeiro</t>
        </is>
      </c>
      <c r="C11" t="n">
        <v>106</v>
      </c>
      <c r="D11" t="n">
        <v>0</v>
      </c>
      <c r="E11" t="n">
        <v>106</v>
      </c>
      <c r="F11" t="n">
        <v>3</v>
      </c>
      <c r="G11" t="n">
        <v>1380</v>
      </c>
      <c r="H11" t="n">
        <v>12</v>
      </c>
      <c r="K11" t="n">
        <v>7</v>
      </c>
      <c r="L11" t="n">
        <v>15</v>
      </c>
    </row>
    <row r="12">
      <c r="A12" s="171" t="inlineStr">
        <is>
          <t>WeBike</t>
        </is>
      </c>
      <c r="B12" s="171" t="inlineStr">
        <is>
          <t>Rio de Janeiro</t>
        </is>
      </c>
      <c r="C12" s="171" t="n">
        <v>270</v>
      </c>
      <c r="D12" s="171" t="n">
        <v>240</v>
      </c>
      <c r="E12" s="171" t="n">
        <v>30</v>
      </c>
      <c r="F12" s="171" t="n">
        <v>2</v>
      </c>
      <c r="G12" s="171" t="n">
        <v>1408</v>
      </c>
      <c r="H12" s="171" t="n">
        <v>19</v>
      </c>
      <c r="I12" s="171" t="n">
        <v>4</v>
      </c>
      <c r="J12" s="171" t="n">
        <v>60</v>
      </c>
      <c r="K12" s="171" t="n">
        <v>3</v>
      </c>
      <c r="L12" s="171" t="n">
        <v>10</v>
      </c>
    </row>
    <row r="13">
      <c r="A13" t="inlineStr">
        <is>
          <t>BB LLC</t>
        </is>
      </c>
      <c r="B13" t="inlineStr">
        <is>
          <t>Rio de Janeiro</t>
        </is>
      </c>
      <c r="C13" t="n">
        <v>139</v>
      </c>
      <c r="D13" t="n">
        <v>0</v>
      </c>
      <c r="E13" t="n">
        <v>139</v>
      </c>
      <c r="F13" t="n">
        <v>4</v>
      </c>
      <c r="G13" t="n">
        <v>1473</v>
      </c>
      <c r="H13" t="n">
        <v>24</v>
      </c>
      <c r="K13" t="n">
        <v>7</v>
      </c>
      <c r="L13" t="n">
        <v>20</v>
      </c>
    </row>
    <row r="14">
      <c r="A14" t="inlineStr">
        <is>
          <t>Spoke'd Up</t>
        </is>
      </c>
      <c r="B14" t="inlineStr">
        <is>
          <t>Rio de Janeiro</t>
        </is>
      </c>
      <c r="C14" t="n">
        <v>32</v>
      </c>
      <c r="D14" t="n">
        <v>0</v>
      </c>
      <c r="E14" t="n">
        <v>32</v>
      </c>
      <c r="F14" t="n">
        <v>2</v>
      </c>
      <c r="G14" t="n">
        <v>1249</v>
      </c>
      <c r="H14" t="n">
        <v>12</v>
      </c>
      <c r="K14" t="n">
        <v>3</v>
      </c>
      <c r="L14" t="n">
        <v>11</v>
      </c>
    </row>
    <row r="15">
      <c r="A15" t="inlineStr">
        <is>
          <t>SpaceBikes</t>
        </is>
      </c>
      <c r="B15" t="inlineStr">
        <is>
          <t>Rio de Janeiro</t>
        </is>
      </c>
      <c r="C15" t="n">
        <v>120</v>
      </c>
      <c r="D15" t="n">
        <v>0</v>
      </c>
      <c r="E15" t="n">
        <v>120</v>
      </c>
      <c r="F15" t="n">
        <v>2</v>
      </c>
      <c r="G15" t="n">
        <v>1340</v>
      </c>
      <c r="H15" t="n">
        <v>17</v>
      </c>
      <c r="K15" t="n">
        <v>7</v>
      </c>
      <c r="L15" t="n">
        <v>17</v>
      </c>
    </row>
    <row r="16">
      <c r="A16" t="inlineStr">
        <is>
          <t>MILC Bikes</t>
        </is>
      </c>
      <c r="B16" t="inlineStr">
        <is>
          <t>Rio de Janeiro</t>
        </is>
      </c>
      <c r="C16" t="n">
        <v>107</v>
      </c>
      <c r="D16" t="n">
        <v>0</v>
      </c>
      <c r="E16" t="n">
        <v>107</v>
      </c>
      <c r="F16" t="n">
        <v>2</v>
      </c>
      <c r="G16" t="n">
        <v>1250</v>
      </c>
      <c r="H16" t="n">
        <v>12</v>
      </c>
      <c r="K16" t="n">
        <v>7</v>
      </c>
      <c r="L16" t="n">
        <v>15</v>
      </c>
    </row>
    <row r="17">
      <c r="A17" t="inlineStr">
        <is>
          <t>Bike Bros</t>
        </is>
      </c>
      <c r="B17" t="inlineStr">
        <is>
          <t>Amsterdam</t>
        </is>
      </c>
      <c r="C17" t="n">
        <v>490</v>
      </c>
      <c r="D17" t="n">
        <v>490</v>
      </c>
      <c r="E17" t="n">
        <v>0</v>
      </c>
      <c r="F17" t="n">
        <v>5</v>
      </c>
      <c r="G17" t="n">
        <v>1475</v>
      </c>
      <c r="H17" t="n">
        <v>10</v>
      </c>
      <c r="I17" t="n">
        <v>7</v>
      </c>
      <c r="J17" t="n">
        <v>70</v>
      </c>
    </row>
    <row r="18">
      <c r="A18" t="inlineStr">
        <is>
          <t>LiteCycle</t>
        </is>
      </c>
      <c r="B18" t="inlineStr">
        <is>
          <t>Amsterdam</t>
        </is>
      </c>
      <c r="C18" t="n">
        <v>365</v>
      </c>
      <c r="D18" t="n">
        <v>272</v>
      </c>
      <c r="E18" t="n">
        <v>93</v>
      </c>
      <c r="F18" t="n">
        <v>3</v>
      </c>
      <c r="G18" t="n">
        <v>1380</v>
      </c>
      <c r="H18" t="n">
        <v>12</v>
      </c>
      <c r="I18" t="n">
        <v>5</v>
      </c>
      <c r="J18" t="n">
        <v>54</v>
      </c>
      <c r="K18" t="n">
        <v>7</v>
      </c>
      <c r="L18" t="n">
        <v>13</v>
      </c>
    </row>
    <row r="19">
      <c r="A19" s="171" t="inlineStr">
        <is>
          <t>WeBike</t>
        </is>
      </c>
      <c r="B19" s="171" t="inlineStr">
        <is>
          <t>Amsterdam</t>
        </is>
      </c>
      <c r="C19" s="171" t="n">
        <v>295</v>
      </c>
      <c r="D19" s="171" t="n">
        <v>267</v>
      </c>
      <c r="E19" s="171" t="n">
        <v>28</v>
      </c>
      <c r="F19" s="171" t="n">
        <v>2</v>
      </c>
      <c r="G19" s="171" t="n">
        <v>1408</v>
      </c>
      <c r="H19" s="171" t="n">
        <v>19</v>
      </c>
      <c r="I19" s="171" t="n">
        <v>7</v>
      </c>
      <c r="J19" s="171" t="n">
        <v>38</v>
      </c>
      <c r="K19" s="171" t="n">
        <v>3</v>
      </c>
      <c r="L19" s="171" t="n">
        <v>9</v>
      </c>
    </row>
    <row r="20">
      <c r="A20" t="inlineStr">
        <is>
          <t>BB LLC</t>
        </is>
      </c>
      <c r="B20" t="inlineStr">
        <is>
          <t>Amsterdam</t>
        </is>
      </c>
      <c r="C20" t="n">
        <v>493</v>
      </c>
      <c r="D20" t="n">
        <v>372</v>
      </c>
      <c r="E20" t="n">
        <v>121</v>
      </c>
      <c r="F20" t="n">
        <v>4</v>
      </c>
      <c r="G20" t="n">
        <v>1473</v>
      </c>
      <c r="H20" t="n">
        <v>24</v>
      </c>
      <c r="I20" t="n">
        <v>7</v>
      </c>
      <c r="J20" t="n">
        <v>53</v>
      </c>
      <c r="K20" t="n">
        <v>7</v>
      </c>
      <c r="L20" t="n">
        <v>17</v>
      </c>
    </row>
    <row r="21">
      <c r="A21" t="inlineStr">
        <is>
          <t>Spoke'd Up</t>
        </is>
      </c>
      <c r="B21" t="inlineStr">
        <is>
          <t>Amsterdam</t>
        </is>
      </c>
      <c r="C21" t="n">
        <v>380</v>
      </c>
      <c r="D21" t="n">
        <v>344</v>
      </c>
      <c r="E21" t="n">
        <v>36</v>
      </c>
      <c r="F21" t="n">
        <v>2</v>
      </c>
      <c r="G21" t="n">
        <v>1249</v>
      </c>
      <c r="H21" t="n">
        <v>12</v>
      </c>
      <c r="I21" t="n">
        <v>6</v>
      </c>
      <c r="J21" t="n">
        <v>57</v>
      </c>
      <c r="K21" t="n">
        <v>3</v>
      </c>
      <c r="L21" t="n">
        <v>12</v>
      </c>
    </row>
    <row r="22">
      <c r="A22" t="inlineStr">
        <is>
          <t>SpaceBikes</t>
        </is>
      </c>
      <c r="B22" t="inlineStr">
        <is>
          <t>Amsterdam</t>
        </is>
      </c>
      <c r="C22" t="n">
        <v>490</v>
      </c>
      <c r="D22" t="n">
        <v>371</v>
      </c>
      <c r="E22" t="n">
        <v>119</v>
      </c>
      <c r="F22" t="n">
        <v>2</v>
      </c>
      <c r="G22" t="n">
        <v>1340</v>
      </c>
      <c r="H22" t="n">
        <v>17</v>
      </c>
      <c r="I22" t="n">
        <v>7</v>
      </c>
      <c r="J22" t="n">
        <v>53</v>
      </c>
      <c r="K22" t="n">
        <v>7</v>
      </c>
      <c r="L22" t="n">
        <v>17</v>
      </c>
    </row>
    <row r="23">
      <c r="A23" t="inlineStr">
        <is>
          <t>MILC Bikes</t>
        </is>
      </c>
      <c r="B23" t="inlineStr">
        <is>
          <t>Amsterdam</t>
        </is>
      </c>
      <c r="C23" t="n">
        <v>472</v>
      </c>
      <c r="D23" t="n">
        <v>365</v>
      </c>
      <c r="E23" t="n">
        <v>107</v>
      </c>
      <c r="F23" t="n">
        <v>2</v>
      </c>
      <c r="G23" t="n">
        <v>1250</v>
      </c>
      <c r="H23" t="n">
        <v>12</v>
      </c>
      <c r="I23" t="n">
        <v>7</v>
      </c>
      <c r="J23" t="n">
        <v>52</v>
      </c>
      <c r="K23" t="n">
        <v>7</v>
      </c>
      <c r="L23" t="n">
        <v>15</v>
      </c>
    </row>
    <row r="24">
      <c r="A24" t="inlineStr">
        <is>
          <t>LiteCycle</t>
        </is>
      </c>
      <c r="B24" t="inlineStr">
        <is>
          <t>Bangalore</t>
        </is>
      </c>
      <c r="C24" t="n">
        <v>370</v>
      </c>
      <c r="D24" t="n">
        <v>277</v>
      </c>
      <c r="E24" t="n">
        <v>93</v>
      </c>
      <c r="F24" t="n">
        <v>3</v>
      </c>
      <c r="G24" t="n">
        <v>1380</v>
      </c>
      <c r="H24" t="n">
        <v>12</v>
      </c>
      <c r="I24" t="n">
        <v>5</v>
      </c>
      <c r="J24" t="n">
        <v>55</v>
      </c>
      <c r="K24" t="n">
        <v>7</v>
      </c>
      <c r="L24" t="n">
        <v>13</v>
      </c>
    </row>
    <row r="25">
      <c r="A25" s="171" t="inlineStr">
        <is>
          <t>WeBike</t>
        </is>
      </c>
      <c r="B25" s="171" t="inlineStr">
        <is>
          <t>Bangalore</t>
        </is>
      </c>
      <c r="C25" s="171" t="n">
        <v>24</v>
      </c>
      <c r="D25" s="171" t="n">
        <v>0</v>
      </c>
      <c r="E25" s="171" t="n">
        <v>24</v>
      </c>
      <c r="F25" s="171" t="n">
        <v>2</v>
      </c>
      <c r="G25" s="171" t="n">
        <v>1408</v>
      </c>
      <c r="H25" s="171" t="n">
        <v>19</v>
      </c>
      <c r="I25" s="171" t="n"/>
      <c r="J25" s="171" t="n"/>
      <c r="K25" s="171" t="n">
        <v>3</v>
      </c>
      <c r="L25" s="171" t="n">
        <v>8</v>
      </c>
    </row>
    <row r="26">
      <c r="A26" t="inlineStr">
        <is>
          <t>BB LLC</t>
        </is>
      </c>
      <c r="B26" t="inlineStr">
        <is>
          <t>Bangalore</t>
        </is>
      </c>
      <c r="C26" t="n">
        <v>123</v>
      </c>
      <c r="D26" t="n">
        <v>0</v>
      </c>
      <c r="E26" t="n">
        <v>123</v>
      </c>
      <c r="F26" t="n">
        <v>4</v>
      </c>
      <c r="G26" t="n">
        <v>1473</v>
      </c>
      <c r="H26" t="n">
        <v>24</v>
      </c>
      <c r="K26" t="n">
        <v>7</v>
      </c>
      <c r="L26" t="n">
        <v>18</v>
      </c>
    </row>
    <row r="27">
      <c r="A27" t="inlineStr">
        <is>
          <t>Spoke'd Up</t>
        </is>
      </c>
      <c r="B27" t="inlineStr">
        <is>
          <t>Bangalore</t>
        </is>
      </c>
      <c r="C27" t="n">
        <v>30</v>
      </c>
      <c r="D27" t="n">
        <v>0</v>
      </c>
      <c r="E27" t="n">
        <v>30</v>
      </c>
      <c r="F27" t="n">
        <v>2</v>
      </c>
      <c r="G27" t="n">
        <v>1249</v>
      </c>
      <c r="H27" t="n">
        <v>12</v>
      </c>
      <c r="K27" t="n">
        <v>3</v>
      </c>
      <c r="L27" t="n">
        <v>10</v>
      </c>
    </row>
    <row r="28">
      <c r="A28" t="inlineStr">
        <is>
          <t>SpaceBikes</t>
        </is>
      </c>
      <c r="B28" t="inlineStr">
        <is>
          <t>Bangalore</t>
        </is>
      </c>
      <c r="C28" t="n">
        <v>114</v>
      </c>
      <c r="D28" t="n">
        <v>0</v>
      </c>
      <c r="E28" t="n">
        <v>114</v>
      </c>
      <c r="F28" t="n">
        <v>2</v>
      </c>
      <c r="G28" t="n">
        <v>1340</v>
      </c>
      <c r="H28" t="n">
        <v>17</v>
      </c>
      <c r="K28" t="n">
        <v>7</v>
      </c>
      <c r="L28" t="n">
        <v>16</v>
      </c>
    </row>
    <row r="29">
      <c r="A29" t="inlineStr">
        <is>
          <t>MILC Bikes</t>
        </is>
      </c>
      <c r="B29" t="inlineStr">
        <is>
          <t>Bangalore</t>
        </is>
      </c>
      <c r="C29" t="n">
        <v>100</v>
      </c>
      <c r="D29" t="n">
        <v>0</v>
      </c>
      <c r="E29" t="n">
        <v>100</v>
      </c>
      <c r="F29" t="n">
        <v>2</v>
      </c>
      <c r="G29" t="n">
        <v>1250</v>
      </c>
      <c r="H29" t="n">
        <v>12</v>
      </c>
      <c r="K29" t="n">
        <v>7</v>
      </c>
      <c r="L29" t="n">
        <v>14</v>
      </c>
    </row>
    <row r="32">
      <c r="A32" s="166" t="inlineStr">
        <is>
          <t>CITY CHANNEL MIX (measured)</t>
        </is>
      </c>
      <c r="B32" s="166" t="inlineStr">
        <is>
          <t>Total</t>
        </is>
      </c>
      <c r="C32" s="166" t="inlineStr">
        <is>
          <t>Store units</t>
        </is>
      </c>
      <c r="D32" s="166" t="inlineStr">
        <is>
          <t>Store %</t>
        </is>
      </c>
      <c r="E32" s="166" t="inlineStr">
        <is>
          <t>Web units</t>
        </is>
      </c>
      <c r="F32" s="166" t="inlineStr">
        <is>
          <t>Web %</t>
        </is>
      </c>
      <c r="G32" s="166" t="inlineStr">
        <is>
          <t>Store firms</t>
        </is>
      </c>
      <c r="H32" s="166" t="inlineStr">
        <is>
          <t>Store people in city</t>
        </is>
      </c>
    </row>
    <row r="33">
      <c r="A33" t="inlineStr">
        <is>
          <t>Amsterdam</t>
        </is>
      </c>
      <c r="B33" t="n">
        <v>2985</v>
      </c>
      <c r="C33" t="n">
        <v>2481</v>
      </c>
      <c r="D33" s="10" t="n">
        <v>0.8311557788944723</v>
      </c>
      <c r="E33" t="n">
        <v>504</v>
      </c>
      <c r="F33" s="10" t="n">
        <v>0.1688442211055276</v>
      </c>
      <c r="G33" t="n">
        <v>7</v>
      </c>
      <c r="H33" t="n">
        <v>46</v>
      </c>
    </row>
    <row r="34">
      <c r="A34" t="inlineStr">
        <is>
          <t>New York City</t>
        </is>
      </c>
      <c r="B34" t="n">
        <v>2039</v>
      </c>
      <c r="C34" t="n">
        <v>1373</v>
      </c>
      <c r="D34" s="212" t="n">
        <v>0.6733692986758215</v>
      </c>
      <c r="E34" t="n">
        <v>666</v>
      </c>
      <c r="F34" s="10" t="n">
        <v>0.3266307013241785</v>
      </c>
      <c r="G34" t="n">
        <v>3</v>
      </c>
      <c r="H34" t="n">
        <v>19</v>
      </c>
    </row>
    <row r="35">
      <c r="A35" t="inlineStr">
        <is>
          <t>Rio de Janeiro</t>
        </is>
      </c>
      <c r="B35" t="n">
        <v>774</v>
      </c>
      <c r="C35" t="n">
        <v>240</v>
      </c>
      <c r="D35" s="179" t="n">
        <v>0.310077519379845</v>
      </c>
      <c r="E35" t="n">
        <v>534</v>
      </c>
      <c r="F35" s="10" t="n">
        <v>0.689922480620155</v>
      </c>
      <c r="G35" t="n">
        <v>1</v>
      </c>
      <c r="H35" t="n">
        <v>4</v>
      </c>
    </row>
    <row r="36">
      <c r="A36" t="inlineStr">
        <is>
          <t>Bangalore</t>
        </is>
      </c>
      <c r="B36" t="n">
        <v>761</v>
      </c>
      <c r="C36" t="n">
        <v>277</v>
      </c>
      <c r="D36" s="10" t="n">
        <v>0.3639947437582129</v>
      </c>
      <c r="E36" t="n">
        <v>484</v>
      </c>
      <c r="F36" s="10" t="n">
        <v>0.6360052562417872</v>
      </c>
      <c r="G36" t="n">
        <v>1</v>
      </c>
      <c r="H36" t="n">
        <v>5</v>
      </c>
    </row>
    <row r="39">
      <c r="A39" s="166" t="inlineStr">
        <is>
          <t>STORE PRODUCTIVITY (pure store units / store person)</t>
        </is>
      </c>
      <c r="B39" s="166" t="inlineStr">
        <is>
          <t>City</t>
        </is>
      </c>
      <c r="C39" s="166" t="inlineStr">
        <is>
          <t>Store units</t>
        </is>
      </c>
      <c r="D39" s="166" t="inlineStr">
        <is>
          <t>People</t>
        </is>
      </c>
      <c r="E39" s="166" t="inlineStr">
        <is>
          <t>Per person</t>
        </is>
      </c>
      <c r="F39" s="166" t="inlineStr">
        <is>
          <t>Note</t>
        </is>
      </c>
    </row>
    <row r="40">
      <c r="A40" t="inlineStr">
        <is>
          <t>BB LLC</t>
        </is>
      </c>
      <c r="B40" t="inlineStr">
        <is>
          <t>New York City</t>
        </is>
      </c>
      <c r="C40" t="n">
        <v>567</v>
      </c>
      <c r="D40" t="n">
        <v>7</v>
      </c>
      <c r="E40" s="159" t="n">
        <v>81</v>
      </c>
      <c r="F40" s="170" t="inlineStr">
        <is>
          <t>NYC ceiling analog (Mountain + Speed, 7 people)</t>
        </is>
      </c>
    </row>
    <row r="41">
      <c r="A41" t="inlineStr">
        <is>
          <t>Spoke'd Up</t>
        </is>
      </c>
      <c r="B41" t="inlineStr">
        <is>
          <t>New York City</t>
        </is>
      </c>
      <c r="C41" t="n">
        <v>371</v>
      </c>
      <c r="D41" t="n">
        <v>5</v>
      </c>
      <c r="E41" s="159" t="n">
        <v>74</v>
      </c>
      <c r="F41" s="170" t="inlineStr">
        <is>
          <t>5 people, NO Mountain brand — NYC floor analog</t>
        </is>
      </c>
    </row>
    <row r="42">
      <c r="A42" t="inlineStr">
        <is>
          <t>Bike Bros</t>
        </is>
      </c>
      <c r="B42" t="inlineStr">
        <is>
          <t>Amsterdam</t>
        </is>
      </c>
      <c r="C42" t="n">
        <v>490</v>
      </c>
      <c r="D42" t="n">
        <v>7</v>
      </c>
      <c r="E42" t="n">
        <v>70</v>
      </c>
      <c r="F42" s="170" t="inlineStr"/>
    </row>
    <row r="43">
      <c r="A43" t="inlineStr">
        <is>
          <t>SpaceBikes</t>
        </is>
      </c>
      <c r="B43" t="inlineStr">
        <is>
          <t>New York City</t>
        </is>
      </c>
      <c r="C43" t="n">
        <v>435</v>
      </c>
      <c r="D43" t="n">
        <v>7</v>
      </c>
      <c r="E43" s="159" t="n">
        <v>62</v>
      </c>
      <c r="F43" s="170" t="inlineStr"/>
    </row>
    <row r="44">
      <c r="A44" s="173" t="inlineStr">
        <is>
          <t>WeBike</t>
        </is>
      </c>
      <c r="B44" s="173" t="inlineStr">
        <is>
          <t>Rio de Janeiro</t>
        </is>
      </c>
      <c r="C44" s="173" t="n">
        <v>240</v>
      </c>
      <c r="D44" s="173" t="n">
        <v>4</v>
      </c>
      <c r="E44" s="159" t="n">
        <v>60</v>
      </c>
      <c r="F44" s="193" t="inlineStr">
        <is>
          <t>Already 1.6x our Amsterdam rate; 3 slots open</t>
        </is>
      </c>
    </row>
    <row r="45">
      <c r="A45" t="inlineStr">
        <is>
          <t>Spoke'd Up</t>
        </is>
      </c>
      <c r="B45" t="inlineStr">
        <is>
          <t>Amsterdam</t>
        </is>
      </c>
      <c r="C45" t="n">
        <v>344</v>
      </c>
      <c r="D45" t="n">
        <v>6</v>
      </c>
      <c r="E45" t="n">
        <v>57</v>
      </c>
      <c r="F45" s="170" t="inlineStr"/>
    </row>
    <row r="46">
      <c r="A46" t="inlineStr">
        <is>
          <t>LiteCycle</t>
        </is>
      </c>
      <c r="B46" t="inlineStr">
        <is>
          <t>Bangalore</t>
        </is>
      </c>
      <c r="C46" t="n">
        <v>277</v>
      </c>
      <c r="D46" t="n">
        <v>5</v>
      </c>
      <c r="E46" t="n">
        <v>55</v>
      </c>
      <c r="F46" s="170" t="inlineStr"/>
    </row>
    <row r="47">
      <c r="A47" t="inlineStr">
        <is>
          <t>LiteCycle</t>
        </is>
      </c>
      <c r="B47" t="inlineStr">
        <is>
          <t>Amsterdam</t>
        </is>
      </c>
      <c r="C47" t="n">
        <v>272</v>
      </c>
      <c r="D47" t="n">
        <v>5</v>
      </c>
      <c r="E47" t="n">
        <v>54</v>
      </c>
      <c r="F47" s="170" t="inlineStr"/>
    </row>
    <row r="48">
      <c r="A48" t="inlineStr">
        <is>
          <t>BB LLC</t>
        </is>
      </c>
      <c r="B48" t="inlineStr">
        <is>
          <t>Amsterdam</t>
        </is>
      </c>
      <c r="C48" t="n">
        <v>372</v>
      </c>
      <c r="D48" t="n">
        <v>7</v>
      </c>
      <c r="E48" t="n">
        <v>53</v>
      </c>
      <c r="F48" s="170" t="inlineStr"/>
    </row>
    <row r="49">
      <c r="A49" t="inlineStr">
        <is>
          <t>SpaceBikes</t>
        </is>
      </c>
      <c r="B49" t="inlineStr">
        <is>
          <t>Amsterdam</t>
        </is>
      </c>
      <c r="C49" t="n">
        <v>371</v>
      </c>
      <c r="D49" t="n">
        <v>7</v>
      </c>
      <c r="E49" t="n">
        <v>53</v>
      </c>
      <c r="F49" s="170" t="inlineStr"/>
    </row>
    <row r="50">
      <c r="A50" t="inlineStr">
        <is>
          <t>MILC Bikes</t>
        </is>
      </c>
      <c r="B50" t="inlineStr">
        <is>
          <t>Amsterdam</t>
        </is>
      </c>
      <c r="C50" t="n">
        <v>365</v>
      </c>
      <c r="D50" t="n">
        <v>7</v>
      </c>
      <c r="E50" t="n">
        <v>52</v>
      </c>
      <c r="F50" s="170" t="inlineStr"/>
    </row>
    <row r="51">
      <c r="A51" s="173" t="inlineStr">
        <is>
          <t>WeBike</t>
        </is>
      </c>
      <c r="B51" s="173" t="inlineStr">
        <is>
          <t>Amsterdam</t>
        </is>
      </c>
      <c r="C51" s="173" t="n">
        <v>267</v>
      </c>
      <c r="D51" s="173" t="n">
        <v>7</v>
      </c>
      <c r="E51" s="167" t="n">
        <v>38</v>
      </c>
      <c r="F51" s="193" t="inlineStr">
        <is>
          <t>LAST in our home city</t>
        </is>
      </c>
    </row>
    <row r="54">
      <c r="A54" s="166" t="inlineStr">
        <is>
          <t>NYC STORE PRIZE — retire the 10% = 204 estimate</t>
        </is>
      </c>
      <c r="B54" s="166" t="inlineStr">
        <is>
          <t>People</t>
        </is>
      </c>
      <c r="C54" s="166" t="inlineStr">
        <is>
          <t>Store units</t>
        </is>
      </c>
      <c r="D54" s="166" t="inlineStr">
        <is>
          <t>Web units</t>
        </is>
      </c>
      <c r="E54" s="166" t="inlineStr">
        <is>
          <t>Total</t>
        </is>
      </c>
      <c r="F54" s="166" t="inlineStr">
        <is>
          <t>Per store person</t>
        </is>
      </c>
      <c r="G54" s="166" t="inlineStr">
        <is>
          <t>Read</t>
        </is>
      </c>
    </row>
    <row r="55">
      <c r="A55" t="inlineStr">
        <is>
          <t>BB LLC (has store)</t>
        </is>
      </c>
      <c r="B55" t="n">
        <v>7</v>
      </c>
      <c r="C55" t="n">
        <v>567</v>
      </c>
      <c r="D55" t="n">
        <v>185</v>
      </c>
      <c r="E55" t="n">
        <v>752</v>
      </c>
      <c r="F55" t="n">
        <v>81</v>
      </c>
      <c r="G55" s="170" t="inlineStr">
        <is>
          <t>Mountain + Speed, 4 brands, 24 inserts</t>
        </is>
      </c>
    </row>
    <row r="56">
      <c r="A56" t="inlineStr">
        <is>
          <t>SpaceBikes (has store)</t>
        </is>
      </c>
      <c r="B56" t="n">
        <v>7</v>
      </c>
      <c r="C56" t="n">
        <v>435</v>
      </c>
      <c r="D56" t="n">
        <v>139</v>
      </c>
      <c r="E56" t="n">
        <v>574</v>
      </c>
      <c r="F56" t="n">
        <v>62</v>
      </c>
      <c r="G56" s="170" t="inlineStr">
        <is>
          <t>Recreation + Speed, worst NYC store rate</t>
        </is>
      </c>
    </row>
    <row r="57">
      <c r="A57" t="inlineStr">
        <is>
          <t>Spoke'd Up (has store)</t>
        </is>
      </c>
      <c r="B57" t="n">
        <v>5</v>
      </c>
      <c r="C57" s="168" t="n">
        <v>371</v>
      </c>
      <c r="D57" t="n">
        <v>41</v>
      </c>
      <c r="E57" t="n">
        <v>412</v>
      </c>
      <c r="F57" t="n">
        <v>74</v>
      </c>
      <c r="G57" s="170" t="inlineStr">
        <is>
          <t>Rec + Speed, NO Mountain, only 5 people</t>
        </is>
      </c>
    </row>
    <row r="58">
      <c r="A58" t="inlineStr">
        <is>
          <t>LiteCycle (web only)</t>
        </is>
      </c>
      <c r="C58" t="n">
        <v>0</v>
      </c>
      <c r="D58" t="n">
        <v>143</v>
      </c>
      <c r="E58" t="n">
        <v>143</v>
      </c>
      <c r="G58" s="170" t="inlineStr">
        <is>
          <t>Full web op, no store — web-only ceiling</t>
        </is>
      </c>
    </row>
    <row r="59">
      <c r="A59" t="inlineStr">
        <is>
          <t>MILC Bikes (web only)</t>
        </is>
      </c>
      <c r="C59" t="n">
        <v>0</v>
      </c>
      <c r="D59" t="n">
        <v>120</v>
      </c>
      <c r="E59" t="n">
        <v>120</v>
      </c>
      <c r="G59" s="170" t="inlineStr">
        <is>
          <t>Web-first firm</t>
        </is>
      </c>
    </row>
    <row r="60">
      <c r="A60" t="inlineStr">
        <is>
          <t>WeBike (web only)</t>
        </is>
      </c>
      <c r="C60" t="n">
        <v>0</v>
      </c>
      <c r="D60" t="n">
        <v>38</v>
      </c>
      <c r="E60" t="n">
        <v>38</v>
      </c>
      <c r="G60" s="170" t="inlineStr">
        <is>
          <t>Last among web-only firms</t>
        </is>
      </c>
    </row>
    <row r="61">
      <c r="A61" t="inlineStr">
        <is>
          <t>NYC physical store total</t>
        </is>
      </c>
      <c r="B61" t="n">
        <v>19</v>
      </c>
      <c r="C61" t="n">
        <v>1373</v>
      </c>
      <c r="D61" t="n">
        <v>365</v>
      </c>
      <c r="E61" t="n">
        <v>1738</v>
      </c>
      <c r="F61" t="n">
        <v>72</v>
      </c>
      <c r="G61" s="170" t="inlineStr">
        <is>
          <t>67.3% of city is store; 85.2% is store-firm (store+their web)</t>
        </is>
      </c>
    </row>
    <row r="62">
      <c r="A62" t="inlineStr">
        <is>
          <t>If we open as 4th store, floor</t>
        </is>
      </c>
      <c r="B62" t="n">
        <v>7</v>
      </c>
      <c r="C62" s="159" t="n">
        <v>371</v>
      </c>
      <c r="F62" t="n">
        <v>53</v>
      </c>
      <c r="G62" s="170" t="inlineStr">
        <is>
          <t>Match Spoke'd Up's STORE units (they have 5 people and no Mountain).</t>
        </is>
      </c>
    </row>
    <row r="63">
      <c r="A63" t="inlineStr">
        <is>
          <t>If we staff 7 at SpaceBikes rate</t>
        </is>
      </c>
      <c r="B63" t="n">
        <v>7</v>
      </c>
      <c r="C63" t="n">
        <v>434</v>
      </c>
      <c r="F63" t="n">
        <v>62</v>
      </c>
      <c r="G63" s="170" t="inlineStr">
        <is>
          <t>Worst incumbent NYC rate × our likely 7-cap staff.</t>
        </is>
      </c>
    </row>
    <row r="64">
      <c r="A64" t="inlineStr">
        <is>
          <t>If 4th store splits today's 1,373</t>
        </is>
      </c>
      <c r="B64" t="n">
        <v>7</v>
      </c>
      <c r="C64" t="n">
        <v>343</v>
      </c>
      <c r="F64" t="n">
        <v>49</v>
      </c>
      <c r="G64" s="170" t="inlineStr">
        <is>
          <t>Conservative: store pool unchanged, split 4 ways instead of 3.</t>
        </is>
      </c>
    </row>
    <row r="65">
      <c r="A65" t="inlineStr">
        <is>
          <t>VERDICT</t>
        </is>
      </c>
      <c r="G65" s="174" t="inlineStr">
        <is>
          <t>The 10% = 204 figure is retired. A NYC store is a 340–570 unit prize, not a 204 unit prize. Enter via Speed (Spoke'd Up's Speed ad is &lt;70). Stacked on Rio-fill + web rebuild this needs printers — see Q4_Planner scenario E.</t>
        </is>
      </c>
    </row>
    <row r="68">
      <c r="A68" s="166" t="inlineStr">
        <is>
          <t>AMSTERDAM — we are last in our own city</t>
        </is>
      </c>
      <c r="B68" s="166" t="inlineStr">
        <is>
          <t>Store units</t>
        </is>
      </c>
      <c r="C68" s="166" t="inlineStr">
        <is>
          <t>People</t>
        </is>
      </c>
      <c r="D68" s="166" t="inlineStr">
        <is>
          <t>Per person</t>
        </is>
      </c>
      <c r="E68" s="166" t="inlineStr">
        <is>
          <t>Web units</t>
        </is>
      </c>
      <c r="F68" s="166" t="inlineStr">
        <is>
          <t>Total</t>
        </is>
      </c>
    </row>
    <row r="69">
      <c r="A69" t="inlineStr">
        <is>
          <t>Bike Bros</t>
        </is>
      </c>
      <c r="B69" t="n">
        <v>490</v>
      </c>
      <c r="C69" t="n">
        <v>7</v>
      </c>
      <c r="D69" s="159" t="n">
        <v>70</v>
      </c>
      <c r="E69" t="n">
        <v>0</v>
      </c>
      <c r="F69" s="170" t="n">
        <v>490</v>
      </c>
    </row>
    <row r="70">
      <c r="A70" t="inlineStr">
        <is>
          <t>Spoke'd Up</t>
        </is>
      </c>
      <c r="B70" t="n">
        <v>344</v>
      </c>
      <c r="C70" t="n">
        <v>6</v>
      </c>
      <c r="D70" t="n">
        <v>57</v>
      </c>
      <c r="E70" t="n">
        <v>36</v>
      </c>
      <c r="F70" s="170" t="n">
        <v>380</v>
      </c>
    </row>
    <row r="71">
      <c r="A71" t="inlineStr">
        <is>
          <t>LiteCycle</t>
        </is>
      </c>
      <c r="B71" t="n">
        <v>272</v>
      </c>
      <c r="C71" t="n">
        <v>5</v>
      </c>
      <c r="D71" t="n">
        <v>54</v>
      </c>
      <c r="E71" t="n">
        <v>93</v>
      </c>
      <c r="F71" s="170" t="n">
        <v>365</v>
      </c>
    </row>
    <row r="72">
      <c r="A72" t="inlineStr">
        <is>
          <t>BB LLC</t>
        </is>
      </c>
      <c r="B72" t="n">
        <v>372</v>
      </c>
      <c r="C72" t="n">
        <v>7</v>
      </c>
      <c r="D72" t="n">
        <v>53</v>
      </c>
      <c r="E72" t="n">
        <v>121</v>
      </c>
      <c r="F72" s="170" t="n">
        <v>493</v>
      </c>
    </row>
    <row r="73">
      <c r="A73" t="inlineStr">
        <is>
          <t>SpaceBikes</t>
        </is>
      </c>
      <c r="B73" t="n">
        <v>371</v>
      </c>
      <c r="C73" t="n">
        <v>7</v>
      </c>
      <c r="D73" t="n">
        <v>53</v>
      </c>
      <c r="E73" t="n">
        <v>119</v>
      </c>
      <c r="F73" s="170" t="n">
        <v>490</v>
      </c>
    </row>
    <row r="74">
      <c r="A74" t="inlineStr">
        <is>
          <t>MILC Bikes</t>
        </is>
      </c>
      <c r="B74" t="n">
        <v>365</v>
      </c>
      <c r="C74" t="n">
        <v>7</v>
      </c>
      <c r="D74" t="n">
        <v>52</v>
      </c>
      <c r="E74" t="n">
        <v>107</v>
      </c>
      <c r="F74" s="170" t="n">
        <v>472</v>
      </c>
    </row>
    <row r="75">
      <c r="A75" s="173" t="inlineStr">
        <is>
          <t>WeBike</t>
        </is>
      </c>
      <c r="B75" t="n">
        <v>267</v>
      </c>
      <c r="C75" t="n">
        <v>7</v>
      </c>
      <c r="D75" s="167" t="n">
        <v>38</v>
      </c>
      <c r="E75" t="n">
        <v>28</v>
      </c>
      <c r="F75" s="170" t="n">
        <v>295</v>
      </c>
    </row>
    <row r="76">
      <c r="A76" t="inlineStr">
        <is>
          <t>Industry excl. us</t>
        </is>
      </c>
      <c r="B76" t="n">
        <v>2214</v>
      </c>
      <c r="C76" t="n">
        <v>39</v>
      </c>
      <c r="D76" t="n">
        <v>57</v>
      </c>
      <c r="E76" t="n">
        <v>476</v>
      </c>
      <c r="F76" s="170" t="n">
        <v>2690</v>
      </c>
    </row>
    <row r="77">
      <c r="A77" t="inlineStr">
        <is>
          <t>Read</t>
        </is>
      </c>
      <c r="F77" s="170" t="inlineStr">
        <is>
          <t>Same 7 people, same city: Bike Bros 70 vs WeBike 38. We cannot add a head (at cap). Closing the gap is training, filling stock-outs, and the Swift Bike fix — not hiring. Matching industry 57/head would be ~399 store units (+132) with the people we already have.</t>
        </is>
      </c>
    </row>
    <row r="80">
      <c r="A80" s="166" t="inlineStr">
        <is>
          <t>SOLE-STORE CITIES — store vs web split</t>
        </is>
      </c>
      <c r="B80" s="166" t="inlineStr">
        <is>
          <t>WeBike in Rio</t>
        </is>
      </c>
      <c r="C80" s="166" t="inlineStr">
        <is>
          <t>LiteCycle in Bangalore</t>
        </is>
      </c>
    </row>
    <row r="81">
      <c r="A81" t="inlineStr">
        <is>
          <t>City demand</t>
        </is>
      </c>
      <c r="B81" t="n">
        <v>774</v>
      </c>
      <c r="C81" t="n">
        <v>761</v>
      </c>
    </row>
    <row r="82">
      <c r="A82" t="inlineStr">
        <is>
          <t>Physical store units</t>
        </is>
      </c>
      <c r="B82" t="n">
        <v>240</v>
      </c>
      <c r="C82" t="n">
        <v>277</v>
      </c>
    </row>
    <row r="83">
      <c r="A83" t="inlineStr">
        <is>
          <t>Store people</t>
        </is>
      </c>
      <c r="B83" t="n">
        <v>4</v>
      </c>
      <c r="C83" t="n">
        <v>5</v>
      </c>
    </row>
    <row r="84">
      <c r="A84" t="inlineStr">
        <is>
          <t>Store units per person</t>
        </is>
      </c>
      <c r="B84" s="159" t="n">
        <v>60</v>
      </c>
      <c r="C84" t="n">
        <v>55</v>
      </c>
    </row>
    <row r="85">
      <c r="A85" t="inlineStr">
        <is>
          <t>Own web in the city</t>
        </is>
      </c>
      <c r="B85" t="n">
        <v>30</v>
      </c>
      <c r="C85" t="n">
        <v>93</v>
      </c>
    </row>
    <row r="86">
      <c r="A86" t="inlineStr">
        <is>
          <t>Total as sole store holder</t>
        </is>
      </c>
      <c r="B86" t="n">
        <v>270</v>
      </c>
      <c r="C86" t="n">
        <v>370</v>
      </c>
    </row>
    <row r="87">
      <c r="A87" t="inlineStr">
        <is>
          <t>Share of city</t>
        </is>
      </c>
      <c r="B87" s="10" t="n">
        <v>0.349</v>
      </c>
      <c r="C87" s="10" t="n">
        <v>0.486</v>
      </c>
    </row>
    <row r="88">
      <c r="A88" t="inlineStr">
        <is>
          <t>Rivals' web (no store)</t>
        </is>
      </c>
      <c r="B88" t="n">
        <v>504</v>
      </c>
      <c r="C88" t="n">
        <v>391</v>
      </c>
    </row>
    <row r="89">
      <c r="A89" t="inlineStr">
        <is>
          <t>Open store slots</t>
        </is>
      </c>
      <c r="B89" t="n">
        <v>3</v>
      </c>
      <c r="C89" t="n">
        <v>2</v>
      </c>
    </row>
    <row r="90">
      <c r="A90" t="inlineStr">
        <is>
          <t>Fill to 7 at current store rate</t>
        </is>
      </c>
      <c r="B90" s="159" t="n">
        <v>420</v>
      </c>
      <c r="C90" t="n">
        <v>385</v>
      </c>
    </row>
    <row r="91">
      <c r="A91" t="inlineStr">
        <is>
          <t>Read</t>
        </is>
      </c>
      <c r="B91" s="170" t="inlineStr">
        <is>
          <t>Filling 3 Rio slots at 60/head = +180 store units, no new lease. Our 30 web in our own city is 1/3 of LiteCycle's 93 in theirs — another web-rebuild tell. BB LLC takes 139 Rio units with no store.</t>
        </is>
      </c>
      <c r="C91" s="170" t="inlineStr">
        <is>
          <t>LiteCycle extracts more with 5 people than we do with 4, and still has 2 slots open. Their city web (93) is 3x ours in Rio (30).</t>
        </is>
      </c>
    </row>
    <row r="94">
      <c r="A94" s="166" t="inlineStr">
        <is>
          <t>WEB RAID BY CITY (web units, one shared web centre)</t>
        </is>
      </c>
      <c r="B94" s="166" t="inlineStr">
        <is>
          <t>Amsterdam</t>
        </is>
      </c>
      <c r="C94" s="166" t="inlineStr">
        <is>
          <t>New York City</t>
        </is>
      </c>
      <c r="D94" s="166" t="inlineStr">
        <is>
          <t>Rio de Janeiro</t>
        </is>
      </c>
      <c r="E94" s="166" t="inlineStr">
        <is>
          <t>Bangalore</t>
        </is>
      </c>
      <c r="F94" s="166" t="inlineStr">
        <is>
          <t>Total</t>
        </is>
      </c>
      <c r="G94" s="166" t="inlineStr">
        <is>
          <t>Web people</t>
        </is>
      </c>
      <c r="H94" s="166" t="inlineStr">
        <is>
          <t>Per head</t>
        </is>
      </c>
    </row>
    <row r="95">
      <c r="A95" t="inlineStr">
        <is>
          <t>BB LLC</t>
        </is>
      </c>
      <c r="B95" t="n">
        <v>121</v>
      </c>
      <c r="C95" t="n">
        <v>185</v>
      </c>
      <c r="D95" t="n">
        <v>139</v>
      </c>
      <c r="E95" t="n">
        <v>123</v>
      </c>
      <c r="F95" t="n">
        <v>568</v>
      </c>
      <c r="G95" t="n">
        <v>7</v>
      </c>
      <c r="H95" t="n">
        <v>81.09999999999999</v>
      </c>
    </row>
    <row r="96">
      <c r="A96" t="inlineStr">
        <is>
          <t>SpaceBikes</t>
        </is>
      </c>
      <c r="B96" t="n">
        <v>119</v>
      </c>
      <c r="C96" t="n">
        <v>139</v>
      </c>
      <c r="D96" t="n">
        <v>120</v>
      </c>
      <c r="E96" t="n">
        <v>114</v>
      </c>
      <c r="F96" t="n">
        <v>492</v>
      </c>
      <c r="G96" t="n">
        <v>7</v>
      </c>
      <c r="H96" t="n">
        <v>70.3</v>
      </c>
    </row>
    <row r="97">
      <c r="A97" t="inlineStr">
        <is>
          <t>LiteCycle</t>
        </is>
      </c>
      <c r="B97" t="n">
        <v>93</v>
      </c>
      <c r="C97" t="n">
        <v>143</v>
      </c>
      <c r="D97" t="n">
        <v>106</v>
      </c>
      <c r="E97" t="n">
        <v>93</v>
      </c>
      <c r="F97" t="n">
        <v>435</v>
      </c>
      <c r="G97" t="n">
        <v>7</v>
      </c>
      <c r="H97" t="n">
        <v>62.1</v>
      </c>
    </row>
    <row r="98">
      <c r="A98" t="inlineStr">
        <is>
          <t>MILC Bikes</t>
        </is>
      </c>
      <c r="B98" t="n">
        <v>107</v>
      </c>
      <c r="C98" t="n">
        <v>120</v>
      </c>
      <c r="D98" t="n">
        <v>107</v>
      </c>
      <c r="E98" t="n">
        <v>100</v>
      </c>
      <c r="F98" t="n">
        <v>434</v>
      </c>
      <c r="G98" t="n">
        <v>7</v>
      </c>
      <c r="H98" t="n">
        <v>62</v>
      </c>
    </row>
    <row r="99">
      <c r="A99" t="inlineStr">
        <is>
          <t>Spoke'd Up</t>
        </is>
      </c>
      <c r="B99" t="n">
        <v>36</v>
      </c>
      <c r="C99" t="n">
        <v>41</v>
      </c>
      <c r="D99" t="n">
        <v>32</v>
      </c>
      <c r="E99" t="n">
        <v>30</v>
      </c>
      <c r="F99" t="n">
        <v>139</v>
      </c>
      <c r="G99" t="n">
        <v>3</v>
      </c>
      <c r="H99" t="n">
        <v>46.3</v>
      </c>
    </row>
    <row r="100">
      <c r="A100" s="171" t="inlineStr">
        <is>
          <t>WeBike</t>
        </is>
      </c>
      <c r="B100" s="171" t="n">
        <v>28</v>
      </c>
      <c r="C100" s="171" t="n">
        <v>38</v>
      </c>
      <c r="D100" s="171" t="n">
        <v>30</v>
      </c>
      <c r="E100" s="171" t="n">
        <v>24</v>
      </c>
      <c r="F100" s="171" t="n">
        <v>120</v>
      </c>
      <c r="G100" s="171" t="n">
        <v>3</v>
      </c>
      <c r="H100" s="171" t="n">
        <v>40</v>
      </c>
    </row>
    <row r="103">
      <c r="A103" s="166" t="inlineStr">
        <is>
          <t>WHAT THE WEB RAID SHOWS</t>
        </is>
      </c>
      <c r="B103" s="166" t="inlineStr">
        <is>
          <t>Note</t>
        </is>
      </c>
    </row>
    <row r="104">
      <c r="A104" t="inlineStr">
        <is>
          <t>BB LLC is even across all 4 cities</t>
        </is>
      </c>
      <c r="B104" s="170" t="inlineStr">
        <is>
          <t>Amsterdam 121 · NYC 185 · Rio 139 · Bangalore 123. They raid cities they never entered at the same scale they sell online in cities they own.</t>
        </is>
      </c>
    </row>
    <row r="105">
      <c r="A105" t="inlineStr">
        <is>
          <t>We are even and tiny</t>
        </is>
      </c>
      <c r="B105" s="170" t="inlineStr">
        <is>
          <t>Amsterdam 28 · NYC 38 · Rio 30 · Bangalore 24. Same shape, ~1/5 the scale.</t>
        </is>
      </c>
    </row>
    <row r="106">
      <c r="A106" t="inlineStr">
        <is>
          <t>Even in Amsterdam, where we have a store</t>
        </is>
      </c>
      <c r="B106" s="185" t="inlineStr">
        <is>
          <t>BB LLC 121 web vs our 28. Store presence does not automatically produce web demand — the web operation does.</t>
        </is>
      </c>
    </row>
    <row r="107">
      <c r="A107" t="inlineStr">
        <is>
          <t>LiteCycle with no NYC store beats our NYC web 3.8x</t>
        </is>
      </c>
      <c r="B107" s="170" t="inlineStr">
        <is>
          <t>143 vs 38. That is the web-only NYC benchmark once we staff 7 and fund all 4 tactics.</t>
        </is>
      </c>
    </row>
    <row r="108">
      <c r="A108" t="inlineStr">
        <is>
          <t>Spoke'd Up is our twin</t>
        </is>
      </c>
      <c r="B108" s="174" t="inlineStr">
        <is>
          <t>Web staff 3, web total 139 vs our 120. Same failure mode. They still out-produce us in NYC store (371 with 5 people) because they showed up.</t>
        </is>
      </c>
    </row>
    <row r="111">
      <c r="A111" s="166" t="inlineStr">
        <is>
          <t>COMPANY BRAND / AD SCORES (repeated identically in every city report)</t>
        </is>
      </c>
      <c r="B111" s="166" t="inlineStr">
        <is>
          <t>Rec brand</t>
        </is>
      </c>
      <c r="C111" s="166" t="inlineStr">
        <is>
          <t>Mtn brand</t>
        </is>
      </c>
      <c r="D111" s="166" t="inlineStr">
        <is>
          <t>Speed brand</t>
        </is>
      </c>
      <c r="E111" s="166" t="inlineStr">
        <is>
          <t>Rec ad</t>
        </is>
      </c>
      <c r="F111" s="166" t="inlineStr">
        <is>
          <t>Mtn ad</t>
        </is>
      </c>
      <c r="G111" s="166" t="inlineStr">
        <is>
          <t>Speed ad</t>
        </is>
      </c>
      <c r="H111" s="166" t="inlineStr">
        <is>
          <t>Inserts</t>
        </is>
      </c>
    </row>
    <row r="112">
      <c r="A112" t="inlineStr">
        <is>
          <t>Bike Bros</t>
        </is>
      </c>
      <c r="B112" t="inlineStr">
        <is>
          <t>76 MountainCruise1</t>
        </is>
      </c>
      <c r="C112" t="inlineStr">
        <is>
          <t>73 TERRAMAX</t>
        </is>
      </c>
      <c r="D112" t="inlineStr">
        <is>
          <t>77 MACH I.I</t>
        </is>
      </c>
      <c r="E112" t="inlineStr">
        <is>
          <t>75 Easy Rider</t>
        </is>
      </c>
      <c r="F112" t="inlineStr">
        <is>
          <t>78 TerraTech</t>
        </is>
      </c>
      <c r="G112" t="inlineStr">
        <is>
          <t>78 AndStill</t>
        </is>
      </c>
      <c r="H112" t="n">
        <v>10</v>
      </c>
    </row>
    <row r="113">
      <c r="A113" t="inlineStr">
        <is>
          <t>LiteCycle</t>
        </is>
      </c>
      <c r="B113" t="inlineStr">
        <is>
          <t>—</t>
        </is>
      </c>
      <c r="C113" t="inlineStr">
        <is>
          <t>70 LiteTrail Pro</t>
        </is>
      </c>
      <c r="D113" t="inlineStr">
        <is>
          <t>77 LiteSpeed Pro+</t>
        </is>
      </c>
      <c r="E113" t="inlineStr">
        <is>
          <t>—</t>
        </is>
      </c>
      <c r="F113" t="inlineStr">
        <is>
          <t>79 Trail Blazing 1</t>
        </is>
      </c>
      <c r="G113" t="inlineStr">
        <is>
          <t>77 Speed of Lite 1</t>
        </is>
      </c>
      <c r="H113" t="n">
        <v>12</v>
      </c>
    </row>
    <row r="114">
      <c r="A114" s="173" t="inlineStr">
        <is>
          <t>WeBike</t>
        </is>
      </c>
      <c r="B114" s="173" t="inlineStr">
        <is>
          <t>—</t>
        </is>
      </c>
      <c r="C114" s="173" t="inlineStr">
        <is>
          <t>73 Hike Bike</t>
        </is>
      </c>
      <c r="D114" s="173" t="inlineStr">
        <is>
          <t>72 Swift Bike</t>
        </is>
      </c>
      <c r="E114" s="173" t="inlineStr">
        <is>
          <t>—</t>
        </is>
      </c>
      <c r="F114" s="173" t="inlineStr">
        <is>
          <t>80 HikeBike 1</t>
        </is>
      </c>
      <c r="G114" s="167" t="inlineStr">
        <is>
          <t>70 Swift Bike</t>
        </is>
      </c>
      <c r="H114" s="173" t="n">
        <v>19</v>
      </c>
    </row>
    <row r="115">
      <c r="A115" t="inlineStr">
        <is>
          <t>BB LLC</t>
        </is>
      </c>
      <c r="B115" t="inlineStr">
        <is>
          <t>—</t>
        </is>
      </c>
      <c r="C115" t="inlineStr">
        <is>
          <t>73 Blu Ruged Ballz</t>
        </is>
      </c>
      <c r="D115" t="inlineStr">
        <is>
          <t>76 Blu Tube Ballz</t>
        </is>
      </c>
      <c r="E115" t="inlineStr">
        <is>
          <t>—</t>
        </is>
      </c>
      <c r="F115" t="inlineStr">
        <is>
          <t>81 BB Big Momma</t>
        </is>
      </c>
      <c r="G115" t="inlineStr">
        <is>
          <t>76 Unleash lil pap</t>
        </is>
      </c>
      <c r="H115" t="n">
        <v>24</v>
      </c>
    </row>
    <row r="116">
      <c r="A116" t="inlineStr">
        <is>
          <t>Spoke'd Up</t>
        </is>
      </c>
      <c r="B116" t="inlineStr">
        <is>
          <t>73 Spoke'd Easy</t>
        </is>
      </c>
      <c r="C116" t="inlineStr">
        <is>
          <t>—</t>
        </is>
      </c>
      <c r="D116" t="inlineStr">
        <is>
          <t>75 Spoke'd Speed</t>
        </is>
      </c>
      <c r="E116" t="inlineStr">
        <is>
          <t>—</t>
        </is>
      </c>
      <c r="F116" t="inlineStr">
        <is>
          <t>—</t>
        </is>
      </c>
      <c r="G116" t="inlineStr">
        <is>
          <t>—</t>
        </is>
      </c>
      <c r="H116" t="n">
        <v>12</v>
      </c>
    </row>
    <row r="117">
      <c r="A117" t="inlineStr">
        <is>
          <t>SpaceBikes</t>
        </is>
      </c>
      <c r="B117" t="inlineStr">
        <is>
          <t>73 Mars Rover</t>
        </is>
      </c>
      <c r="C117" t="inlineStr">
        <is>
          <t>—</t>
        </is>
      </c>
      <c r="D117" t="inlineStr">
        <is>
          <t>76 The Armstrong</t>
        </is>
      </c>
      <c r="E117" t="inlineStr">
        <is>
          <t>79 Mars Rover 1</t>
        </is>
      </c>
      <c r="F117" t="inlineStr">
        <is>
          <t>—</t>
        </is>
      </c>
      <c r="G117" t="inlineStr">
        <is>
          <t>77 The Armstrong 1</t>
        </is>
      </c>
      <c r="H117" t="n">
        <v>17</v>
      </c>
    </row>
    <row r="118">
      <c r="A118" t="inlineStr">
        <is>
          <t>MILC Bikes</t>
        </is>
      </c>
      <c r="B118" t="inlineStr">
        <is>
          <t>74 Whole MILC MKII</t>
        </is>
      </c>
      <c r="C118" t="inlineStr">
        <is>
          <t>—</t>
        </is>
      </c>
      <c r="D118" t="inlineStr">
        <is>
          <t>76 Skim MILC MKII</t>
        </is>
      </c>
      <c r="E118" t="inlineStr">
        <is>
          <t>77 Whole MILC MKII</t>
        </is>
      </c>
      <c r="F118" t="inlineStr">
        <is>
          <t>—</t>
        </is>
      </c>
      <c r="G118" t="inlineStr">
        <is>
          <t>75 Skim MILC MKII</t>
        </is>
      </c>
      <c r="H118" t="n">
        <v>12</v>
      </c>
    </row>
    <row r="121">
      <c r="A121" s="166" t="inlineStr">
        <is>
          <t>Q4 IMPLICATIONS (this report)</t>
        </is>
      </c>
      <c r="B121" s="166" t="inlineStr">
        <is>
          <t>Decision</t>
        </is>
      </c>
    </row>
    <row r="122">
      <c r="A122" t="inlineStr">
        <is>
          <t>1. Train 2 untrained — $800</t>
        </is>
      </c>
      <c r="B122" s="174" t="inlineStr">
        <is>
          <t>Unchanged. Cheapest productivity in both cities we already occupy.</t>
        </is>
      </c>
    </row>
    <row r="123">
      <c r="A123" t="inlineStr">
        <is>
          <t>2. Fill Rio 4 → 7</t>
        </is>
      </c>
      <c r="B123" s="174" t="inlineStr">
        <is>
          <t>Revised: +180 store units at the measured 60/head (was ~+200 using total city demand / heads). Still the highest-return staffing move. Fits 24/day easily.</t>
        </is>
      </c>
    </row>
    <row r="124">
      <c r="A124" t="inlineStr">
        <is>
          <t>3. Full web rebuild 3 → 7 + 4 tactics</t>
        </is>
      </c>
      <c r="B124" s="174" t="inlineStr">
        <is>
          <t>Confirmed from a second direction: we are last in web units in every city, including the two we have stores in. Amsterdam 28 vs BB LLC 121.</t>
        </is>
      </c>
    </row>
    <row r="125">
      <c r="A125" t="inlineStr">
        <is>
          <t>4. NYC store sizing</t>
        </is>
      </c>
      <c r="B125" s="174" t="inlineStr">
        <is>
          <t>Floor ~340–370 store units (4-way split or Spoke'd Up match). Staff-7 at worst NYC rate ~434. BB LLC analog ~567. Retire 10% = 204. Enter via Speed; Spoke'd Up's Speed ad scores &lt;70.</t>
        </is>
      </c>
    </row>
    <row r="126">
      <c r="A126" t="inlineStr">
        <is>
          <t>5. Printers if NYC is in Q4</t>
        </is>
      </c>
      <c r="B126" s="174" t="inlineStr">
        <is>
          <t>Rio-fill + web rebuild already 24.3/day vs 24 owned. NYC at 340–570 on top needs ~2 more printers. Idle cash $1,010,838 funds it.</t>
        </is>
      </c>
    </row>
    <row r="127">
      <c r="A127" t="inlineStr">
        <is>
          <t>NOT a priority</t>
        </is>
      </c>
      <c r="B127" s="170" t="inlineStr">
        <is>
          <t>Adding Amsterdam heads (illegal — at cap). Bangalore vs LiteCycle's 48.6%. A 3rd brand.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42" customWidth="1" style="146" min="1" max="1"/>
    <col width="44" customWidth="1" style="146" min="2" max="2"/>
    <col width="28" customWidth="1" style="146" min="3" max="3"/>
    <col width="28" customWidth="1" style="146" min="4" max="4"/>
    <col width="22" customWidth="1" style="146" min="5" max="5"/>
    <col width="42" customWidth="1" style="146" min="6" max="6"/>
    <col width="48" customWidth="1" style="146" min="7" max="7"/>
    <col width="42" customWidth="1" style="146" min="8" max="8"/>
    <col width="14" customWidth="1" style="146" min="9" max="9"/>
    <col width="14" customWidth="1" style="146" min="10" max="10"/>
    <col width="14" customWidth="1" style="146" min="11" max="11"/>
    <col width="14" customWidth="1" style="146" min="12" max="12"/>
  </cols>
  <sheetData>
    <row r="1">
      <c r="A1" s="169" t="inlineStr">
        <is>
          <t>Organic SEM Results — Q3 actual</t>
        </is>
      </c>
    </row>
    <row r="2" ht="48" customHeight="1" s="146">
      <c r="A2" s="170" t="inlineStr">
        <is>
          <t>WeBike 144 clicks vs BB LLC 437. HikeBike 1 is #2 in Mountain (115 clicks, ad 80). Swift Bike is #5 in Speed (29 clicks, ad 70) with Rec/price copy. Organic is NOT why web sales are last: LiteCycle has 153 clicks and 435 web units; we have 144 and 120.</t>
        </is>
      </c>
    </row>
    <row r="4">
      <c r="A4" s="166" t="inlineStr">
        <is>
          <t>Segment</t>
        </is>
      </c>
      <c r="B4" s="166" t="inlineStr">
        <is>
          <t>Searches</t>
        </is>
      </c>
      <c r="C4" s="166" t="inlineStr">
        <is>
          <t>Listings</t>
        </is>
      </c>
      <c r="D4" s="166" t="inlineStr">
        <is>
          <t>Total clicks</t>
        </is>
      </c>
      <c r="E4" s="166" t="inlineStr">
        <is>
          <t>Clicks / searches</t>
        </is>
      </c>
    </row>
    <row r="5">
      <c r="A5" t="inlineStr">
        <is>
          <t>Recreation</t>
        </is>
      </c>
      <c r="B5" t="n">
        <v>1333</v>
      </c>
      <c r="C5" t="n">
        <v>4</v>
      </c>
      <c r="D5" t="n">
        <v>596</v>
      </c>
      <c r="E5" s="10" t="n">
        <v>0.4471117779444861</v>
      </c>
    </row>
    <row r="6">
      <c r="A6" t="inlineStr">
        <is>
          <t>Mountain</t>
        </is>
      </c>
      <c r="B6" t="n">
        <v>1027</v>
      </c>
      <c r="C6" t="n">
        <v>5</v>
      </c>
      <c r="D6" t="n">
        <v>500</v>
      </c>
      <c r="E6" s="10" t="n">
        <v>0.4868549172346641</v>
      </c>
    </row>
    <row r="7">
      <c r="A7" t="inlineStr">
        <is>
          <t>Speed</t>
        </is>
      </c>
      <c r="B7" t="n">
        <v>894</v>
      </c>
      <c r="C7" t="n">
        <v>9</v>
      </c>
      <c r="D7" t="n">
        <v>521</v>
      </c>
      <c r="E7" s="10" t="n">
        <v>0.5827740492170023</v>
      </c>
    </row>
    <row r="10">
      <c r="A10" s="166" t="inlineStr">
        <is>
          <t>Segment</t>
        </is>
      </c>
      <c r="B10" s="166" t="inlineStr">
        <is>
          <t>Pos</t>
        </is>
      </c>
      <c r="C10" s="166" t="inlineStr">
        <is>
          <t>Company</t>
        </is>
      </c>
      <c r="D10" s="166" t="inlineStr">
        <is>
          <t>Ad</t>
        </is>
      </c>
      <c r="E10" s="166" t="inlineStr">
        <is>
          <t>Brand</t>
        </is>
      </c>
      <c r="F10" s="166" t="inlineStr">
        <is>
          <t>SERP 1</t>
        </is>
      </c>
      <c r="G10" s="166" t="inlineStr">
        <is>
          <t>SERP 2</t>
        </is>
      </c>
      <c r="H10" s="166" t="inlineStr">
        <is>
          <t>SERP 3</t>
        </is>
      </c>
      <c r="I10" s="166" t="inlineStr">
        <is>
          <t>Clicks</t>
        </is>
      </c>
      <c r="J10" s="166" t="inlineStr">
        <is>
          <t>CTR</t>
        </is>
      </c>
      <c r="K10" s="166" t="inlineStr">
        <is>
          <t>Ad judgment</t>
        </is>
      </c>
      <c r="L10" s="166" t="inlineStr">
        <is>
          <t>Page $</t>
        </is>
      </c>
    </row>
    <row r="11">
      <c r="A11" t="inlineStr">
        <is>
          <t>Recreation</t>
        </is>
      </c>
      <c r="B11" t="n">
        <v>1</v>
      </c>
      <c r="C11" t="inlineStr">
        <is>
          <t>SpaceBikes</t>
        </is>
      </c>
      <c r="D11" t="inlineStr">
        <is>
          <t>Mars Rover 1</t>
        </is>
      </c>
      <c r="E11" t="inlineStr">
        <is>
          <t>Mars Rover</t>
        </is>
      </c>
      <c r="F11" t="inlineStr">
        <is>
          <t>Highest rated Recreation bike</t>
        </is>
      </c>
      <c r="G11" t="inlineStr">
        <is>
          <t>Lots of fun to ride</t>
        </is>
      </c>
      <c r="H11" t="inlineStr">
        <is>
          <t>Picture of riders on a greenway</t>
        </is>
      </c>
      <c r="I11" t="n">
        <v>303</v>
      </c>
      <c r="J11" s="213" t="n">
        <v>0.2273</v>
      </c>
      <c r="K11" t="n">
        <v>79</v>
      </c>
      <c r="L11" t="n">
        <v>1000</v>
      </c>
    </row>
    <row r="12">
      <c r="A12" t="inlineStr">
        <is>
          <t>Recreation</t>
        </is>
      </c>
      <c r="B12" t="n">
        <v>2</v>
      </c>
      <c r="C12" t="inlineStr">
        <is>
          <t>MILC Bikes</t>
        </is>
      </c>
      <c r="D12" t="inlineStr">
        <is>
          <t>Whole MILC MKII</t>
        </is>
      </c>
      <c r="E12" t="inlineStr">
        <is>
          <t>Whole MILC MKII</t>
        </is>
      </c>
      <c r="F12" t="inlineStr">
        <is>
          <t>Easy riding on a comfort seat</t>
        </is>
      </c>
      <c r="G12" t="inlineStr">
        <is>
          <t>Keep your head high - comfort straight handlebar</t>
        </is>
      </c>
      <c r="H12" t="inlineStr">
        <is>
          <t>Enjoy your ride - carbon fiber light</t>
        </is>
      </c>
      <c r="I12" t="n">
        <v>144</v>
      </c>
      <c r="J12" s="213" t="n">
        <v>0.108</v>
      </c>
      <c r="K12" t="n">
        <v>77</v>
      </c>
      <c r="L12" t="n">
        <v>1000</v>
      </c>
    </row>
    <row r="13">
      <c r="A13" t="inlineStr">
        <is>
          <t>Recreation</t>
        </is>
      </c>
      <c r="B13" t="n">
        <v>3</v>
      </c>
      <c r="C13" t="inlineStr">
        <is>
          <t>Bike Bros</t>
        </is>
      </c>
      <c r="D13" t="inlineStr">
        <is>
          <t>Easy Rider</t>
        </is>
      </c>
      <c r="E13" t="inlineStr">
        <is>
          <t>MountainCruise1</t>
        </is>
      </c>
      <c r="F13" t="inlineStr">
        <is>
          <t>Easy riding on a comfort seat</t>
        </is>
      </c>
      <c r="G13" t="inlineStr">
        <is>
          <t>Keep your head high - comfort straight handlebar</t>
        </is>
      </c>
      <c r="H13" t="inlineStr">
        <is>
          <t>Picture of riders on a greenway</t>
        </is>
      </c>
      <c r="I13" t="n">
        <v>88</v>
      </c>
      <c r="J13" s="213" t="n">
        <v>0.066</v>
      </c>
      <c r="K13" t="n">
        <v>75</v>
      </c>
      <c r="L13" t="n">
        <v>1000</v>
      </c>
    </row>
    <row r="14">
      <c r="A14" t="inlineStr">
        <is>
          <t>Recreation</t>
        </is>
      </c>
      <c r="B14" t="n">
        <v>4</v>
      </c>
      <c r="C14" t="inlineStr">
        <is>
          <t>Spoke'd Up</t>
        </is>
      </c>
      <c r="D14" t="inlineStr">
        <is>
          <t>Spoke'd Easy</t>
        </is>
      </c>
      <c r="E14" t="inlineStr">
        <is>
          <t>Spoke'd Easy</t>
        </is>
      </c>
      <c r="F14" t="inlineStr">
        <is>
          <t>Easy riding on a comfort seat</t>
        </is>
      </c>
      <c r="G14" t="inlineStr">
        <is>
          <t>Lots of fun to ride</t>
        </is>
      </c>
      <c r="H14" t="inlineStr">
        <is>
          <t>Keep your head high - comfort straight handlebar</t>
        </is>
      </c>
      <c r="I14" t="n">
        <v>61</v>
      </c>
      <c r="J14" s="213" t="n">
        <v>0.0458</v>
      </c>
      <c r="K14" t="n">
        <v>59</v>
      </c>
      <c r="L14" t="n">
        <v>1000</v>
      </c>
    </row>
    <row r="15">
      <c r="A15" t="inlineStr">
        <is>
          <t>Mountain</t>
        </is>
      </c>
      <c r="B15" t="n">
        <v>1</v>
      </c>
      <c r="C15" t="inlineStr">
        <is>
          <t>BB LLC</t>
        </is>
      </c>
      <c r="D15" t="inlineStr">
        <is>
          <t>BB Big Momma</t>
        </is>
      </c>
      <c r="E15" t="inlineStr">
        <is>
          <t>Blu Ruged Ballz</t>
        </is>
      </c>
      <c r="F15" t="inlineStr">
        <is>
          <t>Tackle steep climbs with more gears</t>
        </is>
      </c>
      <c r="G15" t="inlineStr">
        <is>
          <t>Grab the path with high tread tires</t>
        </is>
      </c>
      <c r="H15" t="inlineStr">
        <is>
          <t>Highest rated Mountain bike</t>
        </is>
      </c>
      <c r="I15" t="n">
        <v>237</v>
      </c>
      <c r="J15" s="213" t="n">
        <v>0.2308</v>
      </c>
      <c r="K15" t="n">
        <v>81</v>
      </c>
      <c r="L15" t="n">
        <v>1000</v>
      </c>
    </row>
    <row r="16">
      <c r="A16" s="171" t="inlineStr">
        <is>
          <t>Mountain</t>
        </is>
      </c>
      <c r="B16" s="171" t="n">
        <v>2</v>
      </c>
      <c r="C16" s="171" t="inlineStr">
        <is>
          <t>WeBike</t>
        </is>
      </c>
      <c r="D16" s="171" t="inlineStr">
        <is>
          <t>HikeBike 1</t>
        </is>
      </c>
      <c r="E16" s="171" t="inlineStr">
        <is>
          <t>Hike Bike</t>
        </is>
      </c>
      <c r="F16" s="171" t="inlineStr">
        <is>
          <t>Picture of a rider on a steep trail</t>
        </is>
      </c>
      <c r="G16" s="171" t="inlineStr">
        <is>
          <t>Tackle steep climbs with more gears</t>
        </is>
      </c>
      <c r="H16" s="171" t="inlineStr">
        <is>
          <t>Grab the path with high tread tires</t>
        </is>
      </c>
      <c r="I16" s="171" t="n">
        <v>115</v>
      </c>
      <c r="J16" s="214" t="n">
        <v>0.112</v>
      </c>
      <c r="K16" s="171" t="n">
        <v>80</v>
      </c>
      <c r="L16" s="171" t="n">
        <v>1000</v>
      </c>
    </row>
    <row r="17">
      <c r="A17" t="inlineStr">
        <is>
          <t>Mountain</t>
        </is>
      </c>
      <c r="B17" t="n">
        <v>3</v>
      </c>
      <c r="C17" t="inlineStr">
        <is>
          <t>LiteCycle</t>
        </is>
      </c>
      <c r="D17" t="inlineStr">
        <is>
          <t>Trail Blazing 1</t>
        </is>
      </c>
      <c r="E17" t="inlineStr">
        <is>
          <t>LiteTrail Pro</t>
        </is>
      </c>
      <c r="F17" t="inlineStr">
        <is>
          <t>Picture of a rider on a steep trail</t>
        </is>
      </c>
      <c r="G17" t="inlineStr">
        <is>
          <t>Mountains are no longer difficult</t>
        </is>
      </c>
      <c r="H17" t="inlineStr">
        <is>
          <t>Have an adventure on a carbon bike!</t>
        </is>
      </c>
      <c r="I17" t="n">
        <v>69</v>
      </c>
      <c r="J17" s="213" t="n">
        <v>0.0672</v>
      </c>
      <c r="K17" t="n">
        <v>79</v>
      </c>
      <c r="L17" t="n">
        <v>1000</v>
      </c>
    </row>
    <row r="18">
      <c r="A18" t="inlineStr">
        <is>
          <t>Mountain</t>
        </is>
      </c>
      <c r="B18" t="n">
        <v>4</v>
      </c>
      <c r="C18" t="inlineStr">
        <is>
          <t>Bike Bros</t>
        </is>
      </c>
      <c r="D18" t="inlineStr">
        <is>
          <t>TerraTech</t>
        </is>
      </c>
      <c r="E18" t="inlineStr">
        <is>
          <t>TERRAMAX</t>
        </is>
      </c>
      <c r="F18" t="inlineStr">
        <is>
          <t>Picture of a rider on a steep trail</t>
        </is>
      </c>
      <c r="G18" t="inlineStr">
        <is>
          <t>Go anywhere on a tough carbon bike</t>
        </is>
      </c>
      <c r="H18" t="inlineStr">
        <is>
          <t>Local sales &amp; service</t>
        </is>
      </c>
      <c r="I18" t="n">
        <v>46</v>
      </c>
      <c r="J18" s="213" t="n">
        <v>0.0448</v>
      </c>
      <c r="K18" t="n">
        <v>78</v>
      </c>
      <c r="L18" t="n">
        <v>1000</v>
      </c>
    </row>
    <row r="19">
      <c r="A19" t="inlineStr">
        <is>
          <t>Mountain</t>
        </is>
      </c>
      <c r="B19" t="n">
        <v>5</v>
      </c>
      <c r="C19" t="inlineStr">
        <is>
          <t>Bike Bros</t>
        </is>
      </c>
      <c r="D19" t="inlineStr">
        <is>
          <t>Mountainability</t>
        </is>
      </c>
      <c r="E19" t="inlineStr">
        <is>
          <t>TERRAMAX</t>
        </is>
      </c>
      <c r="F19" t="inlineStr">
        <is>
          <t>Picture of a rider on a steep trail</t>
        </is>
      </c>
      <c r="G19" t="inlineStr">
        <is>
          <t>Have an adventure on a carbon bike!</t>
        </is>
      </c>
      <c r="H19" t="inlineStr">
        <is>
          <t>Tackle steep climbs with more gears</t>
        </is>
      </c>
      <c r="I19" t="n">
        <v>33</v>
      </c>
      <c r="J19" s="213" t="n">
        <v>0.0321</v>
      </c>
      <c r="K19" t="n">
        <v>77</v>
      </c>
      <c r="L19" t="n">
        <v>1000</v>
      </c>
    </row>
    <row r="20">
      <c r="A20" t="inlineStr">
        <is>
          <t>Speed</t>
        </is>
      </c>
      <c r="B20" t="n">
        <v>1</v>
      </c>
      <c r="C20" t="inlineStr">
        <is>
          <t>BB LLC</t>
        </is>
      </c>
      <c r="D20" t="inlineStr">
        <is>
          <t>Unleash lil pap</t>
        </is>
      </c>
      <c r="E20" t="inlineStr">
        <is>
          <t>Blu Tube Ballz</t>
        </is>
      </c>
      <c r="F20" t="inlineStr">
        <is>
          <t>Ride a wind-cheater</t>
        </is>
      </c>
      <c r="G20" t="inlineStr">
        <is>
          <t>Roll fast with racing tires</t>
        </is>
      </c>
      <c r="H20" t="inlineStr">
        <is>
          <t>Elite look - a ride of distinction</t>
        </is>
      </c>
      <c r="I20" t="n">
        <v>200</v>
      </c>
      <c r="J20" s="213" t="n">
        <v>0.2237</v>
      </c>
      <c r="K20" t="n">
        <v>76</v>
      </c>
      <c r="L20" t="n">
        <v>1000</v>
      </c>
    </row>
    <row r="21">
      <c r="A21" t="inlineStr">
        <is>
          <t>Speed</t>
        </is>
      </c>
      <c r="B21" t="n">
        <v>2</v>
      </c>
      <c r="C21" t="inlineStr">
        <is>
          <t>SpaceBikes</t>
        </is>
      </c>
      <c r="D21" t="inlineStr">
        <is>
          <t>The Armstrong 1</t>
        </is>
      </c>
      <c r="E21" t="inlineStr">
        <is>
          <t>The Armstrong</t>
        </is>
      </c>
      <c r="F21" t="inlineStr">
        <is>
          <t>Highest rated Speed bike</t>
        </is>
      </c>
      <c r="G21" t="inlineStr">
        <is>
          <t>Picture of road race</t>
        </is>
      </c>
      <c r="H21" t="inlineStr">
        <is>
          <t>Fast and furious</t>
        </is>
      </c>
      <c r="I21" t="n">
        <v>98</v>
      </c>
      <c r="J21" s="213" t="n">
        <v>0.1096</v>
      </c>
      <c r="K21" t="n">
        <v>77</v>
      </c>
      <c r="L21" t="n">
        <v>1000</v>
      </c>
    </row>
    <row r="22">
      <c r="A22" t="inlineStr">
        <is>
          <t>Speed</t>
        </is>
      </c>
      <c r="B22" t="n">
        <v>3</v>
      </c>
      <c r="C22" t="inlineStr">
        <is>
          <t>LiteCycle</t>
        </is>
      </c>
      <c r="D22" t="inlineStr">
        <is>
          <t>Speed of Lite 1</t>
        </is>
      </c>
      <c r="E22" t="inlineStr">
        <is>
          <t>LiteSpeed Pro+</t>
        </is>
      </c>
      <c r="F22" t="inlineStr">
        <is>
          <t>Picture of road race</t>
        </is>
      </c>
      <c r="G22" t="inlineStr">
        <is>
          <t>Ride a wind-cheater</t>
        </is>
      </c>
      <c r="H22" t="inlineStr">
        <is>
          <t>Elite look - a ride of distinction</t>
        </is>
      </c>
      <c r="I22" t="n">
        <v>61</v>
      </c>
      <c r="J22" s="213" t="n">
        <v>0.0682</v>
      </c>
      <c r="K22" t="n">
        <v>77</v>
      </c>
      <c r="L22" t="n">
        <v>1000</v>
      </c>
    </row>
    <row r="23">
      <c r="A23" t="inlineStr">
        <is>
          <t>Speed</t>
        </is>
      </c>
      <c r="B23" t="n">
        <v>4</v>
      </c>
      <c r="C23" t="inlineStr">
        <is>
          <t>MILC Bikes</t>
        </is>
      </c>
      <c r="D23" t="inlineStr">
        <is>
          <t>Skim MILC MKII</t>
        </is>
      </c>
      <c r="E23" t="inlineStr">
        <is>
          <t>Skim MILC MKII</t>
        </is>
      </c>
      <c r="F23" t="inlineStr">
        <is>
          <t>Picture of road race</t>
        </is>
      </c>
      <c r="G23" t="inlineStr">
        <is>
          <t>Ride a wind-cheater</t>
        </is>
      </c>
      <c r="H23" t="inlineStr">
        <is>
          <t>Elite look - a ride of distinction</t>
        </is>
      </c>
      <c r="I23" t="n">
        <v>43</v>
      </c>
      <c r="J23" s="213" t="n">
        <v>0.0481</v>
      </c>
      <c r="K23" t="n">
        <v>75</v>
      </c>
      <c r="L23" t="n">
        <v>1000</v>
      </c>
    </row>
    <row r="24">
      <c r="A24" s="171" t="inlineStr">
        <is>
          <t>Speed</t>
        </is>
      </c>
      <c r="B24" s="171" t="n">
        <v>5</v>
      </c>
      <c r="C24" s="171" t="inlineStr">
        <is>
          <t>WeBike</t>
        </is>
      </c>
      <c r="D24" s="171" t="inlineStr">
        <is>
          <t>Swift Bike</t>
        </is>
      </c>
      <c r="E24" s="171" t="inlineStr">
        <is>
          <t>Swift Bike</t>
        </is>
      </c>
      <c r="F24" s="171" t="inlineStr">
        <is>
          <t>Picture of road race</t>
        </is>
      </c>
      <c r="G24" s="171" t="inlineStr">
        <is>
          <t>Enjoy your ride - carbon fiber light</t>
        </is>
      </c>
      <c r="H24" s="171" t="inlineStr">
        <is>
          <t>Carbon fiber quality at a great price</t>
        </is>
      </c>
      <c r="I24" s="171" t="n">
        <v>29</v>
      </c>
      <c r="J24" s="214" t="n">
        <v>0.0324</v>
      </c>
      <c r="K24" s="171" t="n">
        <v>70</v>
      </c>
      <c r="L24" s="171" t="n">
        <v>1000</v>
      </c>
    </row>
    <row r="25">
      <c r="A25" t="inlineStr">
        <is>
          <t>Speed</t>
        </is>
      </c>
      <c r="B25" t="n">
        <v>6</v>
      </c>
      <c r="C25" t="inlineStr">
        <is>
          <t>LiteCycle</t>
        </is>
      </c>
      <c r="D25" t="inlineStr">
        <is>
          <t>Speed of Lite 2</t>
        </is>
      </c>
      <c r="E25" t="inlineStr">
        <is>
          <t>LiteSpeed+</t>
        </is>
      </c>
      <c r="F25" t="inlineStr">
        <is>
          <t>Picture of road race</t>
        </is>
      </c>
      <c r="G25" t="inlineStr">
        <is>
          <t>Enjoy your ride - carbon fiber light</t>
        </is>
      </c>
      <c r="H25" t="inlineStr">
        <is>
          <t>Ride a wind-cheater</t>
        </is>
      </c>
      <c r="I25" t="n">
        <v>23</v>
      </c>
      <c r="J25" s="213" t="n">
        <v>0.0257</v>
      </c>
      <c r="K25" t="n">
        <v>73</v>
      </c>
      <c r="L25" t="n">
        <v>1000</v>
      </c>
    </row>
    <row r="26">
      <c r="A26" t="inlineStr">
        <is>
          <t>Speed</t>
        </is>
      </c>
      <c r="B26" t="n">
        <v>7</v>
      </c>
      <c r="C26" t="inlineStr">
        <is>
          <t>Bike Bros</t>
        </is>
      </c>
      <c r="D26" t="inlineStr">
        <is>
          <t>AndStill</t>
        </is>
      </c>
      <c r="E26" t="inlineStr">
        <is>
          <t>MACH I.I</t>
        </is>
      </c>
      <c r="F26" t="inlineStr">
        <is>
          <t>Picture of road race</t>
        </is>
      </c>
      <c r="G26" t="inlineStr">
        <is>
          <t>Ride a wind-cheater</t>
        </is>
      </c>
      <c r="H26" t="inlineStr">
        <is>
          <t>Elite look - a ride of distinction</t>
        </is>
      </c>
      <c r="I26" t="n">
        <v>23</v>
      </c>
      <c r="J26" s="213" t="n">
        <v>0.0257</v>
      </c>
      <c r="K26" t="n">
        <v>78</v>
      </c>
      <c r="L26" t="n">
        <v>1000</v>
      </c>
    </row>
    <row r="27">
      <c r="A27" t="inlineStr">
        <is>
          <t>Speed</t>
        </is>
      </c>
      <c r="B27" t="n">
        <v>8</v>
      </c>
      <c r="C27" t="inlineStr">
        <is>
          <t>Bike Bros</t>
        </is>
      </c>
      <c r="D27" t="inlineStr">
        <is>
          <t>Excluspeedity</t>
        </is>
      </c>
      <c r="E27" t="inlineStr">
        <is>
          <t>MACH I.I</t>
        </is>
      </c>
      <c r="F27" t="inlineStr">
        <is>
          <t>Picture of road race</t>
        </is>
      </c>
      <c r="G27" t="inlineStr">
        <is>
          <t>Ride a wind-cheater</t>
        </is>
      </c>
      <c r="H27" t="inlineStr">
        <is>
          <t>Fast and furious</t>
        </is>
      </c>
      <c r="I27" t="n">
        <v>23</v>
      </c>
      <c r="J27" s="213" t="n">
        <v>0.0257</v>
      </c>
      <c r="K27" t="n">
        <v>72</v>
      </c>
      <c r="L27" t="n">
        <v>1000</v>
      </c>
    </row>
    <row r="28">
      <c r="A28" t="inlineStr">
        <is>
          <t>Speed</t>
        </is>
      </c>
      <c r="B28" t="n">
        <v>9</v>
      </c>
      <c r="C28" t="inlineStr">
        <is>
          <t>Spoke'd Up</t>
        </is>
      </c>
      <c r="D28" t="inlineStr">
        <is>
          <t>Spoke'd Speed</t>
        </is>
      </c>
      <c r="E28" t="inlineStr">
        <is>
          <t>Spoke'd Speed</t>
        </is>
      </c>
      <c r="F28" t="inlineStr">
        <is>
          <t>Fast and furious</t>
        </is>
      </c>
      <c r="G28" t="inlineStr">
        <is>
          <t>Ride a wind-cheater</t>
        </is>
      </c>
      <c r="H28" t="inlineStr">
        <is>
          <t>Roll fast with racing tires</t>
        </is>
      </c>
      <c r="I28" t="n">
        <v>21</v>
      </c>
      <c r="J28" s="213" t="n">
        <v>0.0235</v>
      </c>
      <c r="K28" t="n">
        <v>57</v>
      </c>
      <c r="L28" t="n">
        <v>1000</v>
      </c>
    </row>
    <row r="31">
      <c r="A31" s="166" t="inlineStr">
        <is>
          <t>COMPANY TOTALS</t>
        </is>
      </c>
      <c r="B31" s="166" t="inlineStr">
        <is>
          <t>Organic clicks</t>
        </is>
      </c>
      <c r="C31" s="166" t="inlineStr">
        <is>
          <t>Web demand</t>
        </is>
      </c>
      <c r="D31" s="166" t="inlineStr">
        <is>
          <t>Web units per click</t>
        </is>
      </c>
      <c r="E31" s="166" t="inlineStr">
        <is>
          <t>Note</t>
        </is>
      </c>
    </row>
    <row r="32">
      <c r="A32" t="inlineStr">
        <is>
          <t>BB LLC</t>
        </is>
      </c>
      <c r="B32" t="n">
        <v>437</v>
      </c>
      <c r="C32" t="n">
        <v>569</v>
      </c>
      <c r="D32" s="102" t="n">
        <v>1.302059496567506</v>
      </c>
      <c r="E32" s="170" t="inlineStr">
        <is>
          <t>best; #1 Mountain + #1 Speed, no Rec page</t>
        </is>
      </c>
    </row>
    <row r="33">
      <c r="A33" t="inlineStr">
        <is>
          <t>SpaceBikes</t>
        </is>
      </c>
      <c r="B33" t="n">
        <v>401</v>
      </c>
      <c r="C33" t="n">
        <v>491</v>
      </c>
      <c r="D33" s="102" t="n">
        <v>1.224438902743142</v>
      </c>
      <c r="E33" s="170" t="inlineStr"/>
    </row>
    <row r="34">
      <c r="A34" t="inlineStr">
        <is>
          <t>Bike Bros</t>
        </is>
      </c>
      <c r="B34" t="n">
        <v>213</v>
      </c>
      <c r="C34" t="n">
        <v>0</v>
      </c>
      <c r="D34" s="102" t="n">
        <v>0</v>
      </c>
      <c r="E34" s="170" t="inlineStr">
        <is>
          <t>213 clicks, 0 web centre -&gt; organic without ops captures nothing online</t>
        </is>
      </c>
    </row>
    <row r="35">
      <c r="A35" t="inlineStr">
        <is>
          <t>MILC Bikes</t>
        </is>
      </c>
      <c r="B35" t="n">
        <v>187</v>
      </c>
      <c r="C35" t="n">
        <v>435</v>
      </c>
      <c r="D35" s="102" t="n">
        <v>2.32620320855615</v>
      </c>
      <c r="E35" s="170" t="inlineStr"/>
    </row>
    <row r="36">
      <c r="A36" t="inlineStr">
        <is>
          <t>LiteCycle</t>
        </is>
      </c>
      <c r="B36" t="n">
        <v>153</v>
      </c>
      <c r="C36" t="n">
        <v>435</v>
      </c>
      <c r="D36" s="215" t="n">
        <v>2.843137254901961</v>
      </c>
      <c r="E36" s="170" t="inlineStr">
        <is>
          <t>almost our traffic, 3.6x our web sales</t>
        </is>
      </c>
    </row>
    <row r="37">
      <c r="A37" s="171" t="inlineStr">
        <is>
          <t>WeBike</t>
        </is>
      </c>
      <c r="B37" s="188" t="n">
        <v>144</v>
      </c>
      <c r="C37" s="171" t="n">
        <v>120</v>
      </c>
      <c r="D37" s="216" t="n">
        <v>0.8333333333333334</v>
      </c>
      <c r="E37" s="194" t="inlineStr">
        <is>
          <t>6th of 7; 115 Mountain + 29 Speed + 0 Rec</t>
        </is>
      </c>
    </row>
    <row r="38">
      <c r="A38" t="inlineStr">
        <is>
          <t>Spoke'd Up</t>
        </is>
      </c>
      <c r="B38" t="n">
        <v>82</v>
      </c>
      <c r="C38" t="n">
        <v>138</v>
      </c>
      <c r="D38" s="102" t="n">
        <v>1.682926829268293</v>
      </c>
      <c r="E38" s="170" t="inlineStr"/>
    </row>
    <row r="41">
      <c r="A41" s="166" t="inlineStr">
        <is>
          <t>CTR BY POSITION (clicks / searches) — almost identical across segments</t>
        </is>
      </c>
      <c r="B41" s="166" t="inlineStr">
        <is>
          <t>Recreation</t>
        </is>
      </c>
      <c r="C41" s="166" t="inlineStr">
        <is>
          <t>Mountain</t>
        </is>
      </c>
      <c r="D41" s="166" t="inlineStr">
        <is>
          <t>Speed</t>
        </is>
      </c>
    </row>
    <row r="42">
      <c r="A42" t="inlineStr">
        <is>
          <t>Position 1</t>
        </is>
      </c>
      <c r="B42" s="213" t="n">
        <v>0.2273</v>
      </c>
      <c r="C42" s="213" t="n">
        <v>0.2308</v>
      </c>
      <c r="D42" s="217" t="n">
        <v>0.2237</v>
      </c>
    </row>
    <row r="43">
      <c r="A43" t="inlineStr">
        <is>
          <t>Position 2</t>
        </is>
      </c>
      <c r="B43" s="213" t="n">
        <v>0.108</v>
      </c>
      <c r="C43" s="213" t="n">
        <v>0.112</v>
      </c>
      <c r="D43" s="217" t="n">
        <v>0.1096</v>
      </c>
    </row>
    <row r="44">
      <c r="A44" t="inlineStr">
        <is>
          <t>Position 3</t>
        </is>
      </c>
      <c r="B44" s="213" t="n">
        <v>0.066</v>
      </c>
      <c r="C44" s="213" t="n">
        <v>0.0672</v>
      </c>
      <c r="D44" s="217" t="n">
        <v>0.0682</v>
      </c>
    </row>
    <row r="45">
      <c r="A45" t="inlineStr">
        <is>
          <t>Position 4</t>
        </is>
      </c>
      <c r="B45" s="213" t="n">
        <v>0.0458</v>
      </c>
      <c r="C45" s="213" t="n">
        <v>0.0448</v>
      </c>
      <c r="D45" s="217" t="n">
        <v>0.0481</v>
      </c>
    </row>
    <row r="46">
      <c r="A46" t="inlineStr">
        <is>
          <t>Position 5</t>
        </is>
      </c>
      <c r="B46" s="213" t="n"/>
      <c r="C46" s="213" t="n">
        <v>0.0321</v>
      </c>
      <c r="D46" s="217" t="n">
        <v>0.0324</v>
      </c>
    </row>
    <row r="47">
      <c r="A47" t="inlineStr">
        <is>
          <t>Position 6</t>
        </is>
      </c>
      <c r="B47" s="213" t="n"/>
      <c r="C47" s="213" t="n"/>
      <c r="D47" s="217" t="n">
        <v>0.0257</v>
      </c>
    </row>
    <row r="48">
      <c r="A48" t="inlineStr">
        <is>
          <t>Position 7</t>
        </is>
      </c>
      <c r="B48" s="213" t="n"/>
      <c r="C48" s="213" t="n"/>
      <c r="D48" s="217" t="n">
        <v>0.0257</v>
      </c>
    </row>
    <row r="49">
      <c r="A49" t="inlineStr">
        <is>
          <t>Position 8</t>
        </is>
      </c>
      <c r="B49" s="213" t="n"/>
      <c r="C49" s="213" t="n"/>
      <c r="D49" s="217" t="n">
        <v>0.0257</v>
      </c>
    </row>
    <row r="50">
      <c r="A50" t="inlineStr">
        <is>
          <t>Position 9</t>
        </is>
      </c>
      <c r="B50" s="213" t="n"/>
      <c r="C50" s="213" t="n"/>
      <c r="D50" s="217" t="n">
        <v>0.0235</v>
      </c>
    </row>
    <row r="51">
      <c r="A51" t="inlineStr">
        <is>
          <t>Read</t>
        </is>
      </c>
      <c r="D51" s="170" t="inlineStr">
        <is>
          <t>Position 1 always takes ~22-23% of searches, position 2 ~11%, position 3 ~6.7%. CTR is a function of RANK, not ad judgment. Ad judgment sets rank in Rec and Mountain (monotonic) but NOT in Speed (AndStill 78 sits at #7).</t>
        </is>
      </c>
    </row>
    <row r="54">
      <c r="A54" s="166" t="inlineStr">
        <is>
          <t>SERP MECHANICS</t>
        </is>
      </c>
      <c r="B54" s="166" t="inlineStr">
        <is>
          <t>Finding</t>
        </is>
      </c>
    </row>
    <row r="55">
      <c r="A55" t="inlineStr">
        <is>
          <t>Web page investment</t>
        </is>
      </c>
      <c r="B55" s="170" t="inlineStr">
        <is>
          <t>Every listing is $1,000. No one spent more. Page $ is not a Q3 lever.</t>
        </is>
      </c>
    </row>
    <row r="56">
      <c r="A56" t="inlineStr">
        <is>
          <t>Brand name on SERP</t>
        </is>
      </c>
      <c r="B56" s="170" t="inlineStr">
        <is>
          <t>HikeBike 1 locked rank 1 = Mention brand name, but the snippet is picture / gears / tires (locked ranks 2-4). Brand fills the Ad/Brand columns; it does NOT consume a content slot. SERP shows the next three benefits.</t>
        </is>
      </c>
    </row>
    <row r="57">
      <c r="A57" t="inlineStr">
        <is>
          <t>Picture-first underperforms</t>
        </is>
      </c>
      <c r="B57" s="170" t="inlineStr">
        <is>
          <t>Rec #1 and Mountain #1 lead with a CLAIM (Highest rated / gears). Our Mountain page leads with a picture and sits #2. Speed positions 3-8 almost all lead with the road-race picture; positions 1-2 do not.</t>
        </is>
      </c>
    </row>
    <row r="58">
      <c r="A58" t="inlineStr">
        <is>
          <t>Two pages in one segment cannibalize</t>
        </is>
      </c>
      <c r="B58" s="170" t="inlineStr">
        <is>
          <t>Bike Bros 2 Mountain ads = 79 clicks vs our one page at 115. Their 2 Speed ads both stall at 23 clicks. Do not add a second page.</t>
        </is>
      </c>
    </row>
    <row r="61">
      <c r="A61" s="166" t="inlineStr">
        <is>
          <t>COPY vs WINNERS</t>
        </is>
      </c>
      <c r="B61" s="166" t="inlineStr">
        <is>
          <t>SERP 1</t>
        </is>
      </c>
      <c r="C61" s="166" t="inlineStr">
        <is>
          <t>SERP 2</t>
        </is>
      </c>
      <c r="D61" s="166" t="inlineStr">
        <is>
          <t>SERP 3</t>
        </is>
      </c>
      <c r="E61" s="166" t="inlineStr">
        <is>
          <t>Ad j</t>
        </is>
      </c>
      <c r="F61" s="166" t="inlineStr">
        <is>
          <t>Pos</t>
        </is>
      </c>
      <c r="G61" s="166" t="inlineStr">
        <is>
          <t>Clicks</t>
        </is>
      </c>
    </row>
    <row r="62">
      <c r="A62" t="inlineStr">
        <is>
          <t>BB LLC Mountain (best)</t>
        </is>
      </c>
      <c r="B62" t="inlineStr">
        <is>
          <t>Tackle steep climbs with more gears</t>
        </is>
      </c>
      <c r="C62" t="inlineStr">
        <is>
          <t>Grab the path with high tread tires</t>
        </is>
      </c>
      <c r="D62" t="inlineStr">
        <is>
          <t>Highest rated Mountain bike</t>
        </is>
      </c>
      <c r="E62" t="n">
        <v>81</v>
      </c>
      <c r="F62" t="n">
        <v>1</v>
      </c>
      <c r="G62" s="170" t="n">
        <v>237</v>
      </c>
    </row>
    <row r="63">
      <c r="A63" s="173" t="inlineStr">
        <is>
          <t>WeBike HikeBike 1</t>
        </is>
      </c>
      <c r="B63" t="inlineStr">
        <is>
          <t>Picture of a rider on a steep trail</t>
        </is>
      </c>
      <c r="C63" t="inlineStr">
        <is>
          <t>Tackle steep climbs with more gears</t>
        </is>
      </c>
      <c r="D63" t="inlineStr">
        <is>
          <t>Grab the path with high tread tires</t>
        </is>
      </c>
      <c r="E63" t="n">
        <v>80</v>
      </c>
      <c r="F63" t="n">
        <v>2</v>
      </c>
      <c r="G63" s="170" t="n">
        <v>115</v>
      </c>
    </row>
    <row r="64">
      <c r="A64" t="inlineStr">
        <is>
          <t>BB LLC Speed (best)</t>
        </is>
      </c>
      <c r="B64" t="inlineStr">
        <is>
          <t>Ride a wind-cheater</t>
        </is>
      </c>
      <c r="C64" t="inlineStr">
        <is>
          <t>Roll fast with racing tires</t>
        </is>
      </c>
      <c r="D64" t="inlineStr">
        <is>
          <t>Elite look - a ride of distinction</t>
        </is>
      </c>
      <c r="E64" t="n">
        <v>76</v>
      </c>
      <c r="F64" t="n">
        <v>1</v>
      </c>
      <c r="G64" s="170" t="n">
        <v>200</v>
      </c>
    </row>
    <row r="65">
      <c r="A65" s="173" t="inlineStr">
        <is>
          <t>WeBike Swift Bike</t>
        </is>
      </c>
      <c r="B65" t="inlineStr">
        <is>
          <t>Picture of road race</t>
        </is>
      </c>
      <c r="C65" t="inlineStr">
        <is>
          <t>Enjoy your ride - carbon fiber light</t>
        </is>
      </c>
      <c r="D65" t="inlineStr">
        <is>
          <t>Carbon fiber quality at a great price</t>
        </is>
      </c>
      <c r="E65" s="167" t="n">
        <v>70</v>
      </c>
      <c r="F65" t="n">
        <v>5</v>
      </c>
      <c r="G65" s="170" t="n">
        <v>29</v>
      </c>
    </row>
    <row r="66">
      <c r="A66" t="inlineStr">
        <is>
          <t>Read</t>
        </is>
      </c>
      <c r="G66" s="174" t="inlineStr">
        <is>
          <t>HikeBike 1 is one point and one picture away from the #1 recipe; Hike Bike IS tied for highest-rated Mountain so we can claim it. Swift Bike SERP is Rec-coded (enjoy your ride) plus HikeBike 1's price claim. Speed is the least price-sensitive segment. This CONFIRMS the Q3_Ad_Judgment clone hypothesis with the actual copy.</t>
        </is>
      </c>
    </row>
    <row r="69">
      <c r="A69" s="166" t="inlineStr">
        <is>
          <t>Q4 SEM ACTIONS (not locked)</t>
        </is>
      </c>
      <c r="B69" s="166" t="inlineStr">
        <is>
          <t>Decision</t>
        </is>
      </c>
    </row>
    <row r="70">
      <c r="A70" t="inlineStr">
        <is>
          <t>Organic is not the web problem</t>
        </is>
      </c>
      <c r="B70" s="174" t="inlineStr">
        <is>
          <t>144 vs LiteCycle 153 clicks, 120 vs 435 web units. Rebuild web staff 3-&gt;7 and fund all 4 tactics. That is the +315 unit / +$189,800 case.</t>
        </is>
      </c>
    </row>
    <row r="71">
      <c r="A71" t="inlineStr">
        <is>
          <t>Swift Bike ad</t>
        </is>
      </c>
      <c r="B71" s="174" t="inlineStr">
        <is>
          <t>REDESIGN SERP around Speed cues. Target top 3 after brand: wind-cheater / racing tires / elite look (or Highest rated Speed bike once design hits 77). Drop 'great price' and 'enjoy your ride'. Already required for Marketing Effectiveness 0.7675.</t>
        </is>
      </c>
    </row>
    <row r="72">
      <c r="A72" t="inlineStr">
        <is>
          <t>HikeBike 1</t>
        </is>
      </c>
      <c r="B72" s="174" t="inlineStr">
        <is>
          <t>KEEP as the default. 80 vs 81, position 2 of 5. Optional cheap tweak if we are already in Ad Design: rank gears / tires / Highest rated Mountain bike so the snippet matches BB LLC. Do not pay a full redesign fee for one point.</t>
        </is>
      </c>
    </row>
    <row r="73">
      <c r="A73" t="inlineStr">
        <is>
          <t>Recreation page</t>
        </is>
      </c>
      <c r="B73" s="174" t="inlineStr">
        <is>
          <t>Do not add. No Rec brand; Rec winners all lead with comfort-seat copy we cannot truthfully run on Hike Bike.</t>
        </is>
      </c>
    </row>
    <row r="74">
      <c r="A74" t="inlineStr">
        <is>
          <t>Second page in a segment</t>
        </is>
      </c>
      <c r="B74" s="174" t="inlineStr">
        <is>
          <t>Do not. Bike Bros split themselves and finished last.</t>
        </is>
      </c>
    </row>
    <row r="75">
      <c r="A75" t="inlineStr">
        <is>
          <t>Page investment</t>
        </is>
      </c>
      <c r="B75" s="174" t="inlineStr">
        <is>
          <t>Leave at $1,000 until a rival demonstrates that spending more moves rank.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I126"/>
  <sheetViews>
    <sheetView workbookViewId="0">
      <selection activeCell="A1" sqref="A1"/>
    </sheetView>
  </sheetViews>
  <sheetFormatPr baseColWidth="8" defaultRowHeight="15"/>
  <cols>
    <col width="58" customWidth="1" style="146" min="1" max="1"/>
    <col width="22" customWidth="1" style="146" min="2" max="2"/>
    <col width="22" customWidth="1" style="146" min="3" max="3"/>
    <col width="28" customWidth="1" style="146" min="4" max="4"/>
    <col width="22" customWidth="1" style="146" min="5" max="5"/>
    <col width="22" customWidth="1" style="146" min="6" max="6"/>
    <col width="22" customWidth="1" style="146" min="7" max="7"/>
    <col width="22" customWidth="1" style="146" min="8" max="8"/>
  </cols>
  <sheetData>
    <row r="1">
      <c r="A1" s="169" t="inlineStr">
        <is>
          <t>Competitors' Profiles — Q3 actual (EXACT from Workspace report)</t>
        </is>
      </c>
    </row>
    <row r="2" ht="48" customHeight="1" s="146">
      <c r="A2" s="170" t="inlineStr">
        <is>
          <t>Source: Competitors' Profiles, results of previous quarter (Quarter 3). These numbers SUPERSEDE chart-read approximations in Q3_Industry_Graphs. Biggest correction: BB LLC fixed capacity is 24, not 16; they schedule all 24 plus 6.90 overtime. WeBike / BB LLC / MILC are tied at 24 printers; SpaceBikes owns 32.</t>
        </is>
      </c>
    </row>
    <row r="4">
      <c r="A4" s="199" t="inlineStr">
        <is>
          <t>Metric</t>
        </is>
      </c>
      <c r="B4" s="199" t="inlineStr">
        <is>
          <t>Bike Bros</t>
        </is>
      </c>
      <c r="C4" s="199" t="inlineStr">
        <is>
          <t>LiteCycle</t>
        </is>
      </c>
      <c r="D4" s="199" t="inlineStr">
        <is>
          <t>WeBike</t>
        </is>
      </c>
      <c r="E4" s="199" t="inlineStr">
        <is>
          <t>BB LLC</t>
        </is>
      </c>
      <c r="F4" s="199" t="inlineStr">
        <is>
          <t>Spoke'd Up</t>
        </is>
      </c>
      <c r="G4" s="199" t="inlineStr">
        <is>
          <t>SpaceBikes</t>
        </is>
      </c>
      <c r="H4" s="199" t="inlineStr">
        <is>
          <t>MILC Bikes</t>
        </is>
      </c>
    </row>
    <row r="5">
      <c r="A5" s="200" t="inlineStr">
        <is>
          <t>BSC (Q3 quarterly, rounded)</t>
        </is>
      </c>
      <c r="B5" s="200" t="n">
        <v>1</v>
      </c>
      <c r="C5" s="200" t="n">
        <v>3</v>
      </c>
      <c r="D5" s="219" t="n">
        <v>0</v>
      </c>
      <c r="E5" s="200" t="n">
        <v>22</v>
      </c>
      <c r="F5" s="200" t="n">
        <v>2</v>
      </c>
      <c r="G5" s="200" t="n">
        <v>11</v>
      </c>
      <c r="H5" s="200" t="n">
        <v>3</v>
      </c>
    </row>
    <row r="6">
      <c r="A6" s="200" t="inlineStr">
        <is>
          <t>Total demand</t>
        </is>
      </c>
      <c r="B6" s="220" t="n">
        <v>490</v>
      </c>
      <c r="C6" s="220" t="n">
        <v>984</v>
      </c>
      <c r="D6" s="221" t="n">
        <v>627</v>
      </c>
      <c r="E6" s="220" t="n">
        <v>1507</v>
      </c>
      <c r="F6" s="220" t="n">
        <v>854</v>
      </c>
      <c r="G6" s="220" t="n">
        <v>1298</v>
      </c>
      <c r="H6" s="220" t="n">
        <v>799</v>
      </c>
    </row>
    <row r="7">
      <c r="A7" s="200" t="inlineStr">
        <is>
          <t>Number of brands</t>
        </is>
      </c>
      <c r="B7" s="200" t="n">
        <v>5</v>
      </c>
      <c r="C7" s="200" t="n">
        <v>3</v>
      </c>
      <c r="D7" s="209" t="n">
        <v>2</v>
      </c>
      <c r="E7" s="200" t="n">
        <v>4</v>
      </c>
      <c r="F7" s="200" t="n">
        <v>2</v>
      </c>
      <c r="G7" s="200" t="n">
        <v>2</v>
      </c>
      <c r="H7" s="200" t="n">
        <v>2</v>
      </c>
    </row>
    <row r="8">
      <c r="A8" s="200" t="inlineStr">
        <is>
          <t>Average price</t>
        </is>
      </c>
      <c r="B8" s="220" t="n">
        <v>1475</v>
      </c>
      <c r="C8" s="220" t="n">
        <v>1380</v>
      </c>
      <c r="D8" s="221" t="n">
        <v>1408</v>
      </c>
      <c r="E8" s="220" t="n">
        <v>1473</v>
      </c>
      <c r="F8" s="220" t="n">
        <v>1249</v>
      </c>
      <c r="G8" s="220" t="n">
        <v>1340</v>
      </c>
      <c r="H8" s="220" t="n">
        <v>1250</v>
      </c>
    </row>
    <row r="9">
      <c r="A9" s="200" t="inlineStr">
        <is>
          <t>Best Rec brand (&gt;=70)</t>
        </is>
      </c>
      <c r="B9" s="200" t="inlineStr">
        <is>
          <t>76 MountainCruise1</t>
        </is>
      </c>
      <c r="C9" s="200" t="inlineStr">
        <is>
          <t>N/A</t>
        </is>
      </c>
      <c r="D9" s="209" t="inlineStr">
        <is>
          <t>N/A</t>
        </is>
      </c>
      <c r="E9" s="200" t="inlineStr">
        <is>
          <t>N/A</t>
        </is>
      </c>
      <c r="F9" s="200" t="inlineStr">
        <is>
          <t>73 Spoke'd Easy</t>
        </is>
      </c>
      <c r="G9" s="200" t="inlineStr">
        <is>
          <t>73 Mars Rover</t>
        </is>
      </c>
      <c r="H9" s="200" t="inlineStr">
        <is>
          <t>74 Whole MILC MKII</t>
        </is>
      </c>
    </row>
    <row r="10">
      <c r="A10" s="200" t="inlineStr">
        <is>
          <t>Best Mountain brand (&gt;=70)</t>
        </is>
      </c>
      <c r="B10" s="200" t="inlineStr">
        <is>
          <t>73 TERRAMAX</t>
        </is>
      </c>
      <c r="C10" s="200" t="inlineStr">
        <is>
          <t>70 LiteTrail Pro</t>
        </is>
      </c>
      <c r="D10" s="222" t="inlineStr">
        <is>
          <t>73 Hike Bike</t>
        </is>
      </c>
      <c r="E10" s="200" t="inlineStr">
        <is>
          <t>73 Blu Ruged Ballz</t>
        </is>
      </c>
      <c r="F10" s="200" t="inlineStr">
        <is>
          <t>N/A</t>
        </is>
      </c>
      <c r="G10" s="200" t="inlineStr">
        <is>
          <t>N/A</t>
        </is>
      </c>
      <c r="H10" s="200" t="inlineStr">
        <is>
          <t>N/A</t>
        </is>
      </c>
    </row>
    <row r="11">
      <c r="A11" s="200" t="inlineStr">
        <is>
          <t>Best Speed brand (&gt;=70)</t>
        </is>
      </c>
      <c r="B11" s="200" t="inlineStr">
        <is>
          <t>77 MACH I.I</t>
        </is>
      </c>
      <c r="C11" s="200" t="inlineStr">
        <is>
          <t>77 LiteSpeed Pro+</t>
        </is>
      </c>
      <c r="D11" s="223" t="inlineStr">
        <is>
          <t>72 Swift Bike</t>
        </is>
      </c>
      <c r="E11" s="200" t="inlineStr">
        <is>
          <t>76 Blu Tube Ballz</t>
        </is>
      </c>
      <c r="F11" s="200" t="inlineStr">
        <is>
          <t>75 Spoke'd Speed</t>
        </is>
      </c>
      <c r="G11" s="200" t="inlineStr">
        <is>
          <t>76 The Armstrong</t>
        </is>
      </c>
      <c r="H11" s="200" t="inlineStr">
        <is>
          <t>76 Skim MILC MKII</t>
        </is>
      </c>
    </row>
    <row r="12">
      <c r="A12" s="200" t="inlineStr">
        <is>
          <t>Regional inserts</t>
        </is>
      </c>
      <c r="B12" s="200" t="n">
        <v>10</v>
      </c>
      <c r="C12" s="200" t="n">
        <v>12</v>
      </c>
      <c r="D12" s="209" t="n">
        <v>19</v>
      </c>
      <c r="E12" s="200" t="n">
        <v>24</v>
      </c>
      <c r="F12" s="200" t="n">
        <v>12</v>
      </c>
      <c r="G12" s="200" t="n">
        <v>17</v>
      </c>
      <c r="H12" s="200" t="n">
        <v>12</v>
      </c>
    </row>
    <row r="13">
      <c r="A13" s="200" t="inlineStr">
        <is>
          <t>Web pages</t>
        </is>
      </c>
      <c r="B13" s="200" t="n">
        <v>5</v>
      </c>
      <c r="C13" s="200" t="n">
        <v>3</v>
      </c>
      <c r="D13" s="209" t="n">
        <v>2</v>
      </c>
      <c r="E13" s="200" t="n">
        <v>2</v>
      </c>
      <c r="F13" s="200" t="n">
        <v>2</v>
      </c>
      <c r="G13" s="200" t="n">
        <v>2</v>
      </c>
      <c r="H13" s="200" t="n">
        <v>2</v>
      </c>
    </row>
    <row r="14">
      <c r="A14" s="200" t="inlineStr">
        <is>
          <t>Organic SEM clicks</t>
        </is>
      </c>
      <c r="B14" s="220" t="n">
        <v>213</v>
      </c>
      <c r="C14" s="220" t="n">
        <v>153</v>
      </c>
      <c r="D14" s="224" t="n">
        <v>144</v>
      </c>
      <c r="E14" s="220" t="n">
        <v>437</v>
      </c>
      <c r="F14" s="220" t="n">
        <v>82</v>
      </c>
      <c r="G14" s="220" t="n">
        <v>401</v>
      </c>
      <c r="H14" s="220" t="n">
        <v>187</v>
      </c>
    </row>
    <row r="15">
      <c r="A15" s="200" t="inlineStr">
        <is>
          <t>Organic SEM expenses</t>
        </is>
      </c>
      <c r="B15" s="220" t="n">
        <v>5000</v>
      </c>
      <c r="C15" s="220" t="n">
        <v>3000</v>
      </c>
      <c r="D15" s="221" t="n">
        <v>2000</v>
      </c>
      <c r="E15" s="220" t="n">
        <v>2000</v>
      </c>
      <c r="F15" s="220" t="n">
        <v>2000</v>
      </c>
      <c r="G15" s="220" t="n">
        <v>2000</v>
      </c>
      <c r="H15" s="220" t="n">
        <v>2000</v>
      </c>
    </row>
    <row r="16">
      <c r="A16" s="200" t="inlineStr">
        <is>
          <t>Best Rec ad (&gt;=70)</t>
        </is>
      </c>
      <c r="B16" s="200" t="inlineStr">
        <is>
          <t>75 Easy Rider</t>
        </is>
      </c>
      <c r="C16" s="200" t="inlineStr">
        <is>
          <t>N/A</t>
        </is>
      </c>
      <c r="D16" s="209" t="inlineStr">
        <is>
          <t>N/A</t>
        </is>
      </c>
      <c r="E16" s="200" t="inlineStr">
        <is>
          <t>N/A</t>
        </is>
      </c>
      <c r="F16" s="200" t="inlineStr">
        <is>
          <t>N/A</t>
        </is>
      </c>
      <c r="G16" s="200" t="inlineStr">
        <is>
          <t>79 Mars Rover 1</t>
        </is>
      </c>
      <c r="H16" s="200" t="inlineStr">
        <is>
          <t>77 Whole MILC MKII</t>
        </is>
      </c>
    </row>
    <row r="17">
      <c r="A17" s="200" t="inlineStr">
        <is>
          <t>Best Mountain ad (&gt;=70)</t>
        </is>
      </c>
      <c r="B17" s="200" t="inlineStr">
        <is>
          <t>78 TerraTech</t>
        </is>
      </c>
      <c r="C17" s="200" t="inlineStr">
        <is>
          <t>79 Trail Blazing 1</t>
        </is>
      </c>
      <c r="D17" s="222" t="inlineStr">
        <is>
          <t>80 HikeBike 1</t>
        </is>
      </c>
      <c r="E17" s="200" t="inlineStr">
        <is>
          <t>81 BB Big Momma</t>
        </is>
      </c>
      <c r="F17" s="200" t="inlineStr">
        <is>
          <t>N/A</t>
        </is>
      </c>
      <c r="G17" s="200" t="inlineStr">
        <is>
          <t>N/A</t>
        </is>
      </c>
      <c r="H17" s="200" t="inlineStr">
        <is>
          <t>N/A</t>
        </is>
      </c>
    </row>
    <row r="18">
      <c r="A18" s="200" t="inlineStr">
        <is>
          <t>Best Speed ad (&gt;=70)</t>
        </is>
      </c>
      <c r="B18" s="200" t="inlineStr">
        <is>
          <t>78 AndStill</t>
        </is>
      </c>
      <c r="C18" s="200" t="inlineStr">
        <is>
          <t>77 Speed of Lite 1</t>
        </is>
      </c>
      <c r="D18" s="223" t="inlineStr">
        <is>
          <t>70 Swift Bike</t>
        </is>
      </c>
      <c r="E18" s="200" t="inlineStr">
        <is>
          <t>76 Unleash lil pap</t>
        </is>
      </c>
      <c r="F18" s="200" t="inlineStr">
        <is>
          <t>N/A</t>
        </is>
      </c>
      <c r="G18" s="200" t="inlineStr">
        <is>
          <t>77 The Armstrong 1</t>
        </is>
      </c>
      <c r="H18" s="200" t="inlineStr">
        <is>
          <t>75 Skim MILC MKII</t>
        </is>
      </c>
    </row>
    <row r="19">
      <c r="A19" s="200" t="inlineStr">
        <is>
          <t>Stores</t>
        </is>
      </c>
      <c r="B19" s="200" t="n">
        <v>1</v>
      </c>
      <c r="C19" s="200" t="n">
        <v>2</v>
      </c>
      <c r="D19" s="209" t="n">
        <v>2</v>
      </c>
      <c r="E19" s="200" t="n">
        <v>2</v>
      </c>
      <c r="F19" s="200" t="n">
        <v>2</v>
      </c>
      <c r="G19" s="200" t="n">
        <v>2</v>
      </c>
      <c r="H19" s="200" t="n">
        <v>1</v>
      </c>
    </row>
    <row r="20">
      <c r="A20" s="200" t="inlineStr">
        <is>
          <t>Store sales force</t>
        </is>
      </c>
      <c r="B20" s="200" t="n">
        <v>7</v>
      </c>
      <c r="C20" s="200" t="n">
        <v>10</v>
      </c>
      <c r="D20" s="209" t="n">
        <v>11</v>
      </c>
      <c r="E20" s="200" t="n">
        <v>14</v>
      </c>
      <c r="F20" s="200" t="n">
        <v>11</v>
      </c>
      <c r="G20" s="200" t="n">
        <v>14</v>
      </c>
      <c r="H20" s="200" t="n">
        <v>7</v>
      </c>
    </row>
    <row r="21">
      <c r="A21" s="200" t="inlineStr">
        <is>
          <t>Web sales centers</t>
        </is>
      </c>
      <c r="B21" s="200" t="n">
        <v>0</v>
      </c>
      <c r="C21" s="200" t="n">
        <v>1</v>
      </c>
      <c r="D21" s="209" t="n">
        <v>1</v>
      </c>
      <c r="E21" s="200" t="n">
        <v>1</v>
      </c>
      <c r="F21" s="200" t="n">
        <v>1</v>
      </c>
      <c r="G21" s="200" t="n">
        <v>1</v>
      </c>
      <c r="H21" s="200" t="n">
        <v>1</v>
      </c>
    </row>
    <row r="22">
      <c r="A22" s="200" t="inlineStr">
        <is>
          <t>Web sales force</t>
        </is>
      </c>
      <c r="B22" s="200" t="n">
        <v>0</v>
      </c>
      <c r="C22" s="200" t="n">
        <v>7</v>
      </c>
      <c r="D22" s="209" t="n">
        <v>3</v>
      </c>
      <c r="E22" s="200" t="n">
        <v>7</v>
      </c>
      <c r="F22" s="200" t="n">
        <v>3</v>
      </c>
      <c r="G22" s="200" t="n">
        <v>7</v>
      </c>
      <c r="H22" s="200" t="n">
        <v>7</v>
      </c>
    </row>
    <row r="23">
      <c r="A23" s="200" t="inlineStr">
        <is>
          <t>Web productivity features</t>
        </is>
      </c>
      <c r="B23" s="200" t="n">
        <v>0</v>
      </c>
      <c r="C23" s="200" t="n">
        <v>4</v>
      </c>
      <c r="D23" s="219" t="n">
        <v>1</v>
      </c>
      <c r="E23" s="200" t="n">
        <v>4</v>
      </c>
      <c r="F23" s="200" t="n">
        <v>2</v>
      </c>
      <c r="G23" s="200" t="n">
        <v>4</v>
      </c>
      <c r="H23" s="200" t="n">
        <v>4</v>
      </c>
    </row>
    <row r="24">
      <c r="A24" s="200" t="inlineStr">
        <is>
          <t>Sales compensation</t>
        </is>
      </c>
      <c r="B24" s="220" t="n">
        <v>22060</v>
      </c>
      <c r="C24" s="220" t="n">
        <v>25736</v>
      </c>
      <c r="D24" s="221" t="n">
        <v>24425</v>
      </c>
      <c r="E24" s="220" t="n">
        <v>27402</v>
      </c>
      <c r="F24" s="220" t="n">
        <v>24511</v>
      </c>
      <c r="G24" s="220" t="n">
        <v>24711</v>
      </c>
      <c r="H24" s="220" t="n">
        <v>27630</v>
      </c>
    </row>
    <row r="25">
      <c r="A25" s="200" t="inlineStr">
        <is>
          <t>Sales productivity [%]</t>
        </is>
      </c>
      <c r="B25" s="200" t="n">
        <v>68</v>
      </c>
      <c r="C25" s="200" t="n">
        <v>73</v>
      </c>
      <c r="D25" s="209" t="n">
        <v>70</v>
      </c>
      <c r="E25" s="200" t="n">
        <v>78</v>
      </c>
      <c r="F25" s="200" t="n">
        <v>71</v>
      </c>
      <c r="G25" s="200" t="n">
        <v>74</v>
      </c>
      <c r="H25" s="200" t="n">
        <v>70</v>
      </c>
    </row>
    <row r="26">
      <c r="A26" s="200" t="inlineStr">
        <is>
          <t>Fixed capacity / day</t>
        </is>
      </c>
      <c r="B26" s="200" t="n">
        <v>16</v>
      </c>
      <c r="C26" s="200" t="n">
        <v>16</v>
      </c>
      <c r="D26" s="209" t="n">
        <v>24</v>
      </c>
      <c r="E26" s="200" t="n">
        <v>24</v>
      </c>
      <c r="F26" s="200" t="n">
        <v>16</v>
      </c>
      <c r="G26" s="200" t="n">
        <v>32</v>
      </c>
      <c r="H26" s="200" t="n">
        <v>24</v>
      </c>
    </row>
    <row r="27">
      <c r="A27" s="200" t="inlineStr">
        <is>
          <t>Operating capacity / day</t>
        </is>
      </c>
      <c r="B27" s="200" t="n">
        <v>15</v>
      </c>
      <c r="C27" s="200" t="n">
        <v>14</v>
      </c>
      <c r="D27" s="219" t="n">
        <v>8</v>
      </c>
      <c r="E27" s="200" t="n">
        <v>24</v>
      </c>
      <c r="F27" s="200" t="n">
        <v>15</v>
      </c>
      <c r="G27" s="200" t="n">
        <v>30</v>
      </c>
      <c r="H27" s="200" t="n">
        <v>17</v>
      </c>
    </row>
    <row r="28">
      <c r="A28" s="200" t="inlineStr">
        <is>
          <t>Overtime capacity / day</t>
        </is>
      </c>
      <c r="B28" s="225" t="n">
        <v>0</v>
      </c>
      <c r="C28" s="225" t="n">
        <v>1.75</v>
      </c>
      <c r="D28" s="226" t="n">
        <v>1</v>
      </c>
      <c r="E28" s="225" t="n">
        <v>6.9</v>
      </c>
      <c r="F28" s="225" t="n">
        <v>1.88</v>
      </c>
      <c r="G28" s="225" t="n">
        <v>0</v>
      </c>
      <c r="H28" s="225" t="n">
        <v>0</v>
      </c>
    </row>
    <row r="29">
      <c r="A29" s="200" t="inlineStr">
        <is>
          <t>Worker compensation</t>
        </is>
      </c>
      <c r="B29" s="220" t="n">
        <v>19609</v>
      </c>
      <c r="C29" s="220" t="n">
        <v>21622</v>
      </c>
      <c r="D29" s="221" t="n">
        <v>20757</v>
      </c>
      <c r="E29" s="220" t="n">
        <v>23042</v>
      </c>
      <c r="F29" s="220" t="n">
        <v>20757</v>
      </c>
      <c r="G29" s="220" t="n">
        <v>21004</v>
      </c>
      <c r="H29" s="220" t="n">
        <v>23293</v>
      </c>
    </row>
    <row r="30">
      <c r="A30" s="200" t="inlineStr">
        <is>
          <t>Worker productivity [%]</t>
        </is>
      </c>
      <c r="B30" s="200" t="n">
        <v>70</v>
      </c>
      <c r="C30" s="200" t="n">
        <v>74</v>
      </c>
      <c r="D30" s="209" t="n">
        <v>72</v>
      </c>
      <c r="E30" s="200" t="n">
        <v>75</v>
      </c>
      <c r="F30" s="200" t="n">
        <v>72</v>
      </c>
      <c r="G30" s="200" t="n">
        <v>73</v>
      </c>
      <c r="H30" s="200" t="n">
        <v>73</v>
      </c>
    </row>
    <row r="33">
      <c r="A33" s="199" t="inlineStr">
        <is>
          <t>CAPACITY — derived (exact)</t>
        </is>
      </c>
      <c r="B33" s="199" t="inlineStr">
        <is>
          <t>Fixed / day</t>
        </is>
      </c>
      <c r="C33" s="199" t="inlineStr">
        <is>
          <t>Scheduled OC / day</t>
        </is>
      </c>
      <c r="D33" s="199" t="inlineStr">
        <is>
          <t>OT / day</t>
        </is>
      </c>
      <c r="E33" s="199" t="inlineStr">
        <is>
          <t>Effective (OC+OT)</t>
        </is>
      </c>
      <c r="F33" s="199" t="inlineStr">
        <is>
          <t>OC / fixed</t>
        </is>
      </c>
      <c r="G33" s="199" t="inlineStr">
        <is>
          <t>Demand</t>
        </is>
      </c>
    </row>
    <row r="34">
      <c r="A34" s="200" t="inlineStr">
        <is>
          <t>BB LLC</t>
        </is>
      </c>
      <c r="B34" s="211" t="n">
        <v>24</v>
      </c>
      <c r="C34" s="200" t="n">
        <v>24</v>
      </c>
      <c r="D34" s="225" t="n">
        <v>6.9</v>
      </c>
      <c r="E34" s="227" t="n">
        <v>30.9</v>
      </c>
      <c r="F34" s="228" t="n">
        <v>1</v>
      </c>
      <c r="G34" s="220" t="n">
        <v>1507</v>
      </c>
    </row>
    <row r="35">
      <c r="A35" s="200" t="inlineStr">
        <is>
          <t>SpaceBikes</t>
        </is>
      </c>
      <c r="B35" s="200" t="n">
        <v>32</v>
      </c>
      <c r="C35" s="200" t="n">
        <v>30</v>
      </c>
      <c r="D35" s="225" t="n">
        <v>0</v>
      </c>
      <c r="E35" s="225" t="n">
        <v>30</v>
      </c>
      <c r="F35" s="228" t="n">
        <v>0.9375</v>
      </c>
      <c r="G35" s="220" t="n">
        <v>1298</v>
      </c>
    </row>
    <row r="36">
      <c r="A36" s="200" t="inlineStr">
        <is>
          <t>MILC Bikes</t>
        </is>
      </c>
      <c r="B36" s="200" t="n">
        <v>24</v>
      </c>
      <c r="C36" s="200" t="n">
        <v>17</v>
      </c>
      <c r="D36" s="225" t="n">
        <v>0</v>
      </c>
      <c r="E36" s="225" t="n">
        <v>17</v>
      </c>
      <c r="F36" s="228" t="n">
        <v>0.7083333333333334</v>
      </c>
      <c r="G36" s="220" t="n">
        <v>799</v>
      </c>
    </row>
    <row r="37">
      <c r="A37" s="200" t="inlineStr">
        <is>
          <t>Spoke'd Up</t>
        </is>
      </c>
      <c r="B37" s="200" t="n">
        <v>16</v>
      </c>
      <c r="C37" s="200" t="n">
        <v>15</v>
      </c>
      <c r="D37" s="225" t="n">
        <v>1.88</v>
      </c>
      <c r="E37" s="225" t="n">
        <v>16.88</v>
      </c>
      <c r="F37" s="228" t="n">
        <v>0.9375</v>
      </c>
      <c r="G37" s="220" t="n">
        <v>854</v>
      </c>
    </row>
    <row r="38">
      <c r="A38" s="200" t="inlineStr">
        <is>
          <t>LiteCycle</t>
        </is>
      </c>
      <c r="B38" s="200" t="n">
        <v>16</v>
      </c>
      <c r="C38" s="200" t="n">
        <v>14</v>
      </c>
      <c r="D38" s="225" t="n">
        <v>1.75</v>
      </c>
      <c r="E38" s="225" t="n">
        <v>15.75</v>
      </c>
      <c r="F38" s="228" t="n">
        <v>0.875</v>
      </c>
      <c r="G38" s="220" t="n">
        <v>984</v>
      </c>
    </row>
    <row r="39">
      <c r="A39" s="200" t="inlineStr">
        <is>
          <t>Bike Bros</t>
        </is>
      </c>
      <c r="B39" s="200" t="n">
        <v>16</v>
      </c>
      <c r="C39" s="200" t="n">
        <v>15</v>
      </c>
      <c r="D39" s="225" t="n">
        <v>0</v>
      </c>
      <c r="E39" s="225" t="n">
        <v>15</v>
      </c>
      <c r="F39" s="228" t="n">
        <v>0.9375</v>
      </c>
      <c r="G39" s="220" t="n">
        <v>490</v>
      </c>
    </row>
    <row r="40">
      <c r="A40" s="209" t="inlineStr">
        <is>
          <t>WeBike</t>
        </is>
      </c>
      <c r="B40" s="209" t="n">
        <v>24</v>
      </c>
      <c r="C40" s="219" t="n">
        <v>8</v>
      </c>
      <c r="D40" s="226" t="n">
        <v>1</v>
      </c>
      <c r="E40" s="229" t="n">
        <v>9</v>
      </c>
      <c r="F40" s="230" t="n">
        <v>0.3333333333333333</v>
      </c>
      <c r="G40" s="221" t="n">
        <v>627</v>
      </c>
    </row>
    <row r="43">
      <c r="A43" s="199" t="inlineStr">
        <is>
          <t>CHART-READ CORRECTIONS (Strategic Graphs were off)</t>
        </is>
      </c>
      <c r="B43" s="199" t="inlineStr">
        <is>
          <t>Chart-read</t>
        </is>
      </c>
      <c r="C43" s="199" t="inlineStr">
        <is>
          <t>Exact</t>
        </is>
      </c>
      <c r="D43" s="199" t="inlineStr">
        <is>
          <t>What changes</t>
        </is>
      </c>
    </row>
    <row r="44">
      <c r="A44" s="200" t="inlineStr">
        <is>
          <t>BB LLC fixed capacity</t>
        </is>
      </c>
      <c r="B44" s="200" t="n">
        <v>16</v>
      </c>
      <c r="C44" s="211" t="n">
        <v>24</v>
      </c>
      <c r="D44" s="231" t="inlineStr">
        <is>
          <t>They bought the SAME 3 printers we did. 'Buys flexibility not printers' is FALSE.</t>
        </is>
      </c>
    </row>
    <row r="45">
      <c r="A45" s="200" t="inlineStr">
        <is>
          <t>BB LLC scheduled OC</t>
        </is>
      </c>
      <c r="B45" s="200" t="n">
        <v>15</v>
      </c>
      <c r="C45" s="211" t="n">
        <v>24</v>
      </c>
      <c r="D45" s="208" t="inlineStr">
        <is>
          <t>They schedule 100% of owned capacity, then add 6.90 OT on top.</t>
        </is>
      </c>
    </row>
    <row r="46">
      <c r="A46" s="200" t="inlineStr">
        <is>
          <t>MILC scheduled OC</t>
        </is>
      </c>
      <c r="B46" s="200" t="n">
        <v>24</v>
      </c>
      <c r="C46" s="211" t="n">
        <v>17</v>
      </c>
      <c r="D46" s="208" t="inlineStr">
        <is>
          <t>MILC owns 24 but schedules only 17 (70.8% of owned). Still well above us.</t>
        </is>
      </c>
    </row>
    <row r="47">
      <c r="A47" s="200" t="inlineStr">
        <is>
          <t>LiteCycle scheduled OC</t>
        </is>
      </c>
      <c r="B47" s="200" t="n">
        <v>15</v>
      </c>
      <c r="C47" s="200" t="n">
        <v>14</v>
      </c>
      <c r="D47" s="208" t="inlineStr">
        <is>
          <t>Off by 1; rank unchanged.</t>
        </is>
      </c>
    </row>
    <row r="48">
      <c r="A48" s="200" t="inlineStr">
        <is>
          <t>Spoke'd Up scheduled OC</t>
        </is>
      </c>
      <c r="B48" s="200" t="n">
        <v>14</v>
      </c>
      <c r="C48" s="200" t="n">
        <v>15</v>
      </c>
      <c r="D48" s="208" t="inlineStr">
        <is>
          <t>Off by 1; rank unchanged.</t>
        </is>
      </c>
    </row>
    <row r="49">
      <c r="A49" s="200" t="inlineStr">
        <is>
          <t>WeBike OC / OT / fixed</t>
        </is>
      </c>
      <c r="B49" s="200" t="inlineStr">
        <is>
          <t>8 / 1 / 24</t>
        </is>
      </c>
      <c r="C49" s="200" t="inlineStr">
        <is>
          <t>8 / 1.00 / 24</t>
        </is>
      </c>
      <c r="D49" s="208" t="inlineStr">
        <is>
          <t>Confirmed. Last on OC. Only firm that reduced OC in Q3 (from graphs).</t>
        </is>
      </c>
    </row>
    <row r="50">
      <c r="A50" s="200" t="inlineStr">
        <is>
          <t>Fixed-capacity ranking</t>
        </is>
      </c>
      <c r="B50" s="200" t="inlineStr">
        <is>
          <t>SpaceBikes 32, WeBike/MILC 24, rest 16</t>
        </is>
      </c>
      <c r="C50" s="200" t="inlineStr">
        <is>
          <t>SpaceBikes 32; WeBike = BB LLC = MILC 24; rest 16</t>
        </is>
      </c>
      <c r="D50" s="208" t="inlineStr">
        <is>
          <t>Three firms own 24, not two. We are tied for 2nd, and we used the least.</t>
        </is>
      </c>
    </row>
    <row r="53">
      <c r="A53" s="199" t="inlineStr">
        <is>
          <t>BB LLC IS THE CAPACITY GOLD STANDARD</t>
        </is>
      </c>
      <c r="B53" s="199" t="inlineStr">
        <is>
          <t>Value</t>
        </is>
      </c>
      <c r="C53" s="199" t="inlineStr">
        <is>
          <t>Note</t>
        </is>
      </c>
    </row>
    <row r="54">
      <c r="A54" s="200" t="inlineStr">
        <is>
          <t>BB LLC effective capacity (OC+OT)</t>
        </is>
      </c>
      <c r="B54" s="206" t="n">
        <v>30.9</v>
      </c>
      <c r="C54" s="208" t="inlineStr">
        <is>
          <t>Highest in the industry, slightly above SpaceBikes' 30</t>
        </is>
      </c>
    </row>
    <row r="55">
      <c r="A55" s="200" t="inlineStr">
        <is>
          <t>Implied output at 75% x 65 days</t>
        </is>
      </c>
      <c r="B55" s="200" t="n">
        <v>1506.4</v>
      </c>
      <c r="C55" s="208" t="inlineStr">
        <is>
          <t>Matches their 1,507 demand almost exactly — they scheduled TO demand</t>
        </is>
      </c>
    </row>
    <row r="56">
      <c r="A56" s="200" t="inlineStr">
        <is>
          <t>WeBike implied output at 72% x 65 days</t>
        </is>
      </c>
      <c r="B56" s="204" t="n">
        <v>421.2</v>
      </c>
      <c r="C56" s="208" t="inlineStr">
        <is>
          <t>Matches the 423 units we actually produced; 204 demand went unfilled</t>
        </is>
      </c>
    </row>
    <row r="57">
      <c r="A57" s="200" t="inlineStr">
        <is>
          <t>SpaceBikes model</t>
        </is>
      </c>
      <c r="B57" s="200" t="inlineStr">
        <is>
          <t>32 owned, 30 scheduled, 0 OT</t>
        </is>
      </c>
      <c r="C57" s="208" t="inlineStr">
        <is>
          <t>Own more printers, no overtime. Served 1,298 with slack.</t>
        </is>
      </c>
    </row>
    <row r="58">
      <c r="A58" s="200" t="inlineStr">
        <is>
          <t>BB LLC model</t>
        </is>
      </c>
      <c r="B58" s="200" t="inlineStr">
        <is>
          <t>24 owned, 24 scheduled, 6.90 OT</t>
        </is>
      </c>
      <c r="C58" s="208" t="inlineStr">
        <is>
          <t>Same printers as us, sweat them with OT + 75% worker productivity.</t>
        </is>
      </c>
    </row>
    <row r="59">
      <c r="A59" s="200" t="inlineStr">
        <is>
          <t>WeBike model</t>
        </is>
      </c>
      <c r="B59" s="200" t="inlineStr">
        <is>
          <t>24 owned, 8 scheduled, 1.00 OT</t>
        </is>
      </c>
      <c r="C59" s="208" t="inlineStr">
        <is>
          <t>Same printers as the leader, used one-third of them.</t>
        </is>
      </c>
    </row>
    <row r="60">
      <c r="A60" s="200" t="inlineStr">
        <is>
          <t>Q4 read</t>
        </is>
      </c>
      <c r="B60" s="200" t="n"/>
      <c r="C60" s="208" t="inlineStr">
        <is>
          <t>Matching BB LLC's 1,507 units on 24 printers is possible (full OC + ~7 OT + 75% productivity). Rio+web (scenario D, 1,171) fits inside 24 with a little OT. New York (scenario E, 1,571) still needs a 4th printer.</t>
        </is>
      </c>
    </row>
    <row r="61">
      <c r="C61" s="174" t="n"/>
    </row>
    <row r="63">
      <c r="A63" s="199" t="inlineStr">
        <is>
          <t>COMPENSATION vs PRODUCTIVITY (exact)</t>
        </is>
      </c>
      <c r="B63" s="199" t="inlineStr">
        <is>
          <t>Sales pay</t>
        </is>
      </c>
      <c r="C63" s="199" t="inlineStr">
        <is>
          <t>Sales prod %</t>
        </is>
      </c>
      <c r="D63" s="199" t="inlineStr">
        <is>
          <t>vs sales avg</t>
        </is>
      </c>
      <c r="E63" s="199" t="inlineStr">
        <is>
          <t>Worker pay</t>
        </is>
      </c>
      <c r="F63" s="199" t="inlineStr">
        <is>
          <t>Worker prod %</t>
        </is>
      </c>
      <c r="G63" s="199" t="inlineStr">
        <is>
          <t>vs worker avg</t>
        </is>
      </c>
    </row>
    <row r="64">
      <c r="A64" s="200" t="inlineStr">
        <is>
          <t>BB LLC</t>
        </is>
      </c>
      <c r="B64" s="232" t="n">
        <v>27402</v>
      </c>
      <c r="C64" s="200" t="n">
        <v>78</v>
      </c>
      <c r="D64" s="233" t="n">
        <v>2191.285714285714</v>
      </c>
      <c r="E64" s="232" t="n">
        <v>23042</v>
      </c>
      <c r="F64" s="200" t="n">
        <v>75</v>
      </c>
      <c r="G64" s="233" t="n">
        <v>1601.428571428572</v>
      </c>
    </row>
    <row r="65">
      <c r="A65" s="200" t="inlineStr">
        <is>
          <t>SpaceBikes</t>
        </is>
      </c>
      <c r="B65" s="232" t="n">
        <v>24711</v>
      </c>
      <c r="C65" s="200" t="n">
        <v>74</v>
      </c>
      <c r="D65" s="233" t="n">
        <v>-499.7142857142862</v>
      </c>
      <c r="E65" s="232" t="n">
        <v>21004</v>
      </c>
      <c r="F65" s="200" t="n">
        <v>73</v>
      </c>
      <c r="G65" s="233" t="n">
        <v>-436.5714285714275</v>
      </c>
    </row>
    <row r="66">
      <c r="A66" s="200" t="inlineStr">
        <is>
          <t>LiteCycle</t>
        </is>
      </c>
      <c r="B66" s="232" t="n">
        <v>25736</v>
      </c>
      <c r="C66" s="200" t="n">
        <v>73</v>
      </c>
      <c r="D66" s="233" t="n">
        <v>525.2857142857138</v>
      </c>
      <c r="E66" s="232" t="n">
        <v>21622</v>
      </c>
      <c r="F66" s="200" t="n">
        <v>74</v>
      </c>
      <c r="G66" s="233" t="n">
        <v>181.4285714285725</v>
      </c>
    </row>
    <row r="67">
      <c r="A67" s="200" t="inlineStr">
        <is>
          <t>Spoke'd Up</t>
        </is>
      </c>
      <c r="B67" s="232" t="n">
        <v>24511</v>
      </c>
      <c r="C67" s="200" t="n">
        <v>71</v>
      </c>
      <c r="D67" s="233" t="n">
        <v>-699.7142857142862</v>
      </c>
      <c r="E67" s="232" t="n">
        <v>20757</v>
      </c>
      <c r="F67" s="200" t="n">
        <v>72</v>
      </c>
      <c r="G67" s="233" t="n">
        <v>-683.5714285714275</v>
      </c>
    </row>
    <row r="68">
      <c r="A68" s="209" t="inlineStr">
        <is>
          <t>WeBike</t>
        </is>
      </c>
      <c r="B68" s="234" t="n">
        <v>24425</v>
      </c>
      <c r="C68" s="209" t="n">
        <v>70</v>
      </c>
      <c r="D68" s="235" t="n">
        <v>-785.7142857142862</v>
      </c>
      <c r="E68" s="234" t="n">
        <v>20757</v>
      </c>
      <c r="F68" s="209" t="n">
        <v>72</v>
      </c>
      <c r="G68" s="235" t="n">
        <v>-683.5714285714275</v>
      </c>
    </row>
    <row r="69">
      <c r="A69" s="200" t="inlineStr">
        <is>
          <t>MILC Bikes</t>
        </is>
      </c>
      <c r="B69" s="232" t="n">
        <v>27630</v>
      </c>
      <c r="C69" s="200" t="n">
        <v>70</v>
      </c>
      <c r="D69" s="233" t="n">
        <v>2419.285714285714</v>
      </c>
      <c r="E69" s="232" t="n">
        <v>23293</v>
      </c>
      <c r="F69" s="200" t="n">
        <v>73</v>
      </c>
      <c r="G69" s="233" t="n">
        <v>1852.428571428572</v>
      </c>
    </row>
    <row r="70">
      <c r="A70" s="200" t="inlineStr">
        <is>
          <t>Bike Bros</t>
        </is>
      </c>
      <c r="B70" s="232" t="n">
        <v>22060</v>
      </c>
      <c r="C70" s="200" t="n">
        <v>68</v>
      </c>
      <c r="D70" s="233" t="n">
        <v>-3150.714285714286</v>
      </c>
      <c r="E70" s="232" t="n">
        <v>19609</v>
      </c>
      <c r="F70" s="200" t="n">
        <v>70</v>
      </c>
      <c r="G70" s="233" t="n">
        <v>-1831.571428571428</v>
      </c>
    </row>
    <row r="73">
      <c r="A73" s="199" t="inlineStr">
        <is>
          <t>PAY FINDINGS</t>
        </is>
      </c>
      <c r="B73" s="199" t="inlineStr">
        <is>
          <t>Value</t>
        </is>
      </c>
      <c r="C73" s="199" t="inlineStr">
        <is>
          <t>Note</t>
        </is>
      </c>
    </row>
    <row r="74">
      <c r="A74" s="200" t="inlineStr">
        <is>
          <t>Industry sales-pay average</t>
        </is>
      </c>
      <c r="B74" s="204" t="n">
        <v>25211</v>
      </c>
      <c r="C74" s="208" t="inlineStr">
        <is>
          <t>WeBike $24,425 is BELOW average — team goal 'pay &gt; average' is currently failing</t>
        </is>
      </c>
    </row>
    <row r="75">
      <c r="A75" s="200" t="inlineStr">
        <is>
          <t>Industry worker-pay average</t>
        </is>
      </c>
      <c r="B75" s="204" t="n">
        <v>21441</v>
      </c>
      <c r="C75" s="208" t="inlineStr">
        <is>
          <t>WeBike $20,757 is BELOW average (tied with Spoke'd Up; only Bike Bros lower)</t>
        </is>
      </c>
    </row>
    <row r="76">
      <c r="A76" s="200" t="inlineStr">
        <is>
          <t>Sales productivity range</t>
        </is>
      </c>
      <c r="B76" s="211" t="inlineStr">
        <is>
          <t>68 – 78</t>
        </is>
      </c>
      <c r="C76" s="208" t="inlineStr">
        <is>
          <t>Ceiling is 78 (BB LLC), not ~75. Still nowhere near the 85% we planned on.</t>
        </is>
      </c>
    </row>
    <row r="77">
      <c r="A77" s="200" t="inlineStr">
        <is>
          <t>Worker productivity range</t>
        </is>
      </c>
      <c r="B77" s="200" t="inlineStr">
        <is>
          <t>70 – 75</t>
        </is>
      </c>
      <c r="C77" s="208" t="inlineStr">
        <is>
          <t>Ceiling is 75 (BB LLC). Industry is tight; 85% remains unreachable.</t>
        </is>
      </c>
    </row>
    <row r="78">
      <c r="A78" s="200" t="inlineStr">
        <is>
          <t>Highest sales pay</t>
        </is>
      </c>
      <c r="B78" s="200" t="inlineStr">
        <is>
          <t>MILC $27,630 at 70% prod</t>
        </is>
      </c>
      <c r="C78" s="208" t="inlineStr">
        <is>
          <t>Highest pay does NOT equal highest productivity. BB LLC $27,402 → 78%.</t>
        </is>
      </c>
    </row>
    <row r="79">
      <c r="A79" s="200" t="inlineStr">
        <is>
          <t>Highest worker pay</t>
        </is>
      </c>
      <c r="B79" s="200" t="inlineStr">
        <is>
          <t>MILC $23,293 at 73% prod</t>
        </is>
      </c>
      <c r="C79" s="208" t="inlineStr">
        <is>
          <t>BB LLC $23,042 → 75% (best productivity). LiteCycle $21,622 → 74%.</t>
        </is>
      </c>
    </row>
    <row r="80">
      <c r="A80" s="200" t="inlineStr">
        <is>
          <t>Q4 target to meet team goal</t>
        </is>
      </c>
      <c r="B80" s="200" t="inlineStr">
        <is>
          <t>Sales &gt; $25,211 · Worker &gt; $21,441</t>
        </is>
      </c>
      <c r="C80" s="208" t="inlineStr">
        <is>
          <t>Upper quartile is sales ~$27.4k (BB LLC/MILC) and worker ~$23.0k. Plan capacity on 73–75% workers, mid-70s sales — never 85%.</t>
        </is>
      </c>
    </row>
    <row r="83">
      <c r="A83" s="199" t="inlineStr">
        <is>
          <t>CHANNEL (exact)</t>
        </is>
      </c>
      <c r="B83" s="199" t="inlineStr">
        <is>
          <t>Stores</t>
        </is>
      </c>
      <c r="C83" s="199" t="inlineStr">
        <is>
          <t>Store SF</t>
        </is>
      </c>
      <c r="D83" s="199" t="inlineStr">
        <is>
          <t>Web centres</t>
        </is>
      </c>
      <c r="E83" s="199" t="inlineStr">
        <is>
          <t>Web SF</t>
        </is>
      </c>
      <c r="F83" s="199" t="inlineStr">
        <is>
          <t>Web features / 4</t>
        </is>
      </c>
      <c r="G83" s="199" t="inlineStr">
        <is>
          <t>Total SF</t>
        </is>
      </c>
      <c r="H83" s="199" t="inlineStr">
        <is>
          <t>Demand</t>
        </is>
      </c>
      <c r="I83" s="199" t="inlineStr">
        <is>
          <t>Demand / SF</t>
        </is>
      </c>
    </row>
    <row r="84">
      <c r="A84" s="200" t="inlineStr">
        <is>
          <t>BB LLC</t>
        </is>
      </c>
      <c r="B84" s="200" t="n">
        <v>2</v>
      </c>
      <c r="C84" s="200" t="n">
        <v>14</v>
      </c>
      <c r="D84" s="200" t="n">
        <v>1</v>
      </c>
      <c r="E84" s="200" t="n">
        <v>7</v>
      </c>
      <c r="F84" s="200" t="n">
        <v>4</v>
      </c>
      <c r="G84" s="200" t="n">
        <v>21</v>
      </c>
      <c r="H84" s="220" t="n">
        <v>1507</v>
      </c>
      <c r="I84" s="236" t="n">
        <v>71.8</v>
      </c>
    </row>
    <row r="85">
      <c r="A85" s="200" t="inlineStr">
        <is>
          <t>SpaceBikes</t>
        </is>
      </c>
      <c r="B85" s="200" t="n">
        <v>2</v>
      </c>
      <c r="C85" s="200" t="n">
        <v>14</v>
      </c>
      <c r="D85" s="200" t="n">
        <v>1</v>
      </c>
      <c r="E85" s="200" t="n">
        <v>7</v>
      </c>
      <c r="F85" s="200" t="n">
        <v>4</v>
      </c>
      <c r="G85" s="200" t="n">
        <v>21</v>
      </c>
      <c r="H85" s="220" t="n">
        <v>1298</v>
      </c>
      <c r="I85" s="236" t="n">
        <v>61.8</v>
      </c>
    </row>
    <row r="86">
      <c r="A86" s="200" t="inlineStr">
        <is>
          <t>LiteCycle</t>
        </is>
      </c>
      <c r="B86" s="200" t="n">
        <v>2</v>
      </c>
      <c r="C86" s="200" t="n">
        <v>10</v>
      </c>
      <c r="D86" s="200" t="n">
        <v>1</v>
      </c>
      <c r="E86" s="200" t="n">
        <v>7</v>
      </c>
      <c r="F86" s="200" t="n">
        <v>4</v>
      </c>
      <c r="G86" s="200" t="n">
        <v>17</v>
      </c>
      <c r="H86" s="220" t="n">
        <v>984</v>
      </c>
      <c r="I86" s="236" t="n">
        <v>57.9</v>
      </c>
    </row>
    <row r="87">
      <c r="A87" s="200" t="inlineStr">
        <is>
          <t>Spoke'd Up</t>
        </is>
      </c>
      <c r="B87" s="200" t="n">
        <v>2</v>
      </c>
      <c r="C87" s="200" t="n">
        <v>11</v>
      </c>
      <c r="D87" s="200" t="n">
        <v>1</v>
      </c>
      <c r="E87" s="200" t="n">
        <v>3</v>
      </c>
      <c r="F87" s="200" t="n">
        <v>2</v>
      </c>
      <c r="G87" s="200" t="n">
        <v>14</v>
      </c>
      <c r="H87" s="220" t="n">
        <v>854</v>
      </c>
      <c r="I87" s="236" t="n">
        <v>61</v>
      </c>
    </row>
    <row r="88">
      <c r="A88" s="200" t="inlineStr">
        <is>
          <t>MILC Bikes</t>
        </is>
      </c>
      <c r="B88" s="200" t="n">
        <v>1</v>
      </c>
      <c r="C88" s="200" t="n">
        <v>7</v>
      </c>
      <c r="D88" s="200" t="n">
        <v>1</v>
      </c>
      <c r="E88" s="200" t="n">
        <v>7</v>
      </c>
      <c r="F88" s="200" t="n">
        <v>4</v>
      </c>
      <c r="G88" s="200" t="n">
        <v>14</v>
      </c>
      <c r="H88" s="220" t="n">
        <v>799</v>
      </c>
      <c r="I88" s="236" t="n">
        <v>57.1</v>
      </c>
    </row>
    <row r="89">
      <c r="A89" s="209" t="inlineStr">
        <is>
          <t>WeBike</t>
        </is>
      </c>
      <c r="B89" s="209" t="n">
        <v>2</v>
      </c>
      <c r="C89" s="209" t="n">
        <v>11</v>
      </c>
      <c r="D89" s="209" t="n">
        <v>1</v>
      </c>
      <c r="E89" s="209" t="n">
        <v>3</v>
      </c>
      <c r="F89" s="219" t="n">
        <v>1</v>
      </c>
      <c r="G89" s="209" t="n">
        <v>14</v>
      </c>
      <c r="H89" s="221" t="n">
        <v>627</v>
      </c>
      <c r="I89" s="237" t="n">
        <v>44.8</v>
      </c>
    </row>
    <row r="90">
      <c r="A90" s="200" t="inlineStr">
        <is>
          <t>Bike Bros</t>
        </is>
      </c>
      <c r="B90" s="200" t="n">
        <v>1</v>
      </c>
      <c r="C90" s="200" t="n">
        <v>7</v>
      </c>
      <c r="D90" s="200" t="n">
        <v>0</v>
      </c>
      <c r="E90" s="200" t="n">
        <v>0</v>
      </c>
      <c r="F90" s="200" t="n">
        <v>0</v>
      </c>
      <c r="G90" s="200" t="n">
        <v>7</v>
      </c>
      <c r="H90" s="220" t="n">
        <v>490</v>
      </c>
      <c r="I90" s="236" t="n">
        <v>70</v>
      </c>
    </row>
    <row r="93">
      <c r="A93" s="199" t="inlineStr">
        <is>
          <t>CHANNEL FINDINGS</t>
        </is>
      </c>
      <c r="B93" s="199" t="inlineStr">
        <is>
          <t>Value</t>
        </is>
      </c>
      <c r="C93" s="199" t="inlineStr">
        <is>
          <t>Note</t>
        </is>
      </c>
    </row>
    <row r="94">
      <c r="A94" s="200" t="inlineStr">
        <is>
          <t>Store counts</t>
        </is>
      </c>
      <c r="B94" s="200" t="inlineStr">
        <is>
          <t>5 firms have 2; Bike Bros AND MILC have 1</t>
        </is>
      </c>
      <c r="C94" s="208" t="inlineStr">
        <is>
          <t>City #3 is still unclaimed. MILC is web-first (confirmed 1 store + 7 web staff + 4 features).</t>
        </is>
      </c>
    </row>
    <row r="95">
      <c r="A95" s="200" t="inlineStr">
        <is>
          <t>Web feature pattern</t>
        </is>
      </c>
      <c r="B95" s="200" t="inlineStr">
        <is>
          <t>4 tactics → 7 web staff; 1–2 tactics → 3 web staff</t>
        </is>
      </c>
      <c r="C95" s="208" t="inlineStr">
        <is>
          <t>Confirmed. WeBike 1 feature / 3 staff; Spoke'd Up 2 / 3; leaders 4 / 7.</t>
        </is>
      </c>
    </row>
    <row r="96">
      <c r="A96" s="200" t="inlineStr">
        <is>
          <t>Demand per sales person</t>
        </is>
      </c>
      <c r="B96" s="204" t="inlineStr">
        <is>
          <t>WeBike 44.8 = LAST</t>
        </is>
      </c>
      <c r="C96" s="208" t="inlineStr">
        <is>
          <t>BB LLC 71.8 · Bike Bros 70.0 (one store!) · SpaceBikes 61.8 · Spoke'd Up 61.0</t>
        </is>
      </c>
    </row>
    <row r="97">
      <c r="A97" s="200" t="inlineStr">
        <is>
          <t>Headcount is NOT at parity</t>
        </is>
      </c>
      <c r="B97" s="200" t="inlineStr">
        <is>
          <t>Leaders have 21 (BB LLC, SpaceBikes)</t>
        </is>
      </c>
      <c r="C97" s="238" t="inlineStr">
        <is>
          <t>WeBike / Spoke'd Up / MILC = 14. LiteCycle 17. The 'parity at 14' line was wrong — leaders run 50% more people.</t>
        </is>
      </c>
    </row>
    <row r="100">
      <c r="A100" s="199" t="inlineStr">
        <is>
          <t>MARKETING (exact)</t>
        </is>
      </c>
      <c r="B100" s="199" t="inlineStr">
        <is>
          <t>Inserts</t>
        </is>
      </c>
      <c r="C100" s="199" t="inlineStr">
        <is>
          <t>SEM clicks</t>
        </is>
      </c>
      <c r="D100" s="199" t="inlineStr">
        <is>
          <t>SEM $</t>
        </is>
      </c>
      <c r="E100" s="199" t="inlineStr">
        <is>
          <t>Clicks / $1k</t>
        </is>
      </c>
      <c r="F100" s="199" t="inlineStr">
        <is>
          <t>Web pages</t>
        </is>
      </c>
      <c r="G100" s="199" t="inlineStr">
        <is>
          <t>Best Mtn ad</t>
        </is>
      </c>
      <c r="H100" s="199" t="inlineStr">
        <is>
          <t>Best Speed ad</t>
        </is>
      </c>
    </row>
    <row r="101">
      <c r="A101" s="200" t="inlineStr">
        <is>
          <t>BB LLC</t>
        </is>
      </c>
      <c r="B101" s="200" t="n">
        <v>24</v>
      </c>
      <c r="C101" s="220" t="n">
        <v>437</v>
      </c>
      <c r="D101" s="232" t="n">
        <v>2000</v>
      </c>
      <c r="E101" s="236" t="n">
        <v>218.5</v>
      </c>
      <c r="F101" s="200" t="n">
        <v>2</v>
      </c>
      <c r="G101" s="200" t="inlineStr">
        <is>
          <t>81 BB Big Momma</t>
        </is>
      </c>
      <c r="H101" s="200" t="inlineStr">
        <is>
          <t>76 Unleash lil pap</t>
        </is>
      </c>
    </row>
    <row r="102">
      <c r="A102" s="200" t="inlineStr">
        <is>
          <t>SpaceBikes</t>
        </is>
      </c>
      <c r="B102" s="200" t="n">
        <v>17</v>
      </c>
      <c r="C102" s="220" t="n">
        <v>401</v>
      </c>
      <c r="D102" s="232" t="n">
        <v>2000</v>
      </c>
      <c r="E102" s="236" t="n">
        <v>200.5</v>
      </c>
      <c r="F102" s="200" t="n">
        <v>2</v>
      </c>
      <c r="G102" s="200" t="inlineStr">
        <is>
          <t>N/A</t>
        </is>
      </c>
      <c r="H102" s="200" t="inlineStr">
        <is>
          <t>77 The Armstrong 1</t>
        </is>
      </c>
    </row>
    <row r="103">
      <c r="A103" s="200" t="inlineStr">
        <is>
          <t>Bike Bros</t>
        </is>
      </c>
      <c r="B103" s="200" t="n">
        <v>10</v>
      </c>
      <c r="C103" s="220" t="n">
        <v>213</v>
      </c>
      <c r="D103" s="232" t="n">
        <v>5000</v>
      </c>
      <c r="E103" s="236" t="n">
        <v>42.6</v>
      </c>
      <c r="F103" s="200" t="n">
        <v>5</v>
      </c>
      <c r="G103" s="200" t="inlineStr">
        <is>
          <t>78 TerraTech</t>
        </is>
      </c>
      <c r="H103" s="200" t="inlineStr">
        <is>
          <t>78 AndStill</t>
        </is>
      </c>
    </row>
    <row r="104">
      <c r="A104" s="200" t="inlineStr">
        <is>
          <t>MILC Bikes</t>
        </is>
      </c>
      <c r="B104" s="200" t="n">
        <v>12</v>
      </c>
      <c r="C104" s="220" t="n">
        <v>187</v>
      </c>
      <c r="D104" s="232" t="n">
        <v>2000</v>
      </c>
      <c r="E104" s="236" t="n">
        <v>93.5</v>
      </c>
      <c r="F104" s="200" t="n">
        <v>2</v>
      </c>
      <c r="G104" s="200" t="inlineStr">
        <is>
          <t>N/A</t>
        </is>
      </c>
      <c r="H104" s="200" t="inlineStr">
        <is>
          <t>75 Skim MILC MKII</t>
        </is>
      </c>
    </row>
    <row r="105">
      <c r="A105" s="200" t="inlineStr">
        <is>
          <t>LiteCycle</t>
        </is>
      </c>
      <c r="B105" s="200" t="n">
        <v>12</v>
      </c>
      <c r="C105" s="220" t="n">
        <v>153</v>
      </c>
      <c r="D105" s="232" t="n">
        <v>3000</v>
      </c>
      <c r="E105" s="236" t="n">
        <v>51</v>
      </c>
      <c r="F105" s="200" t="n">
        <v>3</v>
      </c>
      <c r="G105" s="200" t="inlineStr">
        <is>
          <t>79 Trail Blazing 1</t>
        </is>
      </c>
      <c r="H105" s="200" t="inlineStr">
        <is>
          <t>77 Speed of Lite 1</t>
        </is>
      </c>
    </row>
    <row r="106">
      <c r="A106" s="209" t="inlineStr">
        <is>
          <t>WeBike</t>
        </is>
      </c>
      <c r="B106" s="209" t="n">
        <v>19</v>
      </c>
      <c r="C106" s="221" t="n">
        <v>144</v>
      </c>
      <c r="D106" s="234" t="n">
        <v>2000</v>
      </c>
      <c r="E106" s="239" t="n">
        <v>72</v>
      </c>
      <c r="F106" s="209" t="n">
        <v>2</v>
      </c>
      <c r="G106" s="209" t="inlineStr">
        <is>
          <t>80 HikeBike 1</t>
        </is>
      </c>
      <c r="H106" s="209" t="inlineStr">
        <is>
          <t>70 Swift Bike</t>
        </is>
      </c>
    </row>
    <row r="107">
      <c r="A107" s="200" t="inlineStr">
        <is>
          <t>Spoke'd Up</t>
        </is>
      </c>
      <c r="B107" s="200" t="n">
        <v>12</v>
      </c>
      <c r="C107" s="220" t="n">
        <v>82</v>
      </c>
      <c r="D107" s="232" t="n">
        <v>2000</v>
      </c>
      <c r="E107" s="236" t="n">
        <v>41</v>
      </c>
      <c r="F107" s="200" t="n">
        <v>2</v>
      </c>
      <c r="G107" s="200" t="inlineStr">
        <is>
          <t>N/A</t>
        </is>
      </c>
      <c r="H107" s="200" t="inlineStr">
        <is>
          <t>N/A</t>
        </is>
      </c>
    </row>
    <row r="110">
      <c r="A110" s="199" t="inlineStr">
        <is>
          <t>MARKETING FINDINGS</t>
        </is>
      </c>
      <c r="B110" s="199" t="inlineStr">
        <is>
          <t>Value</t>
        </is>
      </c>
      <c r="C110" s="199" t="inlineStr">
        <is>
          <t>Note</t>
        </is>
      </c>
    </row>
    <row r="111">
      <c r="A111" s="200" t="inlineStr">
        <is>
          <t>SEM is a quality game, not a budget game</t>
        </is>
      </c>
      <c r="B111" s="200" t="inlineStr">
        <is>
          <t>5 of 7 firms spend $2,000</t>
        </is>
      </c>
      <c r="C111" s="238" t="inlineStr">
        <is>
          <t>BB LLC 437 clicks and SpaceBikes 401 clicks on the SAME $2,000 we spent for 144. Bike Bros spent $5,000 for 213 clicks — worse ROI. Pages don't explain it (BB LLC has 2 pages, we have 2).</t>
        </is>
      </c>
    </row>
    <row r="112">
      <c r="A112" s="200" t="inlineStr">
        <is>
          <t>Mountain ad</t>
        </is>
      </c>
      <c r="B112" s="200" t="inlineStr">
        <is>
          <t>HikeBike 1 = 80, 2nd of 4</t>
        </is>
      </c>
      <c r="C112" s="208" t="inlineStr">
        <is>
          <t>BB Big Momma 81. One point off the top. Do not redesign.</t>
        </is>
      </c>
    </row>
    <row r="113">
      <c r="A113" s="200" t="inlineStr">
        <is>
          <t>Speed ad</t>
        </is>
      </c>
      <c r="B113" s="204" t="inlineStr">
        <is>
          <t>Swift Bike = 70, last of scored ads</t>
        </is>
      </c>
      <c r="C113" s="208" t="inlineStr">
        <is>
          <t>Spoke'd Up Speed ad is below 70 (N/A). We are last among anyone who cleared the bar. Redesign.</t>
        </is>
      </c>
    </row>
    <row r="114">
      <c r="A114" s="200" t="inlineStr">
        <is>
          <t>Average price</t>
        </is>
      </c>
      <c r="B114" s="200" t="inlineStr">
        <is>
          <t>WeBike $1,408 = 3rd</t>
        </is>
      </c>
      <c r="C114" s="208" t="inlineStr">
        <is>
          <t>Bike Bros $1,475 edges BB LLC $1,473. 'BB LLC highest price' was a $2 rounding error. Rec specialists (Spoke'd Up $1,249, MILC $1,250) sit ~$160 below us.</t>
        </is>
      </c>
    </row>
    <row r="115">
      <c r="A115" s="200" t="inlineStr">
        <is>
          <t>Brand count ≠ share</t>
        </is>
      </c>
      <c r="B115" s="200" t="inlineStr">
        <is>
          <t>Bike Bros 5 brands, 490 demand, BSC 1</t>
        </is>
      </c>
      <c r="C115" s="208" t="inlineStr">
        <is>
          <t>SpaceBikes 2 brands, 1,298 demand, BSC 11. BB LLC 4 brands (2 Mtn + 2 Speed, no Rec &gt;=70). A 3rd brand is still not a Q4 priority.</t>
        </is>
      </c>
    </row>
    <row r="116">
      <c r="A116" s="200" t="inlineStr">
        <is>
          <t>BB LLC Rec = N/A</t>
        </is>
      </c>
      <c r="B116" s="200" t="inlineStr">
        <is>
          <t>No Rec brand or ad &gt;= 70</t>
        </is>
      </c>
      <c r="C116" s="208" t="inlineStr">
        <is>
          <t>'All 3 segments' is spillover (99 Rec units), not a Rec franchise. They win Mountain + Speed only.</t>
        </is>
      </c>
    </row>
    <row r="119">
      <c r="A119" s="199" t="inlineStr">
        <is>
          <t>Q3 QUARTERLY BSC (this report, integer)</t>
        </is>
      </c>
      <c r="B119" s="199" t="inlineStr">
        <is>
          <t>Score</t>
        </is>
      </c>
      <c r="C119" s="199" t="inlineStr">
        <is>
          <t>Demand</t>
        </is>
      </c>
      <c r="D119" s="199" t="inlineStr">
        <is>
          <t>Read</t>
        </is>
      </c>
    </row>
    <row r="120">
      <c r="A120" s="200" t="inlineStr">
        <is>
          <t>BB LLC</t>
        </is>
      </c>
      <c r="B120" s="206" t="n">
        <v>22</v>
      </c>
      <c r="C120" s="220" t="n">
        <v>1507</v>
      </c>
      <c r="D120" s="208" t="inlineStr">
        <is>
          <t>Q3 single-quarter leader by a mile</t>
        </is>
      </c>
    </row>
    <row r="121">
      <c r="A121" s="200" t="inlineStr">
        <is>
          <t>SpaceBikes</t>
        </is>
      </c>
      <c r="B121" s="200" t="n">
        <v>11</v>
      </c>
      <c r="C121" s="220" t="n">
        <v>1298</v>
      </c>
      <c r="D121" s="208" t="inlineStr">
        <is>
          <t>Strong Q3 too — cumulative lead plus a double-digit quarter</t>
        </is>
      </c>
    </row>
    <row r="122">
      <c r="A122" s="200" t="inlineStr">
        <is>
          <t>LiteCycle</t>
        </is>
      </c>
      <c r="B122" s="200" t="n">
        <v>3</v>
      </c>
      <c r="C122" s="220" t="n">
        <v>984</v>
      </c>
      <c r="D122" s="208" t="inlineStr">
        <is>
          <t>Tied third</t>
        </is>
      </c>
    </row>
    <row r="123">
      <c r="A123" s="200" t="inlineStr">
        <is>
          <t>MILC Bikes</t>
        </is>
      </c>
      <c r="B123" s="200" t="n">
        <v>3</v>
      </c>
      <c r="C123" s="220" t="n">
        <v>799</v>
      </c>
      <c r="D123" s="208" t="inlineStr">
        <is>
          <t>Tied third</t>
        </is>
      </c>
    </row>
    <row r="124">
      <c r="A124" s="200" t="inlineStr">
        <is>
          <t>Spoke'd Up</t>
        </is>
      </c>
      <c r="B124" s="200" t="n">
        <v>2</v>
      </c>
      <c r="C124" s="220" t="n">
        <v>854</v>
      </c>
      <c r="D124" s="208" t="n"/>
    </row>
    <row r="125">
      <c r="A125" s="200" t="inlineStr">
        <is>
          <t>Bike Bros</t>
        </is>
      </c>
      <c r="B125" s="200" t="n">
        <v>1</v>
      </c>
      <c r="C125" s="220" t="n">
        <v>490</v>
      </c>
      <c r="D125" s="208" t="inlineStr">
        <is>
          <t>5 brands, 1 store, 0 web — last among firms that sold anything much</t>
        </is>
      </c>
    </row>
    <row r="126">
      <c r="A126" s="209" t="inlineStr">
        <is>
          <t>WeBike</t>
        </is>
      </c>
      <c r="B126" s="219" t="n">
        <v>0</v>
      </c>
      <c r="C126" s="221" t="n">
        <v>627</v>
      </c>
      <c r="D126" s="210" t="inlineStr">
        <is>
          <t>0.411 Total Performance rounds to 0 on this report. Last.</t>
        </is>
      </c>
    </row>
  </sheetData>
  <mergeCells count="1">
    <mergeCell ref="A2:H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62" customWidth="1" style="146" min="1" max="1"/>
    <col width="42" customWidth="1" style="146" min="2" max="2"/>
    <col width="28" customWidth="1" style="146" min="3" max="3"/>
    <col width="22" customWidth="1" style="146" min="4" max="4"/>
    <col width="22" customWidth="1" style="146" min="5" max="5"/>
    <col width="22" customWidth="1" style="146" min="6" max="6"/>
    <col width="72" customWidth="1" style="146" min="7" max="7"/>
    <col width="16" customWidth="1" style="146" min="8" max="8"/>
    <col width="14" customWidth="1" style="146" min="9" max="9"/>
  </cols>
  <sheetData>
    <row r="1">
      <c r="A1" s="169" t="inlineStr">
        <is>
          <t>Major Media Inserts — World Market, Q3 actual (all 106 industry inserts)</t>
        </is>
      </c>
    </row>
    <row r="2" ht="48" customHeight="1" s="146">
      <c r="A2" s="170" t="inlineStr">
        <is>
          <t>World Market rows sum exactly to the company insert totals, so this IS the whole Major Media Inserts report (not a subset). BB LLC put all 24 inserts in Biking Magazines ($4,500, highest Mountain AND Speed preference) and spent LESS than we did. We cut HikeBike 1 Biking from 12 (Q2) to 6 (Q3) to 'diversify' — that was the mistake.</t>
        </is>
      </c>
    </row>
    <row r="4">
      <c r="A4" s="166" t="inlineStr">
        <is>
          <t>Company</t>
        </is>
      </c>
      <c r="B4" s="166" t="inlineStr">
        <is>
          <t>Inserts</t>
        </is>
      </c>
      <c r="C4" s="166" t="inlineStr">
        <is>
          <t>Rank</t>
        </is>
      </c>
      <c r="D4" s="166" t="inlineStr">
        <is>
          <t>Insert spend [$]</t>
        </is>
      </c>
      <c r="E4" s="166" t="inlineStr">
        <is>
          <t>$ / insert</t>
        </is>
      </c>
      <c r="F4" s="166" t="inlineStr">
        <is>
          <t>Biking inserts</t>
        </is>
      </c>
      <c r="G4" s="166" t="inlineStr">
        <is>
          <t>Biking % of own buy</t>
        </is>
      </c>
      <c r="H4" s="166" t="inlineStr">
        <is>
          <t>Other inserts</t>
        </is>
      </c>
    </row>
    <row r="5">
      <c r="A5" t="inlineStr">
        <is>
          <t>BB LLC</t>
        </is>
      </c>
      <c r="B5" t="n">
        <v>24</v>
      </c>
      <c r="C5" t="n">
        <v>1</v>
      </c>
      <c r="D5" s="240" t="n">
        <v>108000</v>
      </c>
      <c r="E5" s="240" t="n">
        <v>4500</v>
      </c>
      <c r="F5" s="159" t="n">
        <v>24</v>
      </c>
      <c r="G5" s="161" t="n">
        <v>1</v>
      </c>
      <c r="H5" t="n">
        <v>0</v>
      </c>
    </row>
    <row r="6">
      <c r="A6" s="171" t="inlineStr">
        <is>
          <t>WeBike</t>
        </is>
      </c>
      <c r="B6" s="171" t="n">
        <v>19</v>
      </c>
      <c r="C6" s="171" t="n">
        <v>2</v>
      </c>
      <c r="D6" s="241" t="n">
        <v>116000</v>
      </c>
      <c r="E6" s="241" t="n">
        <v>6105</v>
      </c>
      <c r="F6" s="171" t="n">
        <v>10</v>
      </c>
      <c r="G6" s="183" t="n">
        <v>0.5263157894736842</v>
      </c>
      <c r="H6" s="171" t="n">
        <v>9</v>
      </c>
    </row>
    <row r="7">
      <c r="A7" t="inlineStr">
        <is>
          <t>SpaceBikes</t>
        </is>
      </c>
      <c r="B7" t="n">
        <v>17</v>
      </c>
      <c r="C7" t="n">
        <v>3</v>
      </c>
      <c r="D7" s="240" t="n">
        <v>132000</v>
      </c>
      <c r="E7" s="240" t="n">
        <v>7765</v>
      </c>
      <c r="F7" t="n">
        <v>2</v>
      </c>
      <c r="G7" s="10" t="n">
        <v>0.1176470588235294</v>
      </c>
      <c r="H7" t="n">
        <v>15</v>
      </c>
    </row>
    <row r="8">
      <c r="A8" t="inlineStr">
        <is>
          <t>LiteCycle</t>
        </is>
      </c>
      <c r="B8" t="n">
        <v>12</v>
      </c>
      <c r="C8" t="n">
        <v>4</v>
      </c>
      <c r="D8" s="240" t="n">
        <v>75000</v>
      </c>
      <c r="E8" s="240" t="n">
        <v>6250</v>
      </c>
      <c r="F8" t="n">
        <v>6</v>
      </c>
      <c r="G8" s="10" t="n">
        <v>0.5</v>
      </c>
      <c r="H8" t="n">
        <v>6</v>
      </c>
    </row>
    <row r="9">
      <c r="A9" t="inlineStr">
        <is>
          <t>Spoke'd Up</t>
        </is>
      </c>
      <c r="B9" t="n">
        <v>12</v>
      </c>
      <c r="C9" t="n">
        <v>5</v>
      </c>
      <c r="D9" s="240" t="n">
        <v>96000</v>
      </c>
      <c r="E9" s="240" t="n">
        <v>8000</v>
      </c>
      <c r="F9" t="n">
        <v>2</v>
      </c>
      <c r="G9" s="10" t="n">
        <v>0.1666666666666667</v>
      </c>
      <c r="H9" t="n">
        <v>10</v>
      </c>
    </row>
    <row r="10">
      <c r="A10" t="inlineStr">
        <is>
          <t>MILC Bikes</t>
        </is>
      </c>
      <c r="B10" t="n">
        <v>12</v>
      </c>
      <c r="C10" t="n">
        <v>6</v>
      </c>
      <c r="D10" s="240" t="n">
        <v>68500</v>
      </c>
      <c r="E10" s="240" t="n">
        <v>5708</v>
      </c>
      <c r="F10" t="n">
        <v>5</v>
      </c>
      <c r="G10" s="10" t="n">
        <v>0.4166666666666667</v>
      </c>
      <c r="H10" t="n">
        <v>7</v>
      </c>
    </row>
    <row r="11">
      <c r="A11" t="inlineStr">
        <is>
          <t>Bike Bros</t>
        </is>
      </c>
      <c r="B11" t="n">
        <v>10</v>
      </c>
      <c r="C11" t="n">
        <v>7</v>
      </c>
      <c r="D11" s="240" t="n">
        <v>76000</v>
      </c>
      <c r="E11" s="240" t="n">
        <v>7600</v>
      </c>
      <c r="F11" t="n">
        <v>2</v>
      </c>
      <c r="G11" s="10" t="n">
        <v>0.2</v>
      </c>
      <c r="H11" t="n">
        <v>8</v>
      </c>
    </row>
    <row r="14">
      <c r="A14" s="166" t="inlineStr">
        <is>
          <t>THE EFFICIENCY FINDING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BB LLC inserts</t>
        </is>
      </c>
      <c r="B15" t="n">
        <v>24</v>
      </c>
      <c r="C15" s="170" t="inlineStr">
        <is>
          <t>industry high — 100% Biking Magazines</t>
        </is>
      </c>
    </row>
    <row r="16">
      <c r="A16" t="inlineStr">
        <is>
          <t>WeBike inserts</t>
        </is>
      </c>
      <c r="B16" t="n">
        <v>19</v>
      </c>
      <c r="C16" s="170" t="inlineStr">
        <is>
          <t>2nd — but spread across 5 media</t>
        </is>
      </c>
    </row>
    <row r="17">
      <c r="A17" t="inlineStr">
        <is>
          <t>BB LLC insert spend [$]</t>
        </is>
      </c>
      <c r="B17" t="n">
        <v>108000</v>
      </c>
      <c r="C17" s="170" t="inlineStr">
        <is>
          <t>24 x $4,500</t>
        </is>
      </c>
    </row>
    <row r="18">
      <c r="A18" t="inlineStr">
        <is>
          <t>WeBike insert spend [$]</t>
        </is>
      </c>
      <c r="B18" t="n">
        <v>116000</v>
      </c>
      <c r="C18" s="170" t="inlineStr">
        <is>
          <t>Health+Biking+Sport+Business+NV+News</t>
        </is>
      </c>
    </row>
    <row r="19">
      <c r="A19" t="inlineStr">
        <is>
          <t>WeBike reported ad expense [$]</t>
        </is>
      </c>
      <c r="B19" t="n">
        <v>119165</v>
      </c>
      <c r="C19" s="170" t="inlineStr">
        <is>
          <t>inserts $116k + ~$3,165 web/design</t>
        </is>
      </c>
    </row>
    <row r="20">
      <c r="A20" t="inlineStr">
        <is>
          <t>WeBike $ / insert</t>
        </is>
      </c>
      <c r="B20" s="159" t="n">
        <v>6105</v>
      </c>
      <c r="C20" s="170" t="inlineStr">
        <is>
          <t>we pay 36% more per insert than BB LLC</t>
        </is>
      </c>
    </row>
    <row r="21">
      <c r="A21" t="inlineStr">
        <is>
          <t>BB LLC $ / insert</t>
        </is>
      </c>
      <c r="B21" s="168" t="n">
        <v>4500</v>
      </c>
      <c r="C21" s="170" t="inlineStr">
        <is>
          <t>the Biking rate — cheapest medium, best Mtn+Speed pref</t>
        </is>
      </c>
    </row>
    <row r="22">
      <c r="A22" t="inlineStr">
        <is>
          <t>Inserts we could have bought at $4,500 with our $116k</t>
        </is>
      </c>
      <c r="B22" t="n">
        <v>25</v>
      </c>
      <c r="C22" s="170" t="inlineStr">
        <is>
          <t>25 Biking inserts vs the 10 we actually bought</t>
        </is>
      </c>
    </row>
    <row r="24">
      <c r="B24" s="168" t="n"/>
    </row>
    <row r="25">
      <c r="A25" s="166" t="inlineStr">
        <is>
          <t>Inserts by medium (industry)</t>
        </is>
      </c>
      <c r="B25" s="166" t="inlineStr">
        <is>
          <t>Bike Bros</t>
        </is>
      </c>
      <c r="C25" s="166" t="inlineStr">
        <is>
          <t>LiteCycle</t>
        </is>
      </c>
      <c r="D25" s="166" t="inlineStr">
        <is>
          <t>WeBike</t>
        </is>
      </c>
      <c r="E25" s="166" t="inlineStr">
        <is>
          <t>BB LLC</t>
        </is>
      </c>
      <c r="F25" s="166" t="inlineStr">
        <is>
          <t>Spoke'd Up</t>
        </is>
      </c>
      <c r="G25" s="166" t="inlineStr">
        <is>
          <t>SpaceBikes</t>
        </is>
      </c>
      <c r="H25" s="166" t="inlineStr">
        <is>
          <t>MILC Bikes</t>
        </is>
      </c>
      <c r="I25" s="166" t="inlineStr">
        <is>
          <t>Industry</t>
        </is>
      </c>
    </row>
    <row r="26">
      <c r="A26" t="inlineStr">
        <is>
          <t>Leisure &amp; Entertainment</t>
        </is>
      </c>
      <c r="B26" t="n">
        <v>1</v>
      </c>
      <c r="C26" t="n">
        <v>0</v>
      </c>
      <c r="D26" t="n">
        <v>0</v>
      </c>
      <c r="E26" t="n">
        <v>0</v>
      </c>
      <c r="F26" t="n">
        <v>3</v>
      </c>
      <c r="G26" t="n">
        <v>2</v>
      </c>
      <c r="H26" t="n">
        <v>0</v>
      </c>
      <c r="I26" t="n">
        <v>6</v>
      </c>
    </row>
    <row r="27">
      <c r="A27" t="inlineStr">
        <is>
          <t>Health &amp; Fitness Magazines</t>
        </is>
      </c>
      <c r="B27" t="n">
        <v>2</v>
      </c>
      <c r="C27" t="n">
        <v>0</v>
      </c>
      <c r="D27" t="n">
        <v>1</v>
      </c>
      <c r="E27" t="n">
        <v>0</v>
      </c>
      <c r="F27" t="n">
        <v>2</v>
      </c>
      <c r="G27" t="n">
        <v>3</v>
      </c>
      <c r="H27" t="n">
        <v>5</v>
      </c>
      <c r="I27" t="n">
        <v>13</v>
      </c>
    </row>
    <row r="28">
      <c r="A28" t="inlineStr">
        <is>
          <t>Biking Magazines</t>
        </is>
      </c>
      <c r="B28" t="n">
        <v>2</v>
      </c>
      <c r="C28" t="n">
        <v>6</v>
      </c>
      <c r="D28" s="173" t="n">
        <v>10</v>
      </c>
      <c r="E28" t="n">
        <v>24</v>
      </c>
      <c r="F28" t="n">
        <v>2</v>
      </c>
      <c r="G28" t="n">
        <v>2</v>
      </c>
      <c r="H28" t="n">
        <v>5</v>
      </c>
      <c r="I28" t="n">
        <v>51</v>
      </c>
    </row>
    <row r="29">
      <c r="A29" t="inlineStr">
        <is>
          <t>Sport Magazines</t>
        </is>
      </c>
      <c r="B29" t="n">
        <v>2</v>
      </c>
      <c r="C29" t="n">
        <v>1</v>
      </c>
      <c r="D29" s="173" t="n">
        <v>3</v>
      </c>
      <c r="E29" t="n">
        <v>0</v>
      </c>
      <c r="F29" t="n">
        <v>2</v>
      </c>
      <c r="G29" t="n">
        <v>2</v>
      </c>
      <c r="H29" t="n">
        <v>0</v>
      </c>
      <c r="I29" t="n">
        <v>10</v>
      </c>
    </row>
    <row r="30">
      <c r="A30" t="inlineStr">
        <is>
          <t>Business Magazines</t>
        </is>
      </c>
      <c r="B30" t="n">
        <v>1</v>
      </c>
      <c r="C30" t="n">
        <v>2</v>
      </c>
      <c r="D30" s="173" t="n">
        <v>1</v>
      </c>
      <c r="E30" s="159" t="n">
        <v>0</v>
      </c>
      <c r="F30" t="n">
        <v>1</v>
      </c>
      <c r="G30" t="n">
        <v>2</v>
      </c>
      <c r="H30" t="n">
        <v>0</v>
      </c>
      <c r="I30" t="n">
        <v>7</v>
      </c>
    </row>
    <row r="31">
      <c r="A31" t="inlineStr">
        <is>
          <t>New Venture Magazines</t>
        </is>
      </c>
      <c r="B31" t="n">
        <v>1</v>
      </c>
      <c r="C31" t="n">
        <v>2</v>
      </c>
      <c r="D31" s="173" t="n">
        <v>3</v>
      </c>
      <c r="E31" t="n">
        <v>0</v>
      </c>
      <c r="F31" t="n">
        <v>1</v>
      </c>
      <c r="G31" t="n">
        <v>2</v>
      </c>
      <c r="H31" t="n">
        <v>2</v>
      </c>
      <c r="I31" t="n">
        <v>11</v>
      </c>
    </row>
    <row r="32">
      <c r="A32" t="inlineStr">
        <is>
          <t>General News Magazines</t>
        </is>
      </c>
      <c r="B32" t="n">
        <v>1</v>
      </c>
      <c r="C32" t="n">
        <v>1</v>
      </c>
      <c r="D32" s="173" t="n">
        <v>1</v>
      </c>
      <c r="E32" t="n">
        <v>0</v>
      </c>
      <c r="F32" t="n">
        <v>1</v>
      </c>
      <c r="G32" t="n">
        <v>4</v>
      </c>
      <c r="H32" t="n">
        <v>0</v>
      </c>
      <c r="I32" t="n">
        <v>8</v>
      </c>
    </row>
    <row r="33">
      <c r="A33" t="inlineStr">
        <is>
          <t>TOTAL</t>
        </is>
      </c>
      <c r="B33" t="n">
        <v>10</v>
      </c>
      <c r="C33" t="n">
        <v>12</v>
      </c>
      <c r="D33" s="173" t="n">
        <v>19</v>
      </c>
      <c r="E33" t="n">
        <v>24</v>
      </c>
      <c r="F33" t="n">
        <v>12</v>
      </c>
      <c r="G33" t="n">
        <v>17</v>
      </c>
      <c r="H33" t="n">
        <v>12</v>
      </c>
      <c r="I33" t="n">
        <v>106</v>
      </c>
    </row>
    <row r="34">
      <c r="D34" s="173" t="n"/>
    </row>
    <row r="35">
      <c r="D35" s="173" t="n"/>
    </row>
    <row r="36">
      <c r="A36" s="166" t="inlineStr">
        <is>
          <t>WEBIKE MIX — Q2 HikeBike1 lock vs Q3 actual</t>
        </is>
      </c>
      <c r="B36" s="166" t="inlineStr">
        <is>
          <t>Q2 HikeBike1</t>
        </is>
      </c>
      <c r="C36" s="166" t="inlineStr">
        <is>
          <t>Q3 HikeBike 1</t>
        </is>
      </c>
      <c r="D36" s="166" t="inlineStr">
        <is>
          <t>Q3 Swift Bike</t>
        </is>
      </c>
      <c r="E36" s="166" t="inlineStr">
        <is>
          <t>Q3 total</t>
        </is>
      </c>
      <c r="F36" s="166" t="inlineStr">
        <is>
          <t>Q2→Q3 Hike change</t>
        </is>
      </c>
    </row>
    <row r="37">
      <c r="A37" t="inlineStr">
        <is>
          <t>Leisure &amp; Entertainment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</row>
    <row r="38">
      <c r="A38" t="inlineStr">
        <is>
          <t>Health &amp; Fitness Magazines</t>
        </is>
      </c>
      <c r="B38" t="n">
        <v>1</v>
      </c>
      <c r="C38" t="n">
        <v>1</v>
      </c>
      <c r="D38" t="n">
        <v>0</v>
      </c>
      <c r="E38" t="n">
        <v>1</v>
      </c>
      <c r="F38" t="n">
        <v>0</v>
      </c>
    </row>
    <row r="39">
      <c r="A39" t="inlineStr">
        <is>
          <t>Biking Magazines</t>
        </is>
      </c>
      <c r="B39" t="n">
        <v>12</v>
      </c>
      <c r="C39" t="n">
        <v>6</v>
      </c>
      <c r="D39" t="n">
        <v>4</v>
      </c>
      <c r="E39" t="n">
        <v>10</v>
      </c>
      <c r="F39" t="n">
        <v>-6</v>
      </c>
    </row>
    <row r="40">
      <c r="A40" t="inlineStr">
        <is>
          <t>Sport Magazines</t>
        </is>
      </c>
      <c r="B40" t="n">
        <v>2</v>
      </c>
      <c r="C40" t="n">
        <v>2</v>
      </c>
      <c r="D40" t="n">
        <v>1</v>
      </c>
      <c r="E40" t="n">
        <v>3</v>
      </c>
      <c r="F40" t="n">
        <v>0</v>
      </c>
    </row>
    <row r="41">
      <c r="A41" t="inlineStr">
        <is>
          <t>Business Magazines</t>
        </is>
      </c>
      <c r="B41" t="n">
        <v>0</v>
      </c>
      <c r="C41" s="168" t="n">
        <v>0</v>
      </c>
      <c r="D41" t="n">
        <v>1</v>
      </c>
      <c r="E41" t="n">
        <v>1</v>
      </c>
      <c r="F41" s="167" t="n">
        <v>0</v>
      </c>
    </row>
    <row r="42">
      <c r="A42" t="inlineStr">
        <is>
          <t>New Venture Magazines</t>
        </is>
      </c>
      <c r="B42" t="n">
        <v>0</v>
      </c>
      <c r="C42" t="n">
        <v>1</v>
      </c>
      <c r="D42" t="n">
        <v>2</v>
      </c>
      <c r="E42" t="n">
        <v>3</v>
      </c>
      <c r="F42" t="n">
        <v>1</v>
      </c>
    </row>
    <row r="43">
      <c r="A43" t="inlineStr">
        <is>
          <t>General News Magazines</t>
        </is>
      </c>
      <c r="B43" t="n">
        <v>1</v>
      </c>
      <c r="C43" t="n">
        <v>1</v>
      </c>
      <c r="D43" t="n">
        <v>0</v>
      </c>
      <c r="E43" t="n">
        <v>1</v>
      </c>
      <c r="F43" t="n">
        <v>0</v>
      </c>
    </row>
    <row r="44">
      <c r="A44" t="inlineStr">
        <is>
          <t>Inserts</t>
        </is>
      </c>
      <c r="B44" t="n">
        <v>16</v>
      </c>
      <c r="C44" t="n">
        <v>11</v>
      </c>
      <c r="D44" t="n">
        <v>8</v>
      </c>
      <c r="E44" t="n">
        <v>19</v>
      </c>
      <c r="F44" t="n">
        <v>-5</v>
      </c>
    </row>
    <row r="45">
      <c r="A45" t="inlineStr">
        <is>
          <t>Spend [$]</t>
        </is>
      </c>
      <c r="B45" t="n">
        <v>89000</v>
      </c>
      <c r="C45" t="n">
        <v>67500</v>
      </c>
      <c r="D45" t="n">
        <v>48500</v>
      </c>
      <c r="E45" t="n">
        <v>116000</v>
      </c>
      <c r="F45" t="n">
        <v>-21500</v>
      </c>
    </row>
    <row r="48">
      <c r="A48" s="166" t="inlineStr">
        <is>
          <t>IDENTICAL MOUNTAIN PRODUCT — Biking Magazines only</t>
        </is>
      </c>
      <c r="B48" s="166" t="inlineStr">
        <is>
          <t>Inserts</t>
        </is>
      </c>
      <c r="C48" s="166" t="inlineStr">
        <is>
          <t>Spend [$]</t>
        </is>
      </c>
      <c r="D48" s="166" t="inlineStr">
        <is>
          <t>Mountain share</t>
        </is>
      </c>
      <c r="E48" s="166" t="inlineStr">
        <is>
          <t>Note</t>
        </is>
      </c>
    </row>
    <row r="49">
      <c r="A49" t="inlineStr">
        <is>
          <t>BB LLC BB Big Momma → Blu Ruged Ballz (56/73/1, $1,365)</t>
        </is>
      </c>
      <c r="B49" t="n">
        <v>12</v>
      </c>
      <c r="C49" t="n">
        <v>54000</v>
      </c>
      <c r="D49" t="n">
        <v>0.463</v>
      </c>
      <c r="E49" s="170" t="inlineStr">
        <is>
          <t>same design, same price as Hike Bike</t>
        </is>
      </c>
    </row>
    <row r="50">
      <c r="A50" t="inlineStr">
        <is>
          <t>WeBike HikeBike 1 → Hike Bike (56/73/1, $1,365)</t>
        </is>
      </c>
      <c r="B50" t="n">
        <v>6</v>
      </c>
      <c r="C50" t="n">
        <v>27000</v>
      </c>
      <c r="D50" t="n">
        <v>0.221</v>
      </c>
      <c r="E50" s="170" t="inlineStr">
        <is>
          <t>we ran this at 12 in Q2 and cut it in half</t>
        </is>
      </c>
    </row>
    <row r="51">
      <c r="A51" t="inlineStr">
        <is>
          <t>Gap</t>
        </is>
      </c>
      <c r="B51" t="n">
        <v>6</v>
      </c>
      <c r="C51" t="n">
        <v>27000</v>
      </c>
      <c r="D51" s="10" t="n">
        <v>0.242</v>
      </c>
      <c r="E51" s="170" t="inlineStr">
        <is>
          <t>half the Biking weight, half-ish the share — plus stock-outs</t>
        </is>
      </c>
    </row>
    <row r="52">
      <c r="A52" s="171" t="n"/>
      <c r="B52" s="171" t="n"/>
      <c r="C52" s="171" t="n"/>
      <c r="D52" s="183" t="n"/>
      <c r="E52" s="171" t="n"/>
    </row>
    <row r="53">
      <c r="A53" s="168" t="n"/>
      <c r="B53" s="168" t="n"/>
      <c r="C53" s="168" t="n"/>
      <c r="D53" s="212" t="n"/>
      <c r="E53" s="168" t="n"/>
    </row>
    <row r="54">
      <c r="A54" s="166" t="inlineStr">
        <is>
          <t>SPEED — Biking Magazines</t>
        </is>
      </c>
      <c r="B54" s="166" t="inlineStr">
        <is>
          <t>Inserts</t>
        </is>
      </c>
      <c r="C54" s="166" t="inlineStr">
        <is>
          <t>Spend [$]</t>
        </is>
      </c>
      <c r="D54" s="166" t="inlineStr">
        <is>
          <t>Speed share</t>
        </is>
      </c>
      <c r="E54" s="166" t="inlineStr">
        <is>
          <t>Note</t>
        </is>
      </c>
    </row>
    <row r="55">
      <c r="A55" t="inlineStr">
        <is>
          <t>BB LLC Unleash lil pap → Blu Tube Ballz (judgment 76, $1,580)</t>
        </is>
      </c>
      <c r="B55" t="n">
        <v>12</v>
      </c>
      <c r="C55" t="n">
        <v>54000</v>
      </c>
      <c r="E55" s="170" t="inlineStr">
        <is>
          <t>their advertised Speed brand</t>
        </is>
      </c>
    </row>
    <row r="56">
      <c r="A56" t="inlineStr">
        <is>
          <t>WeBike Swift Bike (judgment 72, $1,450)</t>
        </is>
      </c>
      <c r="B56" t="n">
        <v>4</v>
      </c>
      <c r="C56" t="n">
        <v>18000</v>
      </c>
      <c r="D56" t="n">
        <v>0.075</v>
      </c>
      <c r="E56" s="170" t="inlineStr">
        <is>
          <t>2nd-worst product, 2nd-cheapest, 1/3 the Biking weight</t>
        </is>
      </c>
    </row>
    <row r="57">
      <c r="A57" t="inlineStr">
        <is>
          <t>MILC Skim MILC MKII (judgment 76)</t>
        </is>
      </c>
      <c r="B57" t="n">
        <v>5</v>
      </c>
      <c r="C57" t="n">
        <v>22500</v>
      </c>
      <c r="E57" s="170" t="inlineStr">
        <is>
          <t>more Biking than us on Speed</t>
        </is>
      </c>
    </row>
    <row r="58">
      <c r="A58" s="171" t="n"/>
      <c r="B58" s="171" t="n"/>
      <c r="C58" s="171" t="n"/>
      <c r="D58" s="183" t="n"/>
      <c r="E58" s="171" t="n"/>
    </row>
    <row r="60">
      <c r="A60" s="166" t="inlineStr">
        <is>
          <t>UNADVERTISED BRANDS (zero major-media inserts)</t>
        </is>
      </c>
      <c r="B60" s="166" t="inlineStr">
        <is>
          <t>Company</t>
        </is>
      </c>
      <c r="C60" s="166" t="inlineStr">
        <is>
          <t>Target</t>
        </is>
      </c>
      <c r="D60" s="166" t="inlineStr">
        <is>
          <t>Note</t>
        </is>
      </c>
    </row>
    <row r="61">
      <c r="A61" t="inlineStr">
        <is>
          <t>Blu Tail Ballz</t>
        </is>
      </c>
      <c r="B61" t="inlineStr">
        <is>
          <t>BB LLC</t>
        </is>
      </c>
      <c r="C61" t="inlineStr">
        <is>
          <t>Mountain</t>
        </is>
      </c>
      <c r="D61" s="170" t="inlineStr">
        <is>
          <t>judgment 70; Blu Ruged (73) takes all 12 Mtn inserts</t>
        </is>
      </c>
    </row>
    <row r="62">
      <c r="A62" t="inlineStr">
        <is>
          <t>Blu Aero Ballz</t>
        </is>
      </c>
      <c r="B62" t="inlineStr">
        <is>
          <t>BB LLC</t>
        </is>
      </c>
      <c r="C62" t="inlineStr">
        <is>
          <t>Speed</t>
        </is>
      </c>
      <c r="D62" s="170" t="inlineStr">
        <is>
          <t>judgment 74; Blu Tube (76) takes all 12 Speed inserts</t>
        </is>
      </c>
    </row>
    <row r="63">
      <c r="A63" t="inlineStr">
        <is>
          <t>TERRAMean</t>
        </is>
      </c>
      <c r="B63" t="inlineStr">
        <is>
          <t>Bike Bros</t>
        </is>
      </c>
      <c r="C63" t="inlineStr">
        <is>
          <t>Mountain</t>
        </is>
      </c>
      <c r="D63" s="170" t="inlineStr">
        <is>
          <t>judgment 72; they advertise TERRAMAX instead</t>
        </is>
      </c>
    </row>
    <row r="64">
      <c r="A64" t="inlineStr">
        <is>
          <t>Mach 0.6</t>
        </is>
      </c>
      <c r="B64" t="inlineStr">
        <is>
          <t>Bike Bros</t>
        </is>
      </c>
      <c r="C64" t="inlineStr">
        <is>
          <t>Speed</t>
        </is>
      </c>
      <c r="D64" s="170" t="inlineStr">
        <is>
          <t>judgment 61; they advertise MACH I.I instead</t>
        </is>
      </c>
    </row>
    <row r="67">
      <c r="A67" s="166" t="inlineStr">
        <is>
          <t>Q4 MEDIA OPTIONS — not locked; team vote</t>
        </is>
      </c>
      <c r="B67" s="166" t="inlineStr">
        <is>
          <t>HikeBike 1</t>
        </is>
      </c>
      <c r="C67" s="166" t="inlineStr">
        <is>
          <t>Swift Bike</t>
        </is>
      </c>
      <c r="D67" s="166" t="inlineStr">
        <is>
          <t>Inserts</t>
        </is>
      </c>
      <c r="E67" s="166" t="inlineStr">
        <is>
          <t>Insert spend [$]</t>
        </is>
      </c>
      <c r="F67" s="166" t="inlineStr">
        <is>
          <t>vs Q3 spend</t>
        </is>
      </c>
      <c r="G67" s="166" t="inlineStr">
        <is>
          <t>Read</t>
        </is>
      </c>
    </row>
    <row r="68">
      <c r="A68" t="inlineStr">
        <is>
          <t>A. Copy BB LLC (all Biking)</t>
        </is>
      </c>
      <c r="B68" t="inlineStr">
        <is>
          <t>Biking 12</t>
        </is>
      </c>
      <c r="C68" t="inlineStr">
        <is>
          <t>Biking 12</t>
        </is>
      </c>
      <c r="D68" t="n">
        <v>24</v>
      </c>
      <c r="E68" t="n">
        <v>108000</v>
      </c>
      <c r="F68" t="n">
        <v>-8000</v>
      </c>
      <c r="G68" s="170" t="inlineStr">
        <is>
          <t>Same insert count AND lower spend than Q3. Drops Sport/News/Business.</t>
        </is>
      </c>
    </row>
    <row r="69">
      <c r="A69" t="inlineStr">
        <is>
          <t>B. Restore Q2 Hike + match BB LLC Speed Biking (recommended)</t>
        </is>
      </c>
      <c r="B69" t="inlineStr">
        <is>
          <t>Health 1 · Biking 12 · Sport 2 · News 1</t>
        </is>
      </c>
      <c r="C69" t="inlineStr">
        <is>
          <t>Biking 12</t>
        </is>
      </c>
      <c r="D69" t="n">
        <v>29</v>
      </c>
      <c r="E69" t="n">
        <v>143000</v>
      </c>
      <c r="F69" t="n">
        <v>27000</v>
      </c>
      <c r="G69" s="170" t="inlineStr">
        <is>
          <t>Puts Hike Bike back on its proven mix; matches BB LLC's 12 Speed Biking.</t>
        </is>
      </c>
    </row>
    <row r="70">
      <c r="A70" t="inlineStr">
        <is>
          <t>C. Restore Q2 Hike + Speed Biking and Business</t>
        </is>
      </c>
      <c r="B70" t="inlineStr">
        <is>
          <t>Health 1 · Biking 12 · Sport 2 · News 1</t>
        </is>
      </c>
      <c r="C70" t="inlineStr">
        <is>
          <t>Biking 12 · Business 1</t>
        </is>
      </c>
      <c r="D70" t="n">
        <v>30</v>
      </c>
      <c r="E70" t="n">
        <v>152500</v>
      </c>
      <c r="F70" t="n">
        <v>36500</v>
      </c>
      <c r="G70" s="170" t="inlineStr">
        <is>
          <t>Adds Speed's #2 medium. Still well inside the $1.01M cash pile.</t>
        </is>
      </c>
    </row>
    <row r="71">
      <c r="A71" s="159" t="inlineStr">
        <is>
          <t>Do NOT</t>
        </is>
      </c>
      <c r="B71" s="159" t="inlineStr">
        <is>
          <t>keep Biking at 6</t>
        </is>
      </c>
      <c r="C71" s="159" t="inlineStr">
        <is>
          <t>keep Biking at 4 + NV 2</t>
        </is>
      </c>
      <c r="D71" s="159" t="n">
        <v>19</v>
      </c>
      <c r="E71" s="159" t="n">
        <v>116000</v>
      </c>
      <c r="F71" s="159" t="n">
        <v>0</v>
      </c>
      <c r="G71" s="181" t="inlineStr">
        <is>
          <t>Diversifying off Biking is what Q3 did. BB LLC does the opposite.</t>
        </is>
      </c>
    </row>
    <row r="73">
      <c r="A73" s="167" t="n"/>
    </row>
    <row r="74">
      <c r="A74" s="166" t="inlineStr">
        <is>
          <t>READS</t>
        </is>
      </c>
      <c r="B74" s="166" t="inlineStr">
        <is>
          <t>Detail</t>
        </is>
      </c>
    </row>
    <row r="75">
      <c r="A75" t="inlineStr">
        <is>
          <t>1. Placement, not ad count</t>
        </is>
      </c>
      <c r="B75" s="170" t="inlineStr">
        <is>
          <t>Ad CREATIVE count is not the lever (BB LLC 2 ads, Bike Bros 5). INSERT mix is: BB LLC 24/24 Biking vs our 10/19. Distinct from the Swift Bike ad-copy problem (judgment 70).</t>
        </is>
      </c>
    </row>
    <row r="76">
      <c r="A76" t="inlineStr">
        <is>
          <t>2. Q3 'diversify Mountain media' cut the best medium in half</t>
        </is>
      </c>
      <c r="B76" s="170" t="inlineStr">
        <is>
          <t>HikeBike 1 Biking 12 → 6. That $27,000 left Biking and went to Swift + New Venture. Mountain still loves Biking (pref 134). BB LLC kept 12 on the identical product.</t>
        </is>
      </c>
    </row>
    <row r="77">
      <c r="A77" t="inlineStr">
        <is>
          <t>3. We already outspend BB LLC on inserts</t>
        </is>
      </c>
      <c r="B77" s="170" t="inlineStr">
        <is>
          <t>$116,000 vs $108,000. Matching them is a MIX change, not a budget increase. Option B costs +$27k vs Q3 — idle cash covers it 37 times over.</t>
        </is>
      </c>
    </row>
    <row r="78">
      <c r="A78" t="inlineStr">
        <is>
          <t>4. Do not add a 3rd ad or a Recreation buy</t>
        </is>
      </c>
      <c r="B78" s="170" t="inlineStr">
        <is>
          <t>Leisure is Rec-skewed (pref 60 for Mountain). Rec stays parked. Improve the Swift Bike ad (70 → ~77) rather than adding a second Speed creative.</t>
        </is>
      </c>
    </row>
    <row r="79">
      <c r="A79" t="inlineStr">
        <is>
          <t>5. HikeBike 1 copy stays</t>
        </is>
      </c>
      <c r="B79" s="170" t="inlineStr">
        <is>
          <t>Ad judgment 80, 2nd in the field. Restore its Q2 media weight; do not redesign the ad.</t>
        </is>
      </c>
    </row>
    <row r="80">
      <c r="B80" s="170" t="n"/>
    </row>
    <row r="81">
      <c r="B81" s="170" t="n"/>
    </row>
    <row r="83">
      <c r="A83" s="165" t="inlineStr">
        <is>
          <t>SOURCE DUMP — World Market rows (audit)</t>
        </is>
      </c>
    </row>
    <row r="84">
      <c r="A84" s="166" t="inlineStr">
        <is>
          <t>Media</t>
        </is>
      </c>
      <c r="B84" s="166" t="inlineStr">
        <is>
          <t>Company</t>
        </is>
      </c>
      <c r="C84" s="166" t="inlineStr">
        <is>
          <t>Ad</t>
        </is>
      </c>
      <c r="D84" s="166" t="inlineStr">
        <is>
          <t>Brand advertised</t>
        </is>
      </c>
      <c r="E84" s="166" t="inlineStr">
        <is>
          <t>Segment</t>
        </is>
      </c>
      <c r="F84" s="166" t="inlineStr">
        <is>
          <t>Inserts</t>
        </is>
      </c>
      <c r="G84" s="166" t="inlineStr">
        <is>
          <t>Cost / insert [$]</t>
        </is>
      </c>
      <c r="H84" s="166" t="inlineStr">
        <is>
          <t>Spend [$]</t>
        </is>
      </c>
    </row>
    <row r="85">
      <c r="A85" t="inlineStr">
        <is>
          <t>Leisure &amp; Entertainment</t>
        </is>
      </c>
      <c r="B85" t="inlineStr">
        <is>
          <t>Bike Bros</t>
        </is>
      </c>
      <c r="C85" t="inlineStr">
        <is>
          <t>Easy Rider</t>
        </is>
      </c>
      <c r="D85" t="inlineStr">
        <is>
          <t>MountainCruise1</t>
        </is>
      </c>
      <c r="E85" t="inlineStr">
        <is>
          <t>Recreation</t>
        </is>
      </c>
      <c r="F85" t="n">
        <v>1</v>
      </c>
      <c r="G85" t="n">
        <v>10000</v>
      </c>
      <c r="H85" t="n">
        <v>10000</v>
      </c>
    </row>
    <row r="86">
      <c r="A86" t="inlineStr">
        <is>
          <t>Leisure &amp; Entertainment</t>
        </is>
      </c>
      <c r="B86" t="inlineStr">
        <is>
          <t>Spoke'd Up</t>
        </is>
      </c>
      <c r="C86" t="inlineStr">
        <is>
          <t>Spoke'd Easy</t>
        </is>
      </c>
      <c r="D86" t="inlineStr">
        <is>
          <t>Spoke'd Easy</t>
        </is>
      </c>
      <c r="E86" t="inlineStr">
        <is>
          <t>Recreation</t>
        </is>
      </c>
      <c r="F86" t="n">
        <v>3</v>
      </c>
      <c r="G86" t="n">
        <v>10000</v>
      </c>
      <c r="H86" t="n">
        <v>30000</v>
      </c>
    </row>
    <row r="87">
      <c r="A87" t="inlineStr">
        <is>
          <t>Leisure &amp; Entertainment</t>
        </is>
      </c>
      <c r="B87" t="inlineStr">
        <is>
          <t>SpaceBikes</t>
        </is>
      </c>
      <c r="C87" t="inlineStr">
        <is>
          <t>Mars Rover 1</t>
        </is>
      </c>
      <c r="D87" t="inlineStr">
        <is>
          <t>Mars Rover</t>
        </is>
      </c>
      <c r="E87" t="inlineStr">
        <is>
          <t>Recreation</t>
        </is>
      </c>
      <c r="F87" t="n">
        <v>2</v>
      </c>
      <c r="G87" t="n">
        <v>10000</v>
      </c>
      <c r="H87" t="n">
        <v>20000</v>
      </c>
    </row>
    <row r="88">
      <c r="A88" t="inlineStr">
        <is>
          <t>Health &amp; Fitness Magazines</t>
        </is>
      </c>
      <c r="B88" t="inlineStr">
        <is>
          <t>Bike Bros</t>
        </is>
      </c>
      <c r="C88" t="inlineStr">
        <is>
          <t>TerraTech</t>
        </is>
      </c>
      <c r="D88" t="inlineStr">
        <is>
          <t>TERRAMAX</t>
        </is>
      </c>
      <c r="E88" t="inlineStr">
        <is>
          <t>Mountain</t>
        </is>
      </c>
      <c r="F88" t="n">
        <v>1</v>
      </c>
      <c r="G88" t="n">
        <v>7000</v>
      </c>
      <c r="H88" t="n">
        <v>7000</v>
      </c>
    </row>
    <row r="89">
      <c r="A89" t="inlineStr">
        <is>
          <t>Health &amp; Fitness Magazines</t>
        </is>
      </c>
      <c r="B89" t="inlineStr">
        <is>
          <t>Bike Bros</t>
        </is>
      </c>
      <c r="C89" t="inlineStr">
        <is>
          <t>Easy Rider</t>
        </is>
      </c>
      <c r="D89" t="inlineStr">
        <is>
          <t>MountainCruise1</t>
        </is>
      </c>
      <c r="E89" t="inlineStr">
        <is>
          <t>Recreation</t>
        </is>
      </c>
      <c r="F89" t="n">
        <v>1</v>
      </c>
      <c r="G89" t="n">
        <v>7000</v>
      </c>
      <c r="H89" t="n">
        <v>7000</v>
      </c>
    </row>
    <row r="90">
      <c r="A90" t="inlineStr">
        <is>
          <t>Health &amp; Fitness Magazines</t>
        </is>
      </c>
      <c r="B90" t="inlineStr">
        <is>
          <t>WeBike</t>
        </is>
      </c>
      <c r="C90" t="inlineStr">
        <is>
          <t>HikeBike 1</t>
        </is>
      </c>
      <c r="D90" t="inlineStr">
        <is>
          <t>Hike Bike</t>
        </is>
      </c>
      <c r="E90" t="inlineStr">
        <is>
          <t>Mountain</t>
        </is>
      </c>
      <c r="F90" t="n">
        <v>1</v>
      </c>
      <c r="G90" t="n">
        <v>7000</v>
      </c>
      <c r="H90" t="n">
        <v>7000</v>
      </c>
    </row>
    <row r="91">
      <c r="A91" t="inlineStr">
        <is>
          <t>Health &amp; Fitness Magazines</t>
        </is>
      </c>
      <c r="B91" t="inlineStr">
        <is>
          <t>Spoke'd Up</t>
        </is>
      </c>
      <c r="C91" t="inlineStr">
        <is>
          <t>Spoke'd Easy</t>
        </is>
      </c>
      <c r="D91" t="inlineStr">
        <is>
          <t>Spoke'd Easy</t>
        </is>
      </c>
      <c r="E91" t="inlineStr">
        <is>
          <t>Recreation</t>
        </is>
      </c>
      <c r="F91" t="n">
        <v>2</v>
      </c>
      <c r="G91" t="n">
        <v>7000</v>
      </c>
      <c r="H91" t="n">
        <v>14000</v>
      </c>
    </row>
    <row r="92">
      <c r="A92" t="inlineStr">
        <is>
          <t>Health &amp; Fitness Magazines</t>
        </is>
      </c>
      <c r="B92" t="inlineStr">
        <is>
          <t>SpaceBikes</t>
        </is>
      </c>
      <c r="C92" t="inlineStr">
        <is>
          <t>Mars Rover 1</t>
        </is>
      </c>
      <c r="D92" t="inlineStr">
        <is>
          <t>Mars Rover</t>
        </is>
      </c>
      <c r="E92" t="inlineStr">
        <is>
          <t>Recreation</t>
        </is>
      </c>
      <c r="F92" t="n">
        <v>3</v>
      </c>
      <c r="G92" t="n">
        <v>7000</v>
      </c>
      <c r="H92" t="n">
        <v>21000</v>
      </c>
    </row>
    <row r="93">
      <c r="A93" t="inlineStr">
        <is>
          <t>Health &amp; Fitness Magazines</t>
        </is>
      </c>
      <c r="B93" t="inlineStr">
        <is>
          <t>MILC Bikes</t>
        </is>
      </c>
      <c r="C93" t="inlineStr">
        <is>
          <t>Whole MILC MKII</t>
        </is>
      </c>
      <c r="D93" t="inlineStr">
        <is>
          <t>Whole MILC MKII</t>
        </is>
      </c>
      <c r="E93" t="inlineStr">
        <is>
          <t>Recreation</t>
        </is>
      </c>
      <c r="F93" t="n">
        <v>5</v>
      </c>
      <c r="G93" t="n">
        <v>7000</v>
      </c>
      <c r="H93" t="n">
        <v>35000</v>
      </c>
    </row>
    <row r="94">
      <c r="A94" t="inlineStr">
        <is>
          <t>Biking Magazines</t>
        </is>
      </c>
      <c r="B94" t="inlineStr">
        <is>
          <t>Bike Bros</t>
        </is>
      </c>
      <c r="C94" t="inlineStr">
        <is>
          <t>Excluspeedity</t>
        </is>
      </c>
      <c r="D94" t="inlineStr">
        <is>
          <t>MACH I.I</t>
        </is>
      </c>
      <c r="E94" t="inlineStr">
        <is>
          <t>Speed</t>
        </is>
      </c>
      <c r="F94" t="n">
        <v>1</v>
      </c>
      <c r="G94" t="n">
        <v>4500</v>
      </c>
      <c r="H94" t="n">
        <v>4500</v>
      </c>
    </row>
    <row r="95">
      <c r="A95" t="inlineStr">
        <is>
          <t>Biking Magazines</t>
        </is>
      </c>
      <c r="B95" t="inlineStr">
        <is>
          <t>Bike Bros</t>
        </is>
      </c>
      <c r="C95" t="inlineStr">
        <is>
          <t>TerraTech</t>
        </is>
      </c>
      <c r="D95" t="inlineStr">
        <is>
          <t>TERRAMAX</t>
        </is>
      </c>
      <c r="E95" t="inlineStr">
        <is>
          <t>Mountain</t>
        </is>
      </c>
      <c r="F95" t="n">
        <v>1</v>
      </c>
      <c r="G95" t="n">
        <v>4500</v>
      </c>
      <c r="H95" t="n">
        <v>4500</v>
      </c>
    </row>
    <row r="96">
      <c r="A96" t="inlineStr">
        <is>
          <t>Biking Magazines</t>
        </is>
      </c>
      <c r="B96" t="inlineStr">
        <is>
          <t>LiteCycle</t>
        </is>
      </c>
      <c r="C96" t="inlineStr">
        <is>
          <t>Speed of Lite 1</t>
        </is>
      </c>
      <c r="D96" t="inlineStr">
        <is>
          <t>LiteSpeed Pro+</t>
        </is>
      </c>
      <c r="E96" t="inlineStr">
        <is>
          <t>Speed</t>
        </is>
      </c>
      <c r="F96" t="n">
        <v>2</v>
      </c>
      <c r="G96" t="n">
        <v>4500</v>
      </c>
      <c r="H96" t="n">
        <v>9000</v>
      </c>
    </row>
    <row r="97">
      <c r="A97" t="inlineStr">
        <is>
          <t>Biking Magazines</t>
        </is>
      </c>
      <c r="B97" t="inlineStr">
        <is>
          <t>LiteCycle</t>
        </is>
      </c>
      <c r="C97" t="inlineStr">
        <is>
          <t>Speed of Lite 2</t>
        </is>
      </c>
      <c r="D97" t="inlineStr">
        <is>
          <t>LiteSpeed+</t>
        </is>
      </c>
      <c r="E97" t="inlineStr">
        <is>
          <t>Speed</t>
        </is>
      </c>
      <c r="F97" t="n">
        <v>2</v>
      </c>
      <c r="G97" t="n">
        <v>4500</v>
      </c>
      <c r="H97" t="n">
        <v>9000</v>
      </c>
    </row>
    <row r="98">
      <c r="A98" t="inlineStr">
        <is>
          <t>Biking Magazines</t>
        </is>
      </c>
      <c r="B98" t="inlineStr">
        <is>
          <t>LiteCycle</t>
        </is>
      </c>
      <c r="C98" t="inlineStr">
        <is>
          <t>Trail Blazing 1</t>
        </is>
      </c>
      <c r="D98" t="inlineStr">
        <is>
          <t>LiteTrail Pro</t>
        </is>
      </c>
      <c r="E98" t="inlineStr">
        <is>
          <t>Mountain</t>
        </is>
      </c>
      <c r="F98" t="n">
        <v>2</v>
      </c>
      <c r="G98" t="n">
        <v>4500</v>
      </c>
      <c r="H98" t="n">
        <v>9000</v>
      </c>
    </row>
    <row r="99">
      <c r="A99" t="inlineStr">
        <is>
          <t>Biking Magazines</t>
        </is>
      </c>
      <c r="B99" t="inlineStr">
        <is>
          <t>WeBike</t>
        </is>
      </c>
      <c r="C99" t="inlineStr">
        <is>
          <t>HikeBike 1</t>
        </is>
      </c>
      <c r="D99" t="inlineStr">
        <is>
          <t>Hike Bike</t>
        </is>
      </c>
      <c r="E99" t="inlineStr">
        <is>
          <t>Mountain</t>
        </is>
      </c>
      <c r="F99" t="n">
        <v>6</v>
      </c>
      <c r="G99" t="n">
        <v>4500</v>
      </c>
      <c r="H99" t="n">
        <v>27000</v>
      </c>
    </row>
    <row r="100">
      <c r="A100" t="inlineStr">
        <is>
          <t>Biking Magazines</t>
        </is>
      </c>
      <c r="B100" t="inlineStr">
        <is>
          <t>WeBike</t>
        </is>
      </c>
      <c r="C100" t="inlineStr">
        <is>
          <t>Swift Bike</t>
        </is>
      </c>
      <c r="D100" t="inlineStr">
        <is>
          <t>Swift Bike</t>
        </is>
      </c>
      <c r="E100" t="inlineStr">
        <is>
          <t>Speed</t>
        </is>
      </c>
      <c r="F100" t="n">
        <v>4</v>
      </c>
      <c r="G100" t="n">
        <v>4500</v>
      </c>
      <c r="H100" t="n">
        <v>18000</v>
      </c>
    </row>
    <row r="101">
      <c r="A101" t="inlineStr">
        <is>
          <t>Biking Magazines</t>
        </is>
      </c>
      <c r="B101" t="inlineStr">
        <is>
          <t>BB LLC</t>
        </is>
      </c>
      <c r="C101" t="inlineStr">
        <is>
          <t>BB Big Momma</t>
        </is>
      </c>
      <c r="D101" t="inlineStr">
        <is>
          <t>Blu Ruged Ballz</t>
        </is>
      </c>
      <c r="E101" t="inlineStr">
        <is>
          <t>Mountain</t>
        </is>
      </c>
      <c r="F101" t="n">
        <v>12</v>
      </c>
      <c r="G101" t="n">
        <v>4500</v>
      </c>
      <c r="H101" t="n">
        <v>54000</v>
      </c>
    </row>
    <row r="102">
      <c r="A102" t="inlineStr">
        <is>
          <t>Biking Magazines</t>
        </is>
      </c>
      <c r="B102" t="inlineStr">
        <is>
          <t>BB LLC</t>
        </is>
      </c>
      <c r="C102" t="inlineStr">
        <is>
          <t>Unleash lil pap</t>
        </is>
      </c>
      <c r="D102" t="inlineStr">
        <is>
          <t>Blu Tube Ballz</t>
        </is>
      </c>
      <c r="E102" t="inlineStr">
        <is>
          <t>Speed</t>
        </is>
      </c>
      <c r="F102" t="n">
        <v>12</v>
      </c>
      <c r="G102" t="n">
        <v>4500</v>
      </c>
      <c r="H102" t="n">
        <v>54000</v>
      </c>
    </row>
    <row r="103">
      <c r="A103" t="inlineStr">
        <is>
          <t>Biking Magazines</t>
        </is>
      </c>
      <c r="B103" t="inlineStr">
        <is>
          <t>Spoke'd Up</t>
        </is>
      </c>
      <c r="C103" t="inlineStr">
        <is>
          <t>Spoke'd Easy</t>
        </is>
      </c>
      <c r="D103" t="inlineStr">
        <is>
          <t>Spoke'd Easy</t>
        </is>
      </c>
      <c r="E103" t="inlineStr">
        <is>
          <t>Recreation</t>
        </is>
      </c>
      <c r="F103" t="n">
        <v>1</v>
      </c>
      <c r="G103" t="n">
        <v>4500</v>
      </c>
      <c r="H103" t="n">
        <v>4500</v>
      </c>
    </row>
    <row r="104">
      <c r="A104" t="inlineStr">
        <is>
          <t>Biking Magazines</t>
        </is>
      </c>
      <c r="B104" t="inlineStr">
        <is>
          <t>Spoke'd Up</t>
        </is>
      </c>
      <c r="C104" t="inlineStr">
        <is>
          <t>Spoke'd Speed</t>
        </is>
      </c>
      <c r="D104" t="inlineStr">
        <is>
          <t>Spoke'd Speed</t>
        </is>
      </c>
      <c r="E104" t="inlineStr">
        <is>
          <t>Speed</t>
        </is>
      </c>
      <c r="F104" t="n">
        <v>1</v>
      </c>
      <c r="G104" t="n">
        <v>4500</v>
      </c>
      <c r="H104" t="n">
        <v>4500</v>
      </c>
    </row>
    <row r="105">
      <c r="A105" t="inlineStr">
        <is>
          <t>Biking Magazines</t>
        </is>
      </c>
      <c r="B105" t="inlineStr">
        <is>
          <t>SpaceBikes</t>
        </is>
      </c>
      <c r="C105" t="inlineStr">
        <is>
          <t>The Armstrong 1</t>
        </is>
      </c>
      <c r="D105" t="inlineStr">
        <is>
          <t>The Armstrong</t>
        </is>
      </c>
      <c r="E105" t="inlineStr">
        <is>
          <t>Speed</t>
        </is>
      </c>
      <c r="F105" t="n">
        <v>2</v>
      </c>
      <c r="G105" t="n">
        <v>4500</v>
      </c>
      <c r="H105" t="n">
        <v>9000</v>
      </c>
    </row>
    <row r="106">
      <c r="A106" t="inlineStr">
        <is>
          <t>Biking Magazines</t>
        </is>
      </c>
      <c r="B106" t="inlineStr">
        <is>
          <t>MILC Bikes</t>
        </is>
      </c>
      <c r="C106" t="inlineStr">
        <is>
          <t>Skim MILC MKII</t>
        </is>
      </c>
      <c r="D106" t="inlineStr">
        <is>
          <t>Skim MILC MKII</t>
        </is>
      </c>
      <c r="E106" t="inlineStr">
        <is>
          <t>Speed</t>
        </is>
      </c>
      <c r="F106" t="n">
        <v>5</v>
      </c>
      <c r="G106" t="n">
        <v>4500</v>
      </c>
      <c r="H106" t="n">
        <v>22500</v>
      </c>
    </row>
    <row r="107">
      <c r="A107" t="inlineStr">
        <is>
          <t>Sport Magazines</t>
        </is>
      </c>
      <c r="B107" t="inlineStr">
        <is>
          <t>Bike Bros</t>
        </is>
      </c>
      <c r="C107" t="inlineStr">
        <is>
          <t>Mountainability</t>
        </is>
      </c>
      <c r="D107" t="inlineStr">
        <is>
          <t>TERRAMAX</t>
        </is>
      </c>
      <c r="E107" t="inlineStr">
        <is>
          <t>Mountain</t>
        </is>
      </c>
      <c r="F107" t="n">
        <v>1</v>
      </c>
      <c r="G107" t="n">
        <v>10000</v>
      </c>
      <c r="H107" t="n">
        <v>10000</v>
      </c>
    </row>
    <row r="108">
      <c r="A108" t="inlineStr">
        <is>
          <t>Sport Magazines</t>
        </is>
      </c>
      <c r="B108" t="inlineStr">
        <is>
          <t>Bike Bros</t>
        </is>
      </c>
      <c r="C108" t="inlineStr">
        <is>
          <t>AndStill</t>
        </is>
      </c>
      <c r="D108" t="inlineStr">
        <is>
          <t>MACH I.I</t>
        </is>
      </c>
      <c r="E108" t="inlineStr">
        <is>
          <t>Speed</t>
        </is>
      </c>
      <c r="F108" t="n">
        <v>1</v>
      </c>
      <c r="G108" t="n">
        <v>10000</v>
      </c>
      <c r="H108" t="n">
        <v>10000</v>
      </c>
    </row>
    <row r="109">
      <c r="A109" t="inlineStr">
        <is>
          <t>Sport Magazines</t>
        </is>
      </c>
      <c r="B109" t="inlineStr">
        <is>
          <t>LiteCycle</t>
        </is>
      </c>
      <c r="C109" t="inlineStr">
        <is>
          <t>Trail Blazing 1</t>
        </is>
      </c>
      <c r="D109" t="inlineStr">
        <is>
          <t>LiteTrail Pro</t>
        </is>
      </c>
      <c r="E109" t="inlineStr">
        <is>
          <t>Mountain</t>
        </is>
      </c>
      <c r="F109" t="n">
        <v>1</v>
      </c>
      <c r="G109" t="n">
        <v>10000</v>
      </c>
      <c r="H109" t="n">
        <v>10000</v>
      </c>
    </row>
    <row r="110">
      <c r="A110" t="inlineStr">
        <is>
          <t>Sport Magazines</t>
        </is>
      </c>
      <c r="B110" t="inlineStr">
        <is>
          <t>WeBike</t>
        </is>
      </c>
      <c r="C110" t="inlineStr">
        <is>
          <t>HikeBike 1</t>
        </is>
      </c>
      <c r="D110" t="inlineStr">
        <is>
          <t>Hike Bike</t>
        </is>
      </c>
      <c r="E110" t="inlineStr">
        <is>
          <t>Mountain</t>
        </is>
      </c>
      <c r="F110" t="n">
        <v>2</v>
      </c>
      <c r="G110" t="n">
        <v>10000</v>
      </c>
      <c r="H110" t="n">
        <v>20000</v>
      </c>
    </row>
    <row r="111">
      <c r="A111" t="inlineStr">
        <is>
          <t>Sport Magazines</t>
        </is>
      </c>
      <c r="B111" t="inlineStr">
        <is>
          <t>WeBike</t>
        </is>
      </c>
      <c r="C111" t="inlineStr">
        <is>
          <t>Swift Bike</t>
        </is>
      </c>
      <c r="D111" t="inlineStr">
        <is>
          <t>Swift Bike</t>
        </is>
      </c>
      <c r="E111" t="inlineStr">
        <is>
          <t>Speed</t>
        </is>
      </c>
      <c r="F111" t="n">
        <v>1</v>
      </c>
      <c r="G111" t="n">
        <v>10000</v>
      </c>
      <c r="H111" t="n">
        <v>10000</v>
      </c>
    </row>
    <row r="112">
      <c r="A112" t="inlineStr">
        <is>
          <t>Sport Magazines</t>
        </is>
      </c>
      <c r="B112" t="inlineStr">
        <is>
          <t>Spoke'd Up</t>
        </is>
      </c>
      <c r="C112" t="inlineStr">
        <is>
          <t>Spoke'd Speed</t>
        </is>
      </c>
      <c r="D112" t="inlineStr">
        <is>
          <t>Spoke'd Speed</t>
        </is>
      </c>
      <c r="E112" t="inlineStr">
        <is>
          <t>Speed</t>
        </is>
      </c>
      <c r="F112" t="n">
        <v>2</v>
      </c>
      <c r="G112" t="n">
        <v>10000</v>
      </c>
      <c r="H112" t="n">
        <v>20000</v>
      </c>
    </row>
    <row r="113">
      <c r="A113" t="inlineStr">
        <is>
          <t>Sport Magazines</t>
        </is>
      </c>
      <c r="B113" t="inlineStr">
        <is>
          <t>SpaceBikes</t>
        </is>
      </c>
      <c r="C113" t="inlineStr">
        <is>
          <t>The Armstrong 1</t>
        </is>
      </c>
      <c r="D113" t="inlineStr">
        <is>
          <t>The Armstrong</t>
        </is>
      </c>
      <c r="E113" t="inlineStr">
        <is>
          <t>Speed</t>
        </is>
      </c>
      <c r="F113" t="n">
        <v>2</v>
      </c>
      <c r="G113" t="n">
        <v>10000</v>
      </c>
      <c r="H113" t="n">
        <v>20000</v>
      </c>
    </row>
    <row r="114">
      <c r="A114" t="inlineStr">
        <is>
          <t>Business Magazines</t>
        </is>
      </c>
      <c r="B114" t="inlineStr">
        <is>
          <t>Bike Bros</t>
        </is>
      </c>
      <c r="C114" t="inlineStr">
        <is>
          <t>Excluspeedity</t>
        </is>
      </c>
      <c r="D114" t="inlineStr">
        <is>
          <t>MACH I.I</t>
        </is>
      </c>
      <c r="E114" t="inlineStr">
        <is>
          <t>Speed</t>
        </is>
      </c>
      <c r="F114" t="n">
        <v>1</v>
      </c>
      <c r="G114" t="n">
        <v>9500</v>
      </c>
      <c r="H114" t="n">
        <v>9500</v>
      </c>
    </row>
    <row r="115">
      <c r="A115" t="inlineStr">
        <is>
          <t>Business Magazines</t>
        </is>
      </c>
      <c r="B115" t="inlineStr">
        <is>
          <t>LiteCycle</t>
        </is>
      </c>
      <c r="C115" t="inlineStr">
        <is>
          <t>Speed of Lite 1</t>
        </is>
      </c>
      <c r="D115" t="inlineStr">
        <is>
          <t>LiteSpeed Pro+</t>
        </is>
      </c>
      <c r="E115" t="inlineStr">
        <is>
          <t>Speed</t>
        </is>
      </c>
      <c r="F115" t="n">
        <v>1</v>
      </c>
      <c r="G115" t="n">
        <v>9500</v>
      </c>
      <c r="H115" t="n">
        <v>9500</v>
      </c>
    </row>
    <row r="116">
      <c r="A116" t="inlineStr">
        <is>
          <t>Business Magazines</t>
        </is>
      </c>
      <c r="B116" t="inlineStr">
        <is>
          <t>LiteCycle</t>
        </is>
      </c>
      <c r="C116" t="inlineStr">
        <is>
          <t>Speed of Lite 2</t>
        </is>
      </c>
      <c r="D116" t="inlineStr">
        <is>
          <t>LiteSpeed+</t>
        </is>
      </c>
      <c r="E116" t="inlineStr">
        <is>
          <t>Speed</t>
        </is>
      </c>
      <c r="F116" t="n">
        <v>1</v>
      </c>
      <c r="G116" t="n">
        <v>9500</v>
      </c>
      <c r="H116" t="n">
        <v>9500</v>
      </c>
    </row>
    <row r="117">
      <c r="A117" t="inlineStr">
        <is>
          <t>Business Magazines</t>
        </is>
      </c>
      <c r="B117" t="inlineStr">
        <is>
          <t>WeBike</t>
        </is>
      </c>
      <c r="C117" t="inlineStr">
        <is>
          <t>Swift Bike</t>
        </is>
      </c>
      <c r="D117" t="inlineStr">
        <is>
          <t>Swift Bike</t>
        </is>
      </c>
      <c r="E117" t="inlineStr">
        <is>
          <t>Speed</t>
        </is>
      </c>
      <c r="F117" t="n">
        <v>1</v>
      </c>
      <c r="G117" t="n">
        <v>9500</v>
      </c>
      <c r="H117" t="n">
        <v>9500</v>
      </c>
    </row>
    <row r="118">
      <c r="A118" t="inlineStr">
        <is>
          <t>Business Magazines</t>
        </is>
      </c>
      <c r="B118" t="inlineStr">
        <is>
          <t>Spoke'd Up</t>
        </is>
      </c>
      <c r="C118" t="inlineStr">
        <is>
          <t>Spoke'd Speed</t>
        </is>
      </c>
      <c r="D118" t="inlineStr">
        <is>
          <t>Spoke'd Speed</t>
        </is>
      </c>
      <c r="E118" t="inlineStr">
        <is>
          <t>Speed</t>
        </is>
      </c>
      <c r="F118" t="n">
        <v>1</v>
      </c>
      <c r="G118" t="n">
        <v>9500</v>
      </c>
      <c r="H118" t="n">
        <v>9500</v>
      </c>
    </row>
    <row r="119">
      <c r="A119" t="inlineStr">
        <is>
          <t>Business Magazines</t>
        </is>
      </c>
      <c r="B119" t="inlineStr">
        <is>
          <t>SpaceBikes</t>
        </is>
      </c>
      <c r="C119" t="inlineStr">
        <is>
          <t>The Armstrong 1</t>
        </is>
      </c>
      <c r="D119" t="inlineStr">
        <is>
          <t>The Armstrong</t>
        </is>
      </c>
      <c r="E119" t="inlineStr">
        <is>
          <t>Speed</t>
        </is>
      </c>
      <c r="F119" t="n">
        <v>2</v>
      </c>
      <c r="G119" t="n">
        <v>9500</v>
      </c>
      <c r="H119" t="n">
        <v>19000</v>
      </c>
    </row>
    <row r="120">
      <c r="A120" t="inlineStr">
        <is>
          <t>New Venture Magazines</t>
        </is>
      </c>
      <c r="B120" t="inlineStr">
        <is>
          <t>Bike Bros</t>
        </is>
      </c>
      <c r="C120" t="inlineStr">
        <is>
          <t>AndStill</t>
        </is>
      </c>
      <c r="D120" t="inlineStr">
        <is>
          <t>MACH I.I</t>
        </is>
      </c>
      <c r="E120" t="inlineStr">
        <is>
          <t>Speed</t>
        </is>
      </c>
      <c r="F120" t="n">
        <v>1</v>
      </c>
      <c r="G120" t="n">
        <v>5500</v>
      </c>
      <c r="H120" t="n">
        <v>5500</v>
      </c>
    </row>
    <row r="121">
      <c r="A121" t="inlineStr">
        <is>
          <t>New Venture Magazines</t>
        </is>
      </c>
      <c r="B121" t="inlineStr">
        <is>
          <t>LiteCycle</t>
        </is>
      </c>
      <c r="C121" t="inlineStr">
        <is>
          <t>Speed of Lite 1</t>
        </is>
      </c>
      <c r="D121" t="inlineStr">
        <is>
          <t>LiteSpeed Pro+</t>
        </is>
      </c>
      <c r="E121" t="inlineStr">
        <is>
          <t>Speed</t>
        </is>
      </c>
      <c r="F121" t="n">
        <v>1</v>
      </c>
      <c r="G121" t="n">
        <v>5500</v>
      </c>
      <c r="H121" t="n">
        <v>5500</v>
      </c>
    </row>
    <row r="122">
      <c r="A122" t="inlineStr">
        <is>
          <t>New Venture Magazines</t>
        </is>
      </c>
      <c r="B122" t="inlineStr">
        <is>
          <t>LiteCycle</t>
        </is>
      </c>
      <c r="C122" t="inlineStr">
        <is>
          <t>Speed of Lite 2</t>
        </is>
      </c>
      <c r="D122" t="inlineStr">
        <is>
          <t>LiteSpeed+</t>
        </is>
      </c>
      <c r="E122" t="inlineStr">
        <is>
          <t>Speed</t>
        </is>
      </c>
      <c r="F122" t="n">
        <v>1</v>
      </c>
      <c r="G122" t="n">
        <v>5500</v>
      </c>
      <c r="H122" t="n">
        <v>5500</v>
      </c>
    </row>
    <row r="123">
      <c r="A123" t="inlineStr">
        <is>
          <t>New Venture Magazines</t>
        </is>
      </c>
      <c r="B123" t="inlineStr">
        <is>
          <t>WeBike</t>
        </is>
      </c>
      <c r="C123" t="inlineStr">
        <is>
          <t>HikeBike 1</t>
        </is>
      </c>
      <c r="D123" t="inlineStr">
        <is>
          <t>Hike Bike</t>
        </is>
      </c>
      <c r="E123" t="inlineStr">
        <is>
          <t>Mountain</t>
        </is>
      </c>
      <c r="F123" t="n">
        <v>1</v>
      </c>
      <c r="G123" t="n">
        <v>5500</v>
      </c>
      <c r="H123" t="n">
        <v>5500</v>
      </c>
    </row>
    <row r="124">
      <c r="A124" t="inlineStr">
        <is>
          <t>New Venture Magazines</t>
        </is>
      </c>
      <c r="B124" t="inlineStr">
        <is>
          <t>WeBike</t>
        </is>
      </c>
      <c r="C124" t="inlineStr">
        <is>
          <t>Swift Bike</t>
        </is>
      </c>
      <c r="D124" t="inlineStr">
        <is>
          <t>Swift Bike</t>
        </is>
      </c>
      <c r="E124" t="inlineStr">
        <is>
          <t>Speed</t>
        </is>
      </c>
      <c r="F124" t="n">
        <v>2</v>
      </c>
      <c r="G124" t="n">
        <v>5500</v>
      </c>
      <c r="H124" t="n">
        <v>11000</v>
      </c>
    </row>
    <row r="125">
      <c r="A125" t="inlineStr">
        <is>
          <t>New Venture Magazines</t>
        </is>
      </c>
      <c r="B125" t="inlineStr">
        <is>
          <t>Spoke'd Up</t>
        </is>
      </c>
      <c r="C125" t="inlineStr">
        <is>
          <t>Spoke'd Speed</t>
        </is>
      </c>
      <c r="D125" t="inlineStr">
        <is>
          <t>Spoke'd Speed</t>
        </is>
      </c>
      <c r="E125" t="inlineStr">
        <is>
          <t>Speed</t>
        </is>
      </c>
      <c r="F125" t="n">
        <v>1</v>
      </c>
      <c r="G125" t="n">
        <v>5500</v>
      </c>
      <c r="H125" t="n">
        <v>5500</v>
      </c>
    </row>
    <row r="126">
      <c r="A126" t="inlineStr">
        <is>
          <t>New Venture Magazines</t>
        </is>
      </c>
      <c r="B126" t="inlineStr">
        <is>
          <t>SpaceBikes</t>
        </is>
      </c>
      <c r="C126" t="inlineStr">
        <is>
          <t>The Armstrong 1</t>
        </is>
      </c>
      <c r="D126" t="inlineStr">
        <is>
          <t>The Armstrong</t>
        </is>
      </c>
      <c r="E126" t="inlineStr">
        <is>
          <t>Speed</t>
        </is>
      </c>
      <c r="F126" t="n">
        <v>2</v>
      </c>
      <c r="G126" t="n">
        <v>5500</v>
      </c>
      <c r="H126" t="n">
        <v>11000</v>
      </c>
    </row>
    <row r="127">
      <c r="A127" t="inlineStr">
        <is>
          <t>New Venture Magazines</t>
        </is>
      </c>
      <c r="B127" t="inlineStr">
        <is>
          <t>MILC Bikes</t>
        </is>
      </c>
      <c r="C127" t="inlineStr">
        <is>
          <t>Skim MILC MKII</t>
        </is>
      </c>
      <c r="D127" t="inlineStr">
        <is>
          <t>Skim MILC MKII</t>
        </is>
      </c>
      <c r="E127" t="inlineStr">
        <is>
          <t>Speed</t>
        </is>
      </c>
      <c r="F127" t="n">
        <v>1</v>
      </c>
      <c r="G127" t="n">
        <v>5500</v>
      </c>
      <c r="H127" t="n">
        <v>5500</v>
      </c>
    </row>
    <row r="128">
      <c r="A128" t="inlineStr">
        <is>
          <t>New Venture Magazines</t>
        </is>
      </c>
      <c r="B128" t="inlineStr">
        <is>
          <t>MILC Bikes</t>
        </is>
      </c>
      <c r="C128" t="inlineStr">
        <is>
          <t>Whole MILC MKII</t>
        </is>
      </c>
      <c r="D128" t="inlineStr">
        <is>
          <t>Whole MILC MKII</t>
        </is>
      </c>
      <c r="E128" t="inlineStr">
        <is>
          <t>Recreation</t>
        </is>
      </c>
      <c r="F128" t="n">
        <v>1</v>
      </c>
      <c r="G128" t="n">
        <v>5500</v>
      </c>
      <c r="H128" t="n">
        <v>5500</v>
      </c>
    </row>
    <row r="129">
      <c r="A129" t="inlineStr">
        <is>
          <t>General News Magazines</t>
        </is>
      </c>
      <c r="B129" t="inlineStr">
        <is>
          <t>Bike Bros</t>
        </is>
      </c>
      <c r="C129" t="inlineStr">
        <is>
          <t>Mountainability</t>
        </is>
      </c>
      <c r="D129" t="inlineStr">
        <is>
          <t>TERRAMAX</t>
        </is>
      </c>
      <c r="E129" t="inlineStr">
        <is>
          <t>Mountain</t>
        </is>
      </c>
      <c r="F129" t="n">
        <v>1</v>
      </c>
      <c r="G129" t="n">
        <v>8000</v>
      </c>
      <c r="H129" t="n">
        <v>8000</v>
      </c>
    </row>
    <row r="130">
      <c r="A130" t="inlineStr">
        <is>
          <t>General News Magazines</t>
        </is>
      </c>
      <c r="B130" t="inlineStr">
        <is>
          <t>LiteCycle</t>
        </is>
      </c>
      <c r="C130" t="inlineStr">
        <is>
          <t>Speed of Lite 1</t>
        </is>
      </c>
      <c r="D130" t="inlineStr">
        <is>
          <t>LiteSpeed Pro+</t>
        </is>
      </c>
      <c r="E130" t="inlineStr">
        <is>
          <t>Speed</t>
        </is>
      </c>
      <c r="F130" t="n">
        <v>1</v>
      </c>
      <c r="G130" t="n">
        <v>8000</v>
      </c>
      <c r="H130" t="n">
        <v>8000</v>
      </c>
    </row>
    <row r="131">
      <c r="A131" t="inlineStr">
        <is>
          <t>General News Magazines</t>
        </is>
      </c>
      <c r="B131" t="inlineStr">
        <is>
          <t>WeBike</t>
        </is>
      </c>
      <c r="C131" t="inlineStr">
        <is>
          <t>HikeBike 1</t>
        </is>
      </c>
      <c r="D131" t="inlineStr">
        <is>
          <t>Hike Bike</t>
        </is>
      </c>
      <c r="E131" t="inlineStr">
        <is>
          <t>Mountain</t>
        </is>
      </c>
      <c r="F131" t="n">
        <v>1</v>
      </c>
      <c r="G131" t="n">
        <v>8000</v>
      </c>
      <c r="H131" t="n">
        <v>8000</v>
      </c>
    </row>
    <row r="132">
      <c r="A132" t="inlineStr">
        <is>
          <t>General News Magazines</t>
        </is>
      </c>
      <c r="B132" t="inlineStr">
        <is>
          <t>Spoke'd Up</t>
        </is>
      </c>
      <c r="C132" t="inlineStr">
        <is>
          <t>Spoke'd Easy</t>
        </is>
      </c>
      <c r="D132" t="inlineStr">
        <is>
          <t>Spoke'd Easy</t>
        </is>
      </c>
      <c r="E132" t="inlineStr">
        <is>
          <t>Recreation</t>
        </is>
      </c>
      <c r="F132" t="n">
        <v>1</v>
      </c>
      <c r="G132" t="n">
        <v>8000</v>
      </c>
      <c r="H132" t="n">
        <v>8000</v>
      </c>
    </row>
    <row r="133">
      <c r="A133" t="inlineStr">
        <is>
          <t>General News Magazines</t>
        </is>
      </c>
      <c r="B133" t="inlineStr">
        <is>
          <t>SpaceBikes</t>
        </is>
      </c>
      <c r="C133" t="inlineStr">
        <is>
          <t>The Armstrong 1</t>
        </is>
      </c>
      <c r="D133" t="inlineStr">
        <is>
          <t>The Armstrong</t>
        </is>
      </c>
      <c r="E133" t="inlineStr">
        <is>
          <t>Speed</t>
        </is>
      </c>
      <c r="F133" t="n">
        <v>2</v>
      </c>
      <c r="G133" t="n">
        <v>8000</v>
      </c>
      <c r="H133" t="n">
        <v>16000</v>
      </c>
    </row>
    <row r="134">
      <c r="A134" t="inlineStr">
        <is>
          <t>General News Magazines</t>
        </is>
      </c>
      <c r="B134" t="inlineStr">
        <is>
          <t>SpaceBikes</t>
        </is>
      </c>
      <c r="C134" t="inlineStr">
        <is>
          <t>Mars Rover 1</t>
        </is>
      </c>
      <c r="D134" t="inlineStr">
        <is>
          <t>Mars Rover</t>
        </is>
      </c>
      <c r="E134" t="inlineStr">
        <is>
          <t>Recreation</t>
        </is>
      </c>
      <c r="F134" t="n">
        <v>2</v>
      </c>
      <c r="G134" t="n">
        <v>8000</v>
      </c>
      <c r="H134" t="n">
        <v>16000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18" customWidth="1" style="146" min="2" max="2"/>
    <col width="38" customWidth="1" style="146" min="3" max="3"/>
    <col width="22" customWidth="1" style="146" min="4" max="4"/>
    <col width="16" customWidth="1" style="146" min="5" max="5"/>
    <col width="14" customWidth="1" style="146" min="6" max="6"/>
    <col width="14" customWidth="1" style="146" min="7" max="7"/>
    <col width="14" customWidth="1" style="146" min="8" max="8"/>
    <col width="14" customWidth="1" style="146" min="9" max="9"/>
    <col width="14" customWidth="1" style="146" min="10" max="10"/>
  </cols>
  <sheetData>
    <row r="1">
      <c r="A1" s="169" t="inlineStr">
        <is>
          <t>Competitor Compensation — Q3 actual (exact from Workspace)</t>
        </is>
      </c>
    </row>
    <row r="2" ht="64" customHeight="1" s="146">
      <c r="A2" s="170" t="inlineStr">
        <is>
          <t>Among the 7 carbon firms WeBike is 6th of 7 on sales pay (only Bike Bros cheaper) and tied 5th/6th on production. The published metal+carbon average is easier to beat because it includes cheaper metal firms. Sales mix is the error: salary $19k is 6th of 7 while Full coverage makes health 2nd-highest. BB LLC (Expanded, 2 wk, 4%) scores 78.4% at $27,402; MILC (Full, 1 wk, 1%) scores 70.0% at $27,630. Importance still Salary 87 / Health 84 / Vacation 72 / Pension 70. Packages OPEN — not locked.</t>
        </is>
      </c>
    </row>
    <row r="4">
      <c r="A4" s="165" t="inlineStr">
        <is>
          <t>SALES FORCE — sorted by total cost (high to low)</t>
        </is>
      </c>
    </row>
    <row r="5">
      <c r="A5" s="199" t="inlineStr">
        <is>
          <t>Company</t>
        </is>
      </c>
      <c r="B5" s="199" t="inlineStr">
        <is>
          <t>Satisfaction</t>
        </is>
      </c>
      <c r="C5" s="199" t="inlineStr">
        <is>
          <t>Salary</t>
        </is>
      </c>
      <c r="D5" s="199" t="inlineStr">
        <is>
          <t>Health tier</t>
        </is>
      </c>
      <c r="E5" s="199" t="inlineStr">
        <is>
          <t>Health $</t>
        </is>
      </c>
      <c r="F5" s="199" t="inlineStr">
        <is>
          <t>Vacation weeks</t>
        </is>
      </c>
      <c r="G5" s="199" t="inlineStr">
        <is>
          <t>Vacation $</t>
        </is>
      </c>
      <c r="H5" s="199" t="inlineStr">
        <is>
          <t>Pension %</t>
        </is>
      </c>
      <c r="I5" s="199" t="inlineStr">
        <is>
          <t>Pension $</t>
        </is>
      </c>
      <c r="J5" s="199" t="inlineStr">
        <is>
          <t>Total yearly cost</t>
        </is>
      </c>
    </row>
    <row r="6">
      <c r="A6" s="200" t="inlineStr">
        <is>
          <t>MILC Bikes</t>
        </is>
      </c>
      <c r="B6" s="228" t="n">
        <v>0.7</v>
      </c>
      <c r="C6" s="220" t="n">
        <v>22000</v>
      </c>
      <c r="D6" s="200" t="inlineStr">
        <is>
          <t>Full coverage</t>
        </is>
      </c>
      <c r="E6" s="220" t="n">
        <v>4840</v>
      </c>
      <c r="F6" s="200" t="n">
        <v>1</v>
      </c>
      <c r="G6" s="220" t="n">
        <v>570</v>
      </c>
      <c r="H6" s="242" t="n">
        <v>0.01</v>
      </c>
      <c r="I6" s="220" t="n">
        <v>220</v>
      </c>
      <c r="J6" s="220" t="n">
        <v>27630</v>
      </c>
    </row>
    <row r="7">
      <c r="A7" s="206" t="inlineStr">
        <is>
          <t>BB LLC</t>
        </is>
      </c>
      <c r="B7" s="243" t="n">
        <v>0.784</v>
      </c>
      <c r="C7" s="244" t="n">
        <v>22000</v>
      </c>
      <c r="D7" s="206" t="inlineStr">
        <is>
          <t>Expanded coverage</t>
        </is>
      </c>
      <c r="E7" s="244" t="n">
        <v>3300</v>
      </c>
      <c r="F7" s="206" t="n">
        <v>2</v>
      </c>
      <c r="G7" s="244" t="n">
        <v>1222</v>
      </c>
      <c r="H7" s="245" t="n">
        <v>0.04</v>
      </c>
      <c r="I7" s="244" t="n">
        <v>880</v>
      </c>
      <c r="J7" s="244" t="n">
        <v>27402</v>
      </c>
    </row>
    <row r="8">
      <c r="A8" s="200" t="inlineStr">
        <is>
          <t>LiteCycle</t>
        </is>
      </c>
      <c r="B8" s="228" t="n">
        <v>0.728</v>
      </c>
      <c r="C8" s="220" t="n">
        <v>21000</v>
      </c>
      <c r="D8" s="200" t="inlineStr">
        <is>
          <t>Expanded coverage</t>
        </is>
      </c>
      <c r="E8" s="220" t="n">
        <v>3150</v>
      </c>
      <c r="F8" s="200" t="n">
        <v>2</v>
      </c>
      <c r="G8" s="220" t="n">
        <v>1166</v>
      </c>
      <c r="H8" s="242" t="n">
        <v>0.02</v>
      </c>
      <c r="I8" s="220" t="n">
        <v>420</v>
      </c>
      <c r="J8" s="220" t="n">
        <v>25736</v>
      </c>
    </row>
    <row r="9">
      <c r="A9" s="200" t="inlineStr">
        <is>
          <t>SpaceBikes</t>
        </is>
      </c>
      <c r="B9" s="228" t="n">
        <v>0.736</v>
      </c>
      <c r="C9" s="220" t="n">
        <v>20000</v>
      </c>
      <c r="D9" s="200" t="inlineStr">
        <is>
          <t>Expanded coverage</t>
        </is>
      </c>
      <c r="E9" s="220" t="n">
        <v>3000</v>
      </c>
      <c r="F9" s="200" t="n">
        <v>2</v>
      </c>
      <c r="G9" s="220" t="n">
        <v>1111</v>
      </c>
      <c r="H9" s="242" t="n">
        <v>0.03</v>
      </c>
      <c r="I9" s="220" t="n">
        <v>600</v>
      </c>
      <c r="J9" s="220" t="n">
        <v>24711</v>
      </c>
    </row>
    <row r="10">
      <c r="A10" s="200" t="inlineStr">
        <is>
          <t>Spoke'd Up</t>
        </is>
      </c>
      <c r="B10" s="228" t="n">
        <v>0.714</v>
      </c>
      <c r="C10" s="220" t="n">
        <v>20000</v>
      </c>
      <c r="D10" s="200" t="inlineStr">
        <is>
          <t>Expanded coverage</t>
        </is>
      </c>
      <c r="E10" s="220" t="n">
        <v>3000</v>
      </c>
      <c r="F10" s="200" t="n">
        <v>2</v>
      </c>
      <c r="G10" s="220" t="n">
        <v>1111</v>
      </c>
      <c r="H10" s="242" t="n">
        <v>0.02</v>
      </c>
      <c r="I10" s="220" t="n">
        <v>400</v>
      </c>
      <c r="J10" s="220" t="n">
        <v>24511</v>
      </c>
    </row>
    <row r="11">
      <c r="A11" s="209" t="inlineStr">
        <is>
          <t>WeBike</t>
        </is>
      </c>
      <c r="B11" s="246" t="n">
        <v>0.703</v>
      </c>
      <c r="C11" s="221" t="n">
        <v>19000</v>
      </c>
      <c r="D11" s="209" t="inlineStr">
        <is>
          <t>Full coverage</t>
        </is>
      </c>
      <c r="E11" s="221" t="n">
        <v>4180</v>
      </c>
      <c r="F11" s="209" t="n">
        <v>2</v>
      </c>
      <c r="G11" s="221" t="n">
        <v>1055</v>
      </c>
      <c r="H11" s="247" t="n">
        <v>0.01</v>
      </c>
      <c r="I11" s="221" t="n">
        <v>190</v>
      </c>
      <c r="J11" s="221" t="n">
        <v>24425</v>
      </c>
    </row>
    <row r="12">
      <c r="A12" s="200" t="inlineStr">
        <is>
          <t>Bike Bros</t>
        </is>
      </c>
      <c r="B12" s="228" t="n">
        <v>0.6850000000000001</v>
      </c>
      <c r="C12" s="220" t="n">
        <v>18000</v>
      </c>
      <c r="D12" s="200" t="inlineStr">
        <is>
          <t>Expanded coverage</t>
        </is>
      </c>
      <c r="E12" s="220" t="n">
        <v>2700</v>
      </c>
      <c r="F12" s="200" t="n">
        <v>2</v>
      </c>
      <c r="G12" s="220" t="n">
        <v>1000</v>
      </c>
      <c r="H12" s="242" t="n">
        <v>0.02</v>
      </c>
      <c r="I12" s="220" t="n">
        <v>360</v>
      </c>
      <c r="J12" s="220" t="n">
        <v>22060</v>
      </c>
    </row>
    <row r="13">
      <c r="A13" s="248" t="inlineStr">
        <is>
          <t>7-firm mean (carbon classmates)</t>
        </is>
      </c>
      <c r="B13" s="200" t="n"/>
      <c r="C13" s="220" t="n">
        <v>20286</v>
      </c>
      <c r="D13" s="200" t="n"/>
      <c r="E13" s="220" t="n">
        <v>3453</v>
      </c>
      <c r="F13" s="200" t="n"/>
      <c r="G13" s="220" t="n"/>
      <c r="H13" s="200" t="n"/>
      <c r="I13" s="220" t="n"/>
      <c r="J13" s="249" t="n">
        <v>25211</v>
      </c>
    </row>
    <row r="14">
      <c r="A14" s="248" t="inlineStr">
        <is>
          <t>All metal + carbon average</t>
        </is>
      </c>
      <c r="B14" s="200" t="n"/>
      <c r="C14" s="220" t="n">
        <v>18643</v>
      </c>
      <c r="D14" s="200" t="n"/>
      <c r="E14" s="220" t="n">
        <v>2576</v>
      </c>
      <c r="F14" s="200" t="n"/>
      <c r="G14" s="220" t="n">
        <v>737</v>
      </c>
      <c r="H14" s="200" t="n"/>
      <c r="I14" s="220" t="n">
        <v>474</v>
      </c>
      <c r="J14" s="220" t="n">
        <v>22430</v>
      </c>
    </row>
    <row r="17">
      <c r="A17" s="199" t="inlineStr">
        <is>
          <t>SALES READ</t>
        </is>
      </c>
      <c r="B17" s="199" t="inlineStr">
        <is>
          <t>Value</t>
        </is>
      </c>
      <c r="C17" s="199" t="inlineStr">
        <is>
          <t>Note</t>
        </is>
      </c>
    </row>
    <row r="18">
      <c r="A18" s="200" t="inlineStr">
        <is>
          <t>WeBike total rank among 7</t>
        </is>
      </c>
      <c r="B18" s="200" t="inlineStr">
        <is>
          <t>6 of 7</t>
        </is>
      </c>
      <c r="C18" s="208" t="inlineStr">
        <is>
          <t>only Bike Bros cheaper; we trail the 7-firm mean by $786</t>
        </is>
      </c>
    </row>
    <row r="19">
      <c r="A19" s="200" t="inlineStr">
        <is>
          <t>WeBike salary rank among 7</t>
        </is>
      </c>
      <c r="B19" s="200" t="inlineStr">
        <is>
          <t>6 of 7</t>
        </is>
      </c>
      <c r="C19" s="208" t="inlineStr">
        <is>
          <t>importance 87 — this is the starved lever</t>
        </is>
      </c>
    </row>
    <row r="20">
      <c r="A20" s="200" t="inlineStr">
        <is>
          <t>WeBike salary vs 7-firm mean</t>
        </is>
      </c>
      <c r="B20" s="204" t="n">
        <v>-1285.714285714286</v>
      </c>
      <c r="C20" s="208" t="inlineStr">
        <is>
          <t>Full coverage is why health is $727 above the 7-firm mean</t>
        </is>
      </c>
    </row>
    <row r="21">
      <c r="A21" s="200" t="inlineStr">
        <is>
          <t>WeBike health vs 7-firm mean</t>
        </is>
      </c>
      <c r="B21" s="204" t="n">
        <v>727.1428571428573</v>
      </c>
      <c r="C21" s="208" t="inlineStr">
        <is>
          <t>2nd-highest health line; only MILC (also Full) is higher</t>
        </is>
      </c>
    </row>
    <row r="22">
      <c r="A22" s="200" t="inlineStr">
        <is>
          <t>WeBike satisfaction rank</t>
        </is>
      </c>
      <c r="B22" s="250" t="inlineStr">
        <is>
          <t>5 of 7</t>
        </is>
      </c>
      <c r="C22" s="208" t="inlineStr">
        <is>
          <t>70.3% — MILC pays most and sits at 70.0%</t>
        </is>
      </c>
    </row>
    <row r="23">
      <c r="A23" s="200" t="inlineStr">
        <is>
          <t>Satisfaction leader</t>
        </is>
      </c>
      <c r="B23" s="250" t="inlineStr">
        <is>
          <t>BB LLC 78.4%</t>
        </is>
      </c>
      <c r="C23" s="208" t="inlineStr">
        <is>
          <t>Expanded + 2 weeks + 4%, not Full coverage</t>
        </is>
      </c>
    </row>
    <row r="24">
      <c r="A24" s="200" t="inlineStr">
        <is>
          <t>Expanded health formula</t>
        </is>
      </c>
      <c r="B24" s="200" t="inlineStr">
        <is>
          <t>15% of salary</t>
        </is>
      </c>
      <c r="C24" s="208" t="inlineStr">
        <is>
          <t>reproduces every Expanded row exactly</t>
        </is>
      </c>
    </row>
    <row r="25">
      <c r="A25" s="200" t="inlineStr">
        <is>
          <t>Full coverage formula</t>
        </is>
      </c>
      <c r="B25" s="200" t="inlineStr">
        <is>
          <t>22% of salary</t>
        </is>
      </c>
      <c r="C25" s="208" t="inlineStr">
        <is>
          <t>reproduces WeBike $4,180 and MILC $4,840 exactly</t>
        </is>
      </c>
    </row>
    <row r="26">
      <c r="A26" s="200" t="inlineStr">
        <is>
          <t>2-week vacation formula</t>
        </is>
      </c>
      <c r="B26" s="200" t="inlineStr">
        <is>
          <t>salary / 18</t>
        </is>
      </c>
      <c r="C26" s="208" t="inlineStr">
        <is>
          <t>reproduces every 2-week row (rounded)</t>
        </is>
      </c>
    </row>
    <row r="29">
      <c r="A29" s="165" t="inlineStr">
        <is>
          <t>PRODUCTION WORKERS — sorted by total cost (high to low)</t>
        </is>
      </c>
    </row>
    <row r="30">
      <c r="A30" s="199" t="inlineStr">
        <is>
          <t>Company</t>
        </is>
      </c>
      <c r="B30" s="199" t="inlineStr">
        <is>
          <t>Satisfaction</t>
        </is>
      </c>
      <c r="C30" s="199" t="inlineStr">
        <is>
          <t>Salary</t>
        </is>
      </c>
      <c r="D30" s="199" t="inlineStr">
        <is>
          <t>Health tier</t>
        </is>
      </c>
      <c r="E30" s="199" t="inlineStr">
        <is>
          <t>Health $</t>
        </is>
      </c>
      <c r="F30" s="199" t="inlineStr">
        <is>
          <t>Vacation weeks</t>
        </is>
      </c>
      <c r="G30" s="199" t="inlineStr">
        <is>
          <t>Vacation $</t>
        </is>
      </c>
      <c r="H30" s="199" t="inlineStr">
        <is>
          <t>Pension %</t>
        </is>
      </c>
      <c r="I30" s="199" t="inlineStr">
        <is>
          <t>Pension $</t>
        </is>
      </c>
      <c r="J30" s="199" t="inlineStr">
        <is>
          <t>Total yearly cost</t>
        </is>
      </c>
    </row>
    <row r="31">
      <c r="A31" s="200" t="inlineStr">
        <is>
          <t>MILC Bikes</t>
        </is>
      </c>
      <c r="B31" s="228" t="n">
        <v>0.727</v>
      </c>
      <c r="C31" s="220" t="n">
        <v>18400</v>
      </c>
      <c r="D31" s="200" t="inlineStr">
        <is>
          <t>Full coverage</t>
        </is>
      </c>
      <c r="E31" s="220" t="n">
        <v>4048</v>
      </c>
      <c r="F31" s="200" t="n">
        <v>1</v>
      </c>
      <c r="G31" s="220" t="n">
        <v>477</v>
      </c>
      <c r="H31" s="242" t="n">
        <v>0.02</v>
      </c>
      <c r="I31" s="220" t="n">
        <v>368</v>
      </c>
      <c r="J31" s="220" t="n">
        <v>23293</v>
      </c>
    </row>
    <row r="32">
      <c r="A32" s="206" t="inlineStr">
        <is>
          <t>BB LLC</t>
        </is>
      </c>
      <c r="B32" s="243" t="n">
        <v>0.777</v>
      </c>
      <c r="C32" s="244" t="n">
        <v>18500</v>
      </c>
      <c r="D32" s="206" t="inlineStr">
        <is>
          <t>Expanded coverage</t>
        </is>
      </c>
      <c r="E32" s="244" t="n">
        <v>2775</v>
      </c>
      <c r="F32" s="206" t="n">
        <v>2</v>
      </c>
      <c r="G32" s="244" t="n">
        <v>1027</v>
      </c>
      <c r="H32" s="245" t="n">
        <v>0.04</v>
      </c>
      <c r="I32" s="244" t="n">
        <v>740</v>
      </c>
      <c r="J32" s="244" t="n">
        <v>23042</v>
      </c>
    </row>
    <row r="33">
      <c r="A33" s="200" t="inlineStr">
        <is>
          <t>LiteCycle</t>
        </is>
      </c>
      <c r="B33" s="228" t="n">
        <v>0.743</v>
      </c>
      <c r="C33" s="220" t="n">
        <v>17500</v>
      </c>
      <c r="D33" s="200" t="inlineStr">
        <is>
          <t>Expanded coverage</t>
        </is>
      </c>
      <c r="E33" s="220" t="n">
        <v>2625</v>
      </c>
      <c r="F33" s="200" t="n">
        <v>2</v>
      </c>
      <c r="G33" s="220" t="n">
        <v>972</v>
      </c>
      <c r="H33" s="242" t="n">
        <v>0.03</v>
      </c>
      <c r="I33" s="220" t="n">
        <v>525</v>
      </c>
      <c r="J33" s="220" t="n">
        <v>21622</v>
      </c>
    </row>
    <row r="34">
      <c r="A34" s="200" t="inlineStr">
        <is>
          <t>SpaceBikes</t>
        </is>
      </c>
      <c r="B34" s="228" t="n">
        <v>0.734</v>
      </c>
      <c r="C34" s="220" t="n">
        <v>17000</v>
      </c>
      <c r="D34" s="200" t="inlineStr">
        <is>
          <t>Expanded coverage</t>
        </is>
      </c>
      <c r="E34" s="220" t="n">
        <v>2550</v>
      </c>
      <c r="F34" s="200" t="n">
        <v>2</v>
      </c>
      <c r="G34" s="220" t="n">
        <v>944</v>
      </c>
      <c r="H34" s="242" t="n">
        <v>0.03</v>
      </c>
      <c r="I34" s="220" t="n">
        <v>510</v>
      </c>
      <c r="J34" s="220" t="n">
        <v>21004</v>
      </c>
    </row>
    <row r="35">
      <c r="A35" s="209" t="inlineStr">
        <is>
          <t>WeBike</t>
        </is>
      </c>
      <c r="B35" s="246" t="n">
        <v>0.731</v>
      </c>
      <c r="C35" s="221" t="n">
        <v>16800</v>
      </c>
      <c r="D35" s="209" t="inlineStr">
        <is>
          <t>Expanded coverage</t>
        </is>
      </c>
      <c r="E35" s="221" t="n">
        <v>2520</v>
      </c>
      <c r="F35" s="209" t="n">
        <v>2</v>
      </c>
      <c r="G35" s="221" t="n">
        <v>933</v>
      </c>
      <c r="H35" s="247" t="n">
        <v>0.03</v>
      </c>
      <c r="I35" s="221" t="n">
        <v>504</v>
      </c>
      <c r="J35" s="221" t="n">
        <v>20757</v>
      </c>
    </row>
    <row r="36">
      <c r="A36" s="200" t="inlineStr">
        <is>
          <t>Spoke'd Up</t>
        </is>
      </c>
      <c r="B36" s="228" t="n">
        <v>0.731</v>
      </c>
      <c r="C36" s="220" t="n">
        <v>16800</v>
      </c>
      <c r="D36" s="200" t="inlineStr">
        <is>
          <t>Expanded coverage</t>
        </is>
      </c>
      <c r="E36" s="220" t="n">
        <v>2520</v>
      </c>
      <c r="F36" s="200" t="n">
        <v>2</v>
      </c>
      <c r="G36" s="220" t="n">
        <v>933</v>
      </c>
      <c r="H36" s="242" t="n">
        <v>0.03</v>
      </c>
      <c r="I36" s="220" t="n">
        <v>504</v>
      </c>
      <c r="J36" s="220" t="n">
        <v>20757</v>
      </c>
    </row>
    <row r="37">
      <c r="A37" s="200" t="inlineStr">
        <is>
          <t>Bike Bros</t>
        </is>
      </c>
      <c r="B37" s="228" t="n">
        <v>0.696</v>
      </c>
      <c r="C37" s="220" t="n">
        <v>16000</v>
      </c>
      <c r="D37" s="200" t="inlineStr">
        <is>
          <t>Expanded coverage</t>
        </is>
      </c>
      <c r="E37" s="220" t="n">
        <v>2400</v>
      </c>
      <c r="F37" s="200" t="n">
        <v>2</v>
      </c>
      <c r="G37" s="220" t="n">
        <v>889</v>
      </c>
      <c r="H37" s="242" t="n">
        <v>0.02</v>
      </c>
      <c r="I37" s="220" t="n">
        <v>320</v>
      </c>
      <c r="J37" s="220" t="n">
        <v>19609</v>
      </c>
    </row>
    <row r="38">
      <c r="A38" s="248" t="inlineStr">
        <is>
          <t>7-firm mean (carbon classmates)</t>
        </is>
      </c>
      <c r="B38" s="200" t="n"/>
      <c r="C38" s="220" t="n">
        <v>17286</v>
      </c>
      <c r="D38" s="200" t="n"/>
      <c r="E38" s="220" t="n">
        <v>2777</v>
      </c>
      <c r="F38" s="200" t="n"/>
      <c r="G38" s="220" t="n"/>
      <c r="H38" s="200" t="n"/>
      <c r="I38" s="220" t="n"/>
      <c r="J38" s="249" t="n">
        <v>21441</v>
      </c>
    </row>
    <row r="39">
      <c r="A39" s="248" t="inlineStr">
        <is>
          <t>All metal + carbon average</t>
        </is>
      </c>
      <c r="B39" s="200" t="n"/>
      <c r="C39" s="220" t="n">
        <v>15643</v>
      </c>
      <c r="D39" s="200" t="n"/>
      <c r="E39" s="220" t="n">
        <v>2088</v>
      </c>
      <c r="F39" s="200" t="n"/>
      <c r="G39" s="220" t="n">
        <v>622</v>
      </c>
      <c r="H39" s="200" t="n"/>
      <c r="I39" s="220" t="n">
        <v>458</v>
      </c>
      <c r="J39" s="220" t="n">
        <v>18811</v>
      </c>
    </row>
    <row r="42">
      <c r="A42" s="199" t="inlineStr">
        <is>
          <t>PRODUCTION READ</t>
        </is>
      </c>
      <c r="B42" s="199" t="inlineStr">
        <is>
          <t>Value</t>
        </is>
      </c>
      <c r="C42" s="199" t="inlineStr">
        <is>
          <t>Note</t>
        </is>
      </c>
    </row>
    <row r="43">
      <c r="A43" s="200" t="inlineStr">
        <is>
          <t>WeBike total rank among 7</t>
        </is>
      </c>
      <c r="B43" s="200" t="inlineStr">
        <is>
          <t>tied 5th/6th</t>
        </is>
      </c>
      <c r="C43" s="208" t="inlineStr">
        <is>
          <t>byte-identical package to Spoke'd Up; both 73.1% sat</t>
        </is>
      </c>
    </row>
    <row r="44">
      <c r="A44" s="200" t="inlineStr">
        <is>
          <t>Mix vs industry pattern</t>
        </is>
      </c>
      <c r="B44" s="200" t="inlineStr">
        <is>
          <t>already correct</t>
        </is>
      </c>
      <c r="C44" s="208" t="inlineStr">
        <is>
          <t>Expanded + 2 weeks + 3% is the carbon-firm mode</t>
        </is>
      </c>
    </row>
    <row r="45">
      <c r="A45" s="200" t="inlineStr">
        <is>
          <t>Gap vs 7-firm mean</t>
        </is>
      </c>
      <c r="B45" s="200" t="n">
        <v>-683.5714285714275</v>
      </c>
      <c r="C45" s="208" t="inlineStr">
        <is>
          <t>close it by raising salary $16,800 -&gt; $18,000</t>
        </is>
      </c>
    </row>
    <row r="46">
      <c r="A46" s="200" t="inlineStr">
        <is>
          <t>Satisfaction leader</t>
        </is>
      </c>
      <c r="B46" s="250" t="inlineStr">
        <is>
          <t>BB LLC 77.7%</t>
        </is>
      </c>
      <c r="C46" s="208" t="inlineStr">
        <is>
          <t>$18,500 Expanded 2 wk 4% = $23,042</t>
        </is>
      </c>
    </row>
    <row r="47">
      <c r="A47" s="200" t="inlineStr">
        <is>
          <t>MILC again overpays the wrong mix</t>
        </is>
      </c>
      <c r="B47" s="200" t="inlineStr">
        <is>
          <t>72.7% at $23,293</t>
        </is>
      </c>
      <c r="C47" s="208" t="inlineStr">
        <is>
          <t>Full coverage + 1 week, highest production cost, 5th of 7 sat</t>
        </is>
      </c>
    </row>
    <row r="50">
      <c r="A50" s="199" t="inlineStr">
        <is>
          <t>BB LLC vs MILC — mix beats total (sales)</t>
        </is>
      </c>
      <c r="B50" s="199" t="inlineStr">
        <is>
          <t>BB LLC</t>
        </is>
      </c>
      <c r="C50" s="199" t="inlineStr">
        <is>
          <t>MILC Bikes</t>
        </is>
      </c>
      <c r="D50" s="199" t="inlineStr">
        <is>
          <t>Gap</t>
        </is>
      </c>
    </row>
    <row r="51">
      <c r="A51" s="200" t="inlineStr">
        <is>
          <t>Salary</t>
        </is>
      </c>
      <c r="B51" s="200" t="n">
        <v>22000</v>
      </c>
      <c r="C51" s="200" t="n">
        <v>22000</v>
      </c>
      <c r="D51" s="200" t="n">
        <v>0</v>
      </c>
    </row>
    <row r="52">
      <c r="A52" s="200" t="inlineStr">
        <is>
          <t>Health</t>
        </is>
      </c>
      <c r="B52" s="200" t="n">
        <v>3300</v>
      </c>
      <c r="C52" s="200" t="n">
        <v>4840</v>
      </c>
      <c r="D52" s="200" t="n">
        <v>-1540</v>
      </c>
    </row>
    <row r="53">
      <c r="A53" s="200" t="inlineStr">
        <is>
          <t>Vacation</t>
        </is>
      </c>
      <c r="B53" s="251" t="n">
        <v>1222</v>
      </c>
      <c r="C53" s="251" t="n">
        <v>570</v>
      </c>
      <c r="D53" s="251" t="n">
        <v>652</v>
      </c>
    </row>
    <row r="54">
      <c r="A54" s="200" t="inlineStr">
        <is>
          <t>Pension</t>
        </is>
      </c>
      <c r="B54" s="251" t="n">
        <v>880</v>
      </c>
      <c r="C54" s="251" t="n">
        <v>220</v>
      </c>
      <c r="D54" s="251" t="n">
        <v>660</v>
      </c>
    </row>
    <row r="55">
      <c r="A55" s="200" t="inlineStr">
        <is>
          <t>Total yearly cost</t>
        </is>
      </c>
      <c r="B55" s="251" t="n">
        <v>27402</v>
      </c>
      <c r="C55" s="251" t="n">
        <v>27630</v>
      </c>
      <c r="D55" s="251" t="n">
        <v>-228</v>
      </c>
    </row>
    <row r="56">
      <c r="A56" s="200" t="inlineStr">
        <is>
          <t>Satisfaction</t>
        </is>
      </c>
      <c r="B56" s="251" t="n">
        <v>0.784</v>
      </c>
      <c r="C56" s="251" t="n">
        <v>0.7</v>
      </c>
      <c r="D56" s="251" t="n">
        <v>0.08400000000000001</v>
      </c>
    </row>
    <row r="57">
      <c r="B57" s="252" t="n"/>
      <c r="C57" s="252" t="n"/>
      <c r="D57" s="252" t="n"/>
    </row>
    <row r="58">
      <c r="B58" s="161" t="n"/>
      <c r="C58" s="179" t="n"/>
      <c r="D58" s="253" t="n"/>
    </row>
    <row r="59">
      <c r="A59" s="199" t="inlineStr">
        <is>
          <t>Q4 SALES PACKAGES (OPEN — majority vote)</t>
        </is>
      </c>
      <c r="B59" s="199" t="inlineStr">
        <is>
          <t>Current Q3</t>
        </is>
      </c>
      <c r="C59" s="199" t="inlineStr">
        <is>
          <t>A. Reallocate + raise (recommended)</t>
        </is>
      </c>
      <c r="D59" s="199" t="inlineStr">
        <is>
          <t>B. Clone BB LLC</t>
        </is>
      </c>
      <c r="E59" s="199" t="inlineStr">
        <is>
          <t>C. Keep Full</t>
        </is>
      </c>
    </row>
    <row r="60">
      <c r="A60" s="200" t="inlineStr">
        <is>
          <t>Salary</t>
        </is>
      </c>
      <c r="B60" s="251" t="n">
        <v>19000</v>
      </c>
      <c r="C60" s="254" t="n">
        <v>21500</v>
      </c>
      <c r="D60" s="251" t="n">
        <v>22000</v>
      </c>
      <c r="E60" s="251" t="n">
        <v>21000</v>
      </c>
    </row>
    <row r="61">
      <c r="A61" s="200" t="inlineStr">
        <is>
          <t>Health tier</t>
        </is>
      </c>
      <c r="B61" s="200" t="inlineStr">
        <is>
          <t>Full coverage</t>
        </is>
      </c>
      <c r="C61" s="200" t="inlineStr">
        <is>
          <t>Expanded coverage</t>
        </is>
      </c>
      <c r="D61" s="200" t="inlineStr">
        <is>
          <t>Expanded coverage</t>
        </is>
      </c>
      <c r="E61" s="200" t="inlineStr">
        <is>
          <t>Full coverage</t>
        </is>
      </c>
    </row>
    <row r="62">
      <c r="A62" s="200" t="inlineStr">
        <is>
          <t>Health $</t>
        </is>
      </c>
      <c r="B62" s="251" t="n">
        <v>4180</v>
      </c>
      <c r="C62" s="251" t="n">
        <v>3225</v>
      </c>
      <c r="D62" s="251" t="n">
        <v>3300</v>
      </c>
      <c r="E62" s="251" t="n">
        <v>4620</v>
      </c>
    </row>
    <row r="63">
      <c r="A63" s="200" t="inlineStr">
        <is>
          <t>Vacation</t>
        </is>
      </c>
      <c r="B63" s="200" t="inlineStr">
        <is>
          <t>2 weeks</t>
        </is>
      </c>
      <c r="C63" s="200" t="inlineStr">
        <is>
          <t>2 weeks</t>
        </is>
      </c>
      <c r="D63" s="200" t="inlineStr">
        <is>
          <t>2 weeks</t>
        </is>
      </c>
      <c r="E63" s="200" t="inlineStr">
        <is>
          <t>2 weeks</t>
        </is>
      </c>
    </row>
    <row r="64">
      <c r="A64" s="200" t="inlineStr">
        <is>
          <t>Vacation $</t>
        </is>
      </c>
      <c r="B64" s="251" t="n">
        <v>1055</v>
      </c>
      <c r="C64" s="251" t="n">
        <v>1194</v>
      </c>
      <c r="D64" s="251" t="n">
        <v>1222</v>
      </c>
      <c r="E64" s="251" t="n">
        <v>1167</v>
      </c>
    </row>
    <row r="65">
      <c r="A65" s="200" t="inlineStr">
        <is>
          <t>Pension %</t>
        </is>
      </c>
      <c r="B65" s="242" t="n">
        <v>0.01</v>
      </c>
      <c r="C65" s="242" t="n">
        <v>0.03</v>
      </c>
      <c r="D65" s="242" t="n">
        <v>0.04</v>
      </c>
      <c r="E65" s="242" t="n">
        <v>0.03</v>
      </c>
    </row>
    <row r="66">
      <c r="A66" s="200" t="inlineStr">
        <is>
          <t>Pension $</t>
        </is>
      </c>
      <c r="B66" s="251" t="n">
        <v>190</v>
      </c>
      <c r="C66" s="251" t="n">
        <v>645</v>
      </c>
      <c r="D66" s="251" t="n">
        <v>880</v>
      </c>
      <c r="E66" s="251" t="n">
        <v>630</v>
      </c>
    </row>
    <row r="67">
      <c r="A67" s="200" t="inlineStr">
        <is>
          <t>Total yearly cost</t>
        </is>
      </c>
      <c r="B67" s="251" t="n">
        <v>24425</v>
      </c>
      <c r="C67" s="254" t="n">
        <v>26564</v>
      </c>
      <c r="D67" s="251" t="n">
        <v>27402</v>
      </c>
      <c r="E67" s="251" t="n">
        <v>27417</v>
      </c>
    </row>
    <row r="68">
      <c r="A68" s="200" t="inlineStr">
        <is>
          <t>vs 7-firm mean $25,211</t>
        </is>
      </c>
      <c r="B68" s="251" t="n">
        <v>-786</v>
      </c>
      <c r="C68" s="251" t="n">
        <v>1353</v>
      </c>
      <c r="D68" s="251" t="n">
        <v>2191</v>
      </c>
      <c r="E68" s="251" t="n">
        <v>2206</v>
      </c>
    </row>
    <row r="69">
      <c r="A69" s="200" t="inlineStr">
        <is>
          <t>vs all-firm avg $22,430</t>
        </is>
      </c>
      <c r="B69" s="251" t="n">
        <v>1995</v>
      </c>
      <c r="C69" s="251" t="n">
        <v>4134</v>
      </c>
      <c r="D69" s="251" t="n">
        <v>4972</v>
      </c>
      <c r="E69" s="251" t="n">
        <v>4987</v>
      </c>
    </row>
    <row r="72">
      <c r="A72" s="199" t="inlineStr">
        <is>
          <t>Q4 PRODUCTION PACKAGES (OPEN — majority vote)</t>
        </is>
      </c>
      <c r="B72" s="199" t="inlineStr">
        <is>
          <t>Current Q3</t>
        </is>
      </c>
      <c r="C72" s="199" t="inlineStr">
        <is>
          <t>A. Raise salary (recommended)</t>
        </is>
      </c>
      <c r="D72" s="199" t="inlineStr">
        <is>
          <t>B. Clone BB LLC</t>
        </is>
      </c>
    </row>
    <row r="73">
      <c r="A73" s="200" t="inlineStr">
        <is>
          <t>Salary</t>
        </is>
      </c>
      <c r="B73" s="251" t="n">
        <v>16800</v>
      </c>
      <c r="C73" s="254" t="n">
        <v>18000</v>
      </c>
      <c r="D73" s="251" t="n">
        <v>18500</v>
      </c>
    </row>
    <row r="74">
      <c r="A74" s="200" t="inlineStr">
        <is>
          <t>Health tier</t>
        </is>
      </c>
      <c r="B74" s="200" t="inlineStr">
        <is>
          <t>Expanded coverage</t>
        </is>
      </c>
      <c r="C74" s="200" t="inlineStr">
        <is>
          <t>Expanded coverage</t>
        </is>
      </c>
      <c r="D74" s="200" t="inlineStr">
        <is>
          <t>Expanded coverage</t>
        </is>
      </c>
    </row>
    <row r="75">
      <c r="A75" s="200" t="inlineStr">
        <is>
          <t>Health $</t>
        </is>
      </c>
      <c r="B75" s="251" t="n">
        <v>2520</v>
      </c>
      <c r="C75" s="251" t="n">
        <v>2700</v>
      </c>
      <c r="D75" s="251" t="n">
        <v>2775</v>
      </c>
    </row>
    <row r="76">
      <c r="A76" s="200" t="inlineStr">
        <is>
          <t>Vacation</t>
        </is>
      </c>
      <c r="B76" s="200" t="inlineStr">
        <is>
          <t>2 weeks</t>
        </is>
      </c>
      <c r="C76" s="200" t="inlineStr">
        <is>
          <t>2 weeks</t>
        </is>
      </c>
      <c r="D76" s="200" t="inlineStr">
        <is>
          <t>2 weeks</t>
        </is>
      </c>
    </row>
    <row r="77">
      <c r="A77" s="200" t="inlineStr">
        <is>
          <t>Vacation $</t>
        </is>
      </c>
      <c r="B77" s="251" t="n">
        <v>933</v>
      </c>
      <c r="C77" s="251" t="n">
        <v>1000</v>
      </c>
      <c r="D77" s="251" t="n">
        <v>1027</v>
      </c>
    </row>
    <row r="78">
      <c r="A78" s="200" t="inlineStr">
        <is>
          <t>Pension %</t>
        </is>
      </c>
      <c r="B78" s="242" t="n">
        <v>0.03</v>
      </c>
      <c r="C78" s="242" t="n">
        <v>0.03</v>
      </c>
      <c r="D78" s="242" t="n">
        <v>0.04</v>
      </c>
    </row>
    <row r="79">
      <c r="A79" s="200" t="inlineStr">
        <is>
          <t>Pension $</t>
        </is>
      </c>
      <c r="B79" s="251" t="n">
        <v>504</v>
      </c>
      <c r="C79" s="251" t="n">
        <v>540</v>
      </c>
      <c r="D79" s="251" t="n">
        <v>740</v>
      </c>
    </row>
    <row r="80">
      <c r="A80" s="200" t="inlineStr">
        <is>
          <t>Total yearly cost</t>
        </is>
      </c>
      <c r="B80" s="251" t="n">
        <v>20757</v>
      </c>
      <c r="C80" s="254" t="n">
        <v>22240</v>
      </c>
      <c r="D80" s="251" t="n">
        <v>23042</v>
      </c>
    </row>
    <row r="81">
      <c r="A81" s="200" t="inlineStr">
        <is>
          <t>vs 7-firm mean $21,441</t>
        </is>
      </c>
      <c r="B81" s="251" t="n">
        <v>-684</v>
      </c>
      <c r="C81" s="251" t="n">
        <v>799</v>
      </c>
      <c r="D81" s="251" t="n">
        <v>1601</v>
      </c>
    </row>
    <row r="84">
      <c r="A84" s="199" t="inlineStr">
        <is>
          <t>CASH + PRODUCTIVITY GUARDRAILS</t>
        </is>
      </c>
      <c r="B84" s="199" t="inlineStr">
        <is>
          <t>Value</t>
        </is>
      </c>
      <c r="C84" s="199" t="inlineStr">
        <is>
          <t>Note</t>
        </is>
      </c>
    </row>
    <row r="85">
      <c r="A85" s="200" t="inlineStr">
        <is>
          <t>Idle cash entering Q4</t>
        </is>
      </c>
      <c r="B85" s="200" t="n">
        <v>1010838</v>
      </c>
      <c r="C85" s="208" t="inlineStr">
        <is>
          <t>Asset Management 0.353 is idle cash, not wages</t>
        </is>
      </c>
    </row>
    <row r="86">
      <c r="A86" s="200" t="inlineStr">
        <is>
          <t>Sales Option A vs current, $/person/year</t>
        </is>
      </c>
      <c r="B86" s="200" t="n">
        <v>2139</v>
      </c>
      <c r="C86" s="208" t="inlineStr">
        <is>
          <t>about $535 per person per quarter</t>
        </is>
      </c>
    </row>
    <row r="87">
      <c r="A87" s="200" t="inlineStr">
        <is>
          <t>Production Option A vs current, $/person/year</t>
        </is>
      </c>
      <c r="B87" s="232" t="n">
        <v>1483</v>
      </c>
      <c r="C87" s="208" t="inlineStr">
        <is>
          <t>about $371 per person per quarter</t>
        </is>
      </c>
    </row>
    <row r="88">
      <c r="A88" s="200" t="inlineStr">
        <is>
          <t>Q4 productivity to budget</t>
        </is>
      </c>
      <c r="B88" s="255" t="n">
        <v>0.74</v>
      </c>
      <c r="C88" s="208" t="inlineStr">
        <is>
          <t>industry ceiling ~73-75%. Never plan 85% again.</t>
        </is>
      </c>
    </row>
    <row r="89">
      <c r="A89" s="200" t="inlineStr">
        <is>
          <t>Q3 actual productivity</t>
        </is>
      </c>
      <c r="B89" s="255" t="inlineStr">
        <is>
          <t>70% sales / 72% production</t>
        </is>
      </c>
      <c r="C89" s="208" t="inlineStr">
        <is>
          <t>BB LLC sat 78% still sits inside that ceiling</t>
        </is>
      </c>
    </row>
    <row r="90">
      <c r="B90" s="256" t="n"/>
    </row>
  </sheetData>
  <mergeCells count="1">
    <mergeCell ref="A2:J2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0" customWidth="1" style="146" min="1" max="1"/>
    <col width="22" customWidth="1" style="146" min="2" max="2"/>
    <col width="22" customWidth="1" style="146" min="3" max="3"/>
    <col width="62" customWidth="1" style="146" min="4" max="4"/>
    <col width="40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</cols>
  <sheetData>
    <row r="1">
      <c r="A1" s="169" t="inlineStr">
        <is>
          <t>Ad Judgment — World Market, Q3 actual</t>
        </is>
      </c>
    </row>
    <row r="2">
      <c r="A2" s="170" t="inlineStr">
        <is>
          <t>HikeBike 1 is essentially best-in-class (80 vs BB LLC's 81). The Swift Bike ad is 8th of 9 Speed ads and shows by far the highest off-target appeal in the industry.</t>
        </is>
      </c>
    </row>
    <row r="3"/>
    <row r="4">
      <c r="A4" s="166" t="inlineStr">
        <is>
          <t>Ad</t>
        </is>
      </c>
      <c r="B4" s="166" t="inlineStr">
        <is>
          <t>Company</t>
        </is>
      </c>
      <c r="C4" s="166" t="inlineStr">
        <is>
          <t>Brand advertised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Target segment</t>
        </is>
      </c>
      <c r="H4" s="166" t="inlineStr">
        <is>
          <t>Score in target</t>
        </is>
      </c>
      <c r="I4" s="166" t="inlineStr">
        <is>
          <t>Off-target leakage</t>
        </is>
      </c>
    </row>
    <row r="5">
      <c r="A5" t="inlineStr">
        <is>
          <t>Excluspeedity</t>
        </is>
      </c>
      <c r="B5" t="inlineStr">
        <is>
          <t>Bike Bros</t>
        </is>
      </c>
      <c r="C5" t="inlineStr">
        <is>
          <t>MACH I.I</t>
        </is>
      </c>
      <c r="D5" t="n">
        <v>0</v>
      </c>
      <c r="E5" t="n">
        <v>12</v>
      </c>
      <c r="F5" t="n">
        <v>72</v>
      </c>
      <c r="G5" t="inlineStr">
        <is>
          <t>Speed</t>
        </is>
      </c>
      <c r="H5" t="n">
        <v>72</v>
      </c>
      <c r="I5" t="n">
        <v>12</v>
      </c>
    </row>
    <row r="6">
      <c r="A6" t="inlineStr">
        <is>
          <t>TerraTech</t>
        </is>
      </c>
      <c r="B6" t="inlineStr">
        <is>
          <t>Bike Bros</t>
        </is>
      </c>
      <c r="C6" t="inlineStr">
        <is>
          <t>TERRAMAX</t>
        </is>
      </c>
      <c r="D6" t="n">
        <v>23</v>
      </c>
      <c r="E6" t="n">
        <v>78</v>
      </c>
      <c r="F6" t="n">
        <v>30</v>
      </c>
      <c r="G6" t="inlineStr">
        <is>
          <t>Mountain</t>
        </is>
      </c>
      <c r="H6" t="n">
        <v>78</v>
      </c>
      <c r="I6" t="n">
        <v>53</v>
      </c>
    </row>
    <row r="7">
      <c r="A7" t="inlineStr">
        <is>
          <t>Easy Rider</t>
        </is>
      </c>
      <c r="B7" t="inlineStr">
        <is>
          <t>Bike Bros</t>
        </is>
      </c>
      <c r="C7" t="inlineStr">
        <is>
          <t>MountainCruise1</t>
        </is>
      </c>
      <c r="D7" t="n">
        <v>75</v>
      </c>
      <c r="E7" t="n">
        <v>25</v>
      </c>
      <c r="F7" t="n">
        <v>17</v>
      </c>
      <c r="G7" t="inlineStr">
        <is>
          <t>Recreation</t>
        </is>
      </c>
      <c r="H7" t="n">
        <v>75</v>
      </c>
      <c r="I7" t="n">
        <v>42</v>
      </c>
    </row>
    <row r="8">
      <c r="A8" t="inlineStr">
        <is>
          <t>Mountainability</t>
        </is>
      </c>
      <c r="B8" t="inlineStr">
        <is>
          <t>Bike Bros</t>
        </is>
      </c>
      <c r="C8" t="inlineStr">
        <is>
          <t>TERRAMAX</t>
        </is>
      </c>
      <c r="D8" t="n">
        <v>35</v>
      </c>
      <c r="E8" t="n">
        <v>77</v>
      </c>
      <c r="F8" t="n">
        <v>32</v>
      </c>
      <c r="G8" t="inlineStr">
        <is>
          <t>Mountain</t>
        </is>
      </c>
      <c r="H8" t="n">
        <v>77</v>
      </c>
      <c r="I8" t="n">
        <v>67</v>
      </c>
    </row>
    <row r="9">
      <c r="A9" t="inlineStr">
        <is>
          <t>AndStill</t>
        </is>
      </c>
      <c r="B9" t="inlineStr">
        <is>
          <t>Bike Bros</t>
        </is>
      </c>
      <c r="C9" t="inlineStr">
        <is>
          <t>MACH I.I</t>
        </is>
      </c>
      <c r="D9" t="n">
        <v>22</v>
      </c>
      <c r="E9" t="n">
        <v>24</v>
      </c>
      <c r="F9" t="n">
        <v>78</v>
      </c>
      <c r="G9" t="inlineStr">
        <is>
          <t>Speed</t>
        </is>
      </c>
      <c r="H9" t="n">
        <v>78</v>
      </c>
      <c r="I9" t="n">
        <v>46</v>
      </c>
    </row>
    <row r="10">
      <c r="A10" t="inlineStr">
        <is>
          <t>Speed of Lite 1</t>
        </is>
      </c>
      <c r="B10" t="inlineStr">
        <is>
          <t>LiteCycle</t>
        </is>
      </c>
      <c r="C10" t="inlineStr">
        <is>
          <t>LiteSpeed Pro+</t>
        </is>
      </c>
      <c r="D10" t="n">
        <v>10</v>
      </c>
      <c r="E10" t="n">
        <v>22</v>
      </c>
      <c r="F10" t="n">
        <v>77</v>
      </c>
      <c r="G10" t="inlineStr">
        <is>
          <t>Speed</t>
        </is>
      </c>
      <c r="H10" t="n">
        <v>77</v>
      </c>
      <c r="I10" t="n">
        <v>32</v>
      </c>
    </row>
    <row r="11">
      <c r="A11" t="inlineStr">
        <is>
          <t>Speed of Lite 2</t>
        </is>
      </c>
      <c r="B11" t="inlineStr">
        <is>
          <t>LiteCycle</t>
        </is>
      </c>
      <c r="C11" t="inlineStr">
        <is>
          <t>LiteSpeed+</t>
        </is>
      </c>
      <c r="D11" t="n">
        <v>16</v>
      </c>
      <c r="E11" t="n">
        <v>13</v>
      </c>
      <c r="F11" t="n">
        <v>73</v>
      </c>
      <c r="G11" t="inlineStr">
        <is>
          <t>Speed</t>
        </is>
      </c>
      <c r="H11" t="n">
        <v>73</v>
      </c>
      <c r="I11" t="n">
        <v>29</v>
      </c>
    </row>
    <row r="12">
      <c r="A12" t="inlineStr">
        <is>
          <t>Trail Blazing 1</t>
        </is>
      </c>
      <c r="B12" t="inlineStr">
        <is>
          <t>LiteCycle</t>
        </is>
      </c>
      <c r="C12" t="inlineStr">
        <is>
          <t>LiteTrail Pro</t>
        </is>
      </c>
      <c r="D12" t="n">
        <v>18</v>
      </c>
      <c r="E12" t="n">
        <v>79</v>
      </c>
      <c r="F12" t="n">
        <v>34</v>
      </c>
      <c r="G12" t="inlineStr">
        <is>
          <t>Mountain</t>
        </is>
      </c>
      <c r="H12" t="n">
        <v>79</v>
      </c>
      <c r="I12" t="n">
        <v>52</v>
      </c>
    </row>
    <row r="13">
      <c r="A13" s="171" t="inlineStr">
        <is>
          <t>HikeBike 1</t>
        </is>
      </c>
      <c r="B13" s="171" t="inlineStr">
        <is>
          <t>WeBike</t>
        </is>
      </c>
      <c r="C13" s="171" t="inlineStr">
        <is>
          <t>Hike Bike</t>
        </is>
      </c>
      <c r="D13" s="171" t="n">
        <v>33</v>
      </c>
      <c r="E13" s="171" t="n">
        <v>80</v>
      </c>
      <c r="F13" s="171" t="n">
        <v>26</v>
      </c>
      <c r="G13" s="171" t="inlineStr">
        <is>
          <t>Mountain</t>
        </is>
      </c>
      <c r="H13" s="171" t="n">
        <v>80</v>
      </c>
      <c r="I13" s="171" t="n">
        <v>59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inlineStr">
        <is>
          <t>Swift Bike</t>
        </is>
      </c>
      <c r="D14" s="171" t="n">
        <v>52</v>
      </c>
      <c r="E14" s="171" t="n">
        <v>36</v>
      </c>
      <c r="F14" s="171" t="n">
        <v>70</v>
      </c>
      <c r="G14" s="171" t="inlineStr">
        <is>
          <t>Speed</t>
        </is>
      </c>
      <c r="H14" s="171" t="n">
        <v>70</v>
      </c>
      <c r="I14" s="171" t="n">
        <v>88</v>
      </c>
    </row>
    <row r="15">
      <c r="A15" t="inlineStr">
        <is>
          <t>BB Big Momma</t>
        </is>
      </c>
      <c r="B15" t="inlineStr">
        <is>
          <t>BB LLC</t>
        </is>
      </c>
      <c r="C15" t="inlineStr">
        <is>
          <t>Blu Ruged Ballz</t>
        </is>
      </c>
      <c r="D15" t="n">
        <v>28</v>
      </c>
      <c r="E15" t="n">
        <v>81</v>
      </c>
      <c r="F15" t="n">
        <v>27</v>
      </c>
      <c r="G15" t="inlineStr">
        <is>
          <t>Mountain</t>
        </is>
      </c>
      <c r="H15" t="n">
        <v>81</v>
      </c>
      <c r="I15" t="n">
        <v>55</v>
      </c>
    </row>
    <row r="16">
      <c r="A16" t="inlineStr">
        <is>
          <t>Unleash lil pap</t>
        </is>
      </c>
      <c r="B16" t="inlineStr">
        <is>
          <t>BB LLC</t>
        </is>
      </c>
      <c r="C16" t="inlineStr">
        <is>
          <t>Blu Tube Ballz</t>
        </is>
      </c>
      <c r="D16" t="n">
        <v>15</v>
      </c>
      <c r="E16" t="n">
        <v>16</v>
      </c>
      <c r="F16" t="n">
        <v>76</v>
      </c>
      <c r="G16" t="inlineStr">
        <is>
          <t>Speed</t>
        </is>
      </c>
      <c r="H16" t="n">
        <v>76</v>
      </c>
      <c r="I16" t="n">
        <v>31</v>
      </c>
    </row>
    <row r="17">
      <c r="A17" t="inlineStr">
        <is>
          <t>Spoke'd Easy</t>
        </is>
      </c>
      <c r="B17" t="inlineStr">
        <is>
          <t>Spoke'd Up</t>
        </is>
      </c>
      <c r="C17" t="inlineStr">
        <is>
          <t>Spoke'd Easy</t>
        </is>
      </c>
      <c r="D17" t="n">
        <v>59</v>
      </c>
      <c r="E17" t="n">
        <v>27</v>
      </c>
      <c r="F17" t="n">
        <v>21</v>
      </c>
      <c r="G17" t="inlineStr">
        <is>
          <t>Recreation</t>
        </is>
      </c>
      <c r="H17" t="n">
        <v>59</v>
      </c>
      <c r="I17" t="n">
        <v>48</v>
      </c>
    </row>
    <row r="18">
      <c r="A18" t="inlineStr">
        <is>
          <t>Spoke'd Speed</t>
        </is>
      </c>
      <c r="B18" t="inlineStr">
        <is>
          <t>Spoke'd Up</t>
        </is>
      </c>
      <c r="C18" t="inlineStr">
        <is>
          <t>Spoke'd Speed</t>
        </is>
      </c>
      <c r="D18" t="n">
        <v>4</v>
      </c>
      <c r="E18" t="n">
        <v>18</v>
      </c>
      <c r="F18" t="n">
        <v>57</v>
      </c>
      <c r="G18" t="inlineStr">
        <is>
          <t>Speed</t>
        </is>
      </c>
      <c r="H18" t="n">
        <v>57</v>
      </c>
      <c r="I18" t="n">
        <v>22</v>
      </c>
    </row>
    <row r="19">
      <c r="A19" t="inlineStr">
        <is>
          <t>The Armstrong 1</t>
        </is>
      </c>
      <c r="B19" t="inlineStr">
        <is>
          <t>SpaceBikes</t>
        </is>
      </c>
      <c r="C19" t="inlineStr">
        <is>
          <t>The Armstrong</t>
        </is>
      </c>
      <c r="D19" t="n">
        <v>2</v>
      </c>
      <c r="E19" t="n">
        <v>21</v>
      </c>
      <c r="F19" t="n">
        <v>77</v>
      </c>
      <c r="G19" t="inlineStr">
        <is>
          <t>Speed</t>
        </is>
      </c>
      <c r="H19" t="n">
        <v>77</v>
      </c>
      <c r="I19" t="n">
        <v>23</v>
      </c>
    </row>
    <row r="20">
      <c r="A20" t="inlineStr">
        <is>
          <t>Mars Rover 1</t>
        </is>
      </c>
      <c r="B20" t="inlineStr">
        <is>
          <t>SpaceBikes</t>
        </is>
      </c>
      <c r="C20" t="inlineStr">
        <is>
          <t>Mars Rover</t>
        </is>
      </c>
      <c r="D20" t="n">
        <v>79</v>
      </c>
      <c r="E20" t="n">
        <v>25</v>
      </c>
      <c r="F20" t="n">
        <v>24</v>
      </c>
      <c r="G20" t="inlineStr">
        <is>
          <t>Recreation</t>
        </is>
      </c>
      <c r="H20" t="n">
        <v>79</v>
      </c>
      <c r="I20" t="n">
        <v>49</v>
      </c>
    </row>
    <row r="21">
      <c r="A21" t="inlineStr">
        <is>
          <t>Skim MILC MKII</t>
        </is>
      </c>
      <c r="B21" t="inlineStr">
        <is>
          <t>MILC Bikes</t>
        </is>
      </c>
      <c r="C21" t="inlineStr">
        <is>
          <t>Skim MILC MKII</t>
        </is>
      </c>
      <c r="D21" t="n">
        <v>10</v>
      </c>
      <c r="E21" t="n">
        <v>19</v>
      </c>
      <c r="F21" t="n">
        <v>75</v>
      </c>
      <c r="G21" t="inlineStr">
        <is>
          <t>Speed</t>
        </is>
      </c>
      <c r="H21" t="n">
        <v>75</v>
      </c>
      <c r="I21" t="n">
        <v>29</v>
      </c>
    </row>
    <row r="22">
      <c r="A22" t="inlineStr">
        <is>
          <t>Whole MILC MKII</t>
        </is>
      </c>
      <c r="B22" t="inlineStr">
        <is>
          <t>MILC Bikes</t>
        </is>
      </c>
      <c r="C22" t="inlineStr">
        <is>
          <t>Whole MILC MKII</t>
        </is>
      </c>
      <c r="D22" t="n">
        <v>77</v>
      </c>
      <c r="E22" t="n">
        <v>47</v>
      </c>
      <c r="F22" t="n">
        <v>41</v>
      </c>
      <c r="G22" t="inlineStr">
        <is>
          <t>Recreation</t>
        </is>
      </c>
      <c r="H22" t="n">
        <v>77</v>
      </c>
      <c r="I22" t="n">
        <v>88</v>
      </c>
    </row>
    <row r="23"/>
    <row r="24"/>
    <row r="25">
      <c r="A25" s="166" t="inlineStr">
        <is>
          <t>SPEED AD LADDER</t>
        </is>
      </c>
      <c r="B25" s="166" t="inlineStr">
        <is>
          <t>Speed score</t>
        </is>
      </c>
      <c r="C25" s="166" t="inlineStr">
        <is>
          <t>Off-target leakage</t>
        </is>
      </c>
      <c r="D25" s="166" t="inlineStr">
        <is>
          <t>Note</t>
        </is>
      </c>
    </row>
    <row r="26">
      <c r="A26" t="inlineStr">
        <is>
          <t>AndStill (Bike Bros)</t>
        </is>
      </c>
      <c r="B26" t="n">
        <v>78</v>
      </c>
      <c r="C26" t="n">
        <v>46</v>
      </c>
      <c r="D26" s="170" t="inlineStr">
        <is>
          <t>BEST Speed ad in the industry</t>
        </is>
      </c>
    </row>
    <row r="27">
      <c r="A27" t="inlineStr">
        <is>
          <t>Speed of Lite 1 (LiteCycle)</t>
        </is>
      </c>
      <c r="B27" t="n">
        <v>77</v>
      </c>
      <c r="C27" t="n">
        <v>32</v>
      </c>
      <c r="D27" s="170" t="inlineStr"/>
    </row>
    <row r="28">
      <c r="A28" t="inlineStr">
        <is>
          <t>The Armstrong 1 (SpaceBikes)</t>
        </is>
      </c>
      <c r="B28" t="n">
        <v>77</v>
      </c>
      <c r="C28" t="n">
        <v>23</v>
      </c>
      <c r="D28" s="170" t="inlineStr"/>
    </row>
    <row r="29">
      <c r="A29" t="inlineStr">
        <is>
          <t>Unleash lil pap (BB LLC)</t>
        </is>
      </c>
      <c r="B29" t="n">
        <v>76</v>
      </c>
      <c r="C29" t="n">
        <v>31</v>
      </c>
      <c r="D29" s="170" t="inlineStr"/>
    </row>
    <row r="30">
      <c r="A30" t="inlineStr">
        <is>
          <t>Skim MILC MKII (MILC Bikes)</t>
        </is>
      </c>
      <c r="B30" t="n">
        <v>75</v>
      </c>
      <c r="C30" t="n">
        <v>29</v>
      </c>
      <c r="D30" s="170" t="inlineStr"/>
    </row>
    <row r="31">
      <c r="A31" t="inlineStr">
        <is>
          <t>Speed of Lite 2 (LiteCycle)</t>
        </is>
      </c>
      <c r="B31" t="n">
        <v>73</v>
      </c>
      <c r="C31" t="n">
        <v>29</v>
      </c>
      <c r="D31" s="170" t="inlineStr"/>
    </row>
    <row r="32">
      <c r="A32" t="inlineStr">
        <is>
          <t>Excluspeedity (Bike Bros)</t>
        </is>
      </c>
      <c r="B32" t="n">
        <v>72</v>
      </c>
      <c r="C32" t="n">
        <v>12</v>
      </c>
      <c r="D32" s="170" t="inlineStr"/>
    </row>
    <row r="33">
      <c r="A33" s="171" t="inlineStr">
        <is>
          <t>Swift Bike (WeBike)</t>
        </is>
      </c>
      <c r="B33" s="188" t="n">
        <v>70</v>
      </c>
      <c r="C33" s="188" t="n">
        <v>88</v>
      </c>
      <c r="D33" s="194" t="inlineStr">
        <is>
          <t>OURS - 8th of 9</t>
        </is>
      </c>
    </row>
    <row r="34">
      <c r="A34" t="inlineStr">
        <is>
          <t>Spoke'd Speed (Spoke'd Up)</t>
        </is>
      </c>
      <c r="B34" t="n">
        <v>57</v>
      </c>
      <c r="C34" t="n">
        <v>22</v>
      </c>
      <c r="D34" s="170" t="inlineStr">
        <is>
          <t>worst; drags Spoke'd Up to last on Marketing Effectiveness</t>
        </is>
      </c>
    </row>
    <row r="35"/>
    <row r="36"/>
    <row r="37">
      <c r="A37" s="166" t="inlineStr">
        <is>
          <t>MOUNTAIN AD LADDER</t>
        </is>
      </c>
      <c r="B37" s="166" t="inlineStr">
        <is>
          <t>Mountain score</t>
        </is>
      </c>
      <c r="C37" s="166" t="inlineStr">
        <is>
          <t>Off-target leakage</t>
        </is>
      </c>
      <c r="D37" s="166" t="inlineStr">
        <is>
          <t>Note</t>
        </is>
      </c>
    </row>
    <row r="38">
      <c r="A38" t="inlineStr">
        <is>
          <t>BB Big Momma (BB LLC)</t>
        </is>
      </c>
      <c r="B38" t="n">
        <v>81</v>
      </c>
      <c r="C38" t="n">
        <v>55</v>
      </c>
      <c r="D38" s="170" t="inlineStr">
        <is>
          <t>BEST</t>
        </is>
      </c>
    </row>
    <row r="39">
      <c r="A39" s="171" t="inlineStr">
        <is>
          <t>HikeBike 1 (WeBike)</t>
        </is>
      </c>
      <c r="B39" s="172" t="n">
        <v>80</v>
      </c>
      <c r="C39" s="171" t="n">
        <v>59</v>
      </c>
      <c r="D39" s="194" t="inlineStr">
        <is>
          <t>OURS - 1 point off best</t>
        </is>
      </c>
    </row>
    <row r="40">
      <c r="A40" t="inlineStr">
        <is>
          <t>Trail Blazing 1 (LiteCycle)</t>
        </is>
      </c>
      <c r="B40" t="n">
        <v>79</v>
      </c>
      <c r="C40" t="n">
        <v>52</v>
      </c>
      <c r="D40" s="170" t="inlineStr"/>
    </row>
    <row r="41">
      <c r="A41" t="inlineStr">
        <is>
          <t>TerraTech (Bike Bros)</t>
        </is>
      </c>
      <c r="B41" t="n">
        <v>78</v>
      </c>
      <c r="C41" t="n">
        <v>53</v>
      </c>
      <c r="D41" s="170" t="inlineStr"/>
    </row>
    <row r="42">
      <c r="A42" t="inlineStr">
        <is>
          <t>Mountainability (Bike Bros)</t>
        </is>
      </c>
      <c r="B42" t="n">
        <v>77</v>
      </c>
      <c r="C42" t="n">
        <v>67</v>
      </c>
      <c r="D42" s="170" t="inlineStr"/>
    </row>
    <row r="43"/>
    <row r="44"/>
    <row r="45">
      <c r="A45" s="166" t="inlineStr">
        <is>
          <t>MARKETING EFFECTIVENESS — formula verified against 3 reported values</t>
        </is>
      </c>
      <c r="B45" s="166" t="inlineStr">
        <is>
          <t>Avg brand</t>
        </is>
      </c>
      <c r="C45" s="166" t="inlineStr">
        <is>
          <t>Avg ad</t>
        </is>
      </c>
      <c r="D45" s="166" t="inlineStr">
        <is>
          <t>ME</t>
        </is>
      </c>
      <c r="E45" s="166" t="inlineStr">
        <is>
          <t>Reported</t>
        </is>
      </c>
    </row>
    <row r="46">
      <c r="A46" t="inlineStr">
        <is>
          <t>BB LLC</t>
        </is>
      </c>
      <c r="B46" t="n">
        <v>74.5</v>
      </c>
      <c r="C46" t="n">
        <v>78.5</v>
      </c>
      <c r="D46" s="195" t="n">
        <v>0.765</v>
      </c>
      <c r="E46" s="170" t="n">
        <v>0.765</v>
      </c>
    </row>
    <row r="47">
      <c r="A47" t="inlineStr">
        <is>
          <t>SpaceBikes</t>
        </is>
      </c>
      <c r="B47" t="n">
        <v>74.5</v>
      </c>
      <c r="C47" t="n">
        <v>78</v>
      </c>
      <c r="D47" s="195" t="n">
        <v>0.7625</v>
      </c>
      <c r="E47" s="170" t="inlineStr"/>
    </row>
    <row r="48">
      <c r="A48" t="inlineStr">
        <is>
          <t>MILC Bikes</t>
        </is>
      </c>
      <c r="B48" t="n">
        <v>75</v>
      </c>
      <c r="C48" t="n">
        <v>76</v>
      </c>
      <c r="D48" s="195" t="n">
        <v>0.755</v>
      </c>
      <c r="E48" s="170" t="inlineStr"/>
    </row>
    <row r="49">
      <c r="A49" s="171" t="inlineStr">
        <is>
          <t>WeBike</t>
        </is>
      </c>
      <c r="B49" s="171" t="n">
        <v>72.5</v>
      </c>
      <c r="C49" s="171" t="n">
        <v>75</v>
      </c>
      <c r="D49" s="196" t="n">
        <v>0.7375</v>
      </c>
      <c r="E49" s="194" t="n">
        <v>0.738</v>
      </c>
    </row>
    <row r="50">
      <c r="A50" t="inlineStr">
        <is>
          <t>Spoke'd Up</t>
        </is>
      </c>
      <c r="B50" t="n">
        <v>74</v>
      </c>
      <c r="C50" t="n">
        <v>58</v>
      </c>
      <c r="D50" s="195" t="n">
        <v>0.6599999999999999</v>
      </c>
      <c r="E50" s="170" t="n">
        <v>0.66</v>
      </c>
    </row>
    <row r="51">
      <c r="A51" t="inlineStr">
        <is>
          <t>Result</t>
        </is>
      </c>
      <c r="E51" s="181" t="inlineStr">
        <is>
          <t>Industry min 0.660 (Spoke'd Up) and max 0.765 (BB LLC) both reproduce exactly, as does our 0.738. Formula confirmed.</t>
        </is>
      </c>
    </row>
    <row r="52"/>
    <row r="53"/>
    <row r="54">
      <c r="A54" s="166" t="inlineStr">
        <is>
          <t>FIXING SWIFT BIKE — the Marketing Effectiveness payoff</t>
        </is>
      </c>
      <c r="B54" s="166" t="inlineStr">
        <is>
          <t>Brand judgment</t>
        </is>
      </c>
      <c r="C54" s="166" t="inlineStr">
        <is>
          <t>Ad judgment</t>
        </is>
      </c>
      <c r="D54" s="166" t="inlineStr">
        <is>
          <t>ME</t>
        </is>
      </c>
      <c r="E54" s="166" t="inlineStr">
        <is>
          <t>vs industry max 0.765</t>
        </is>
      </c>
    </row>
    <row r="55">
      <c r="A55" t="inlineStr">
        <is>
          <t>Q3 actual</t>
        </is>
      </c>
      <c r="B55" t="n">
        <v>72</v>
      </c>
      <c r="C55" t="n">
        <v>70</v>
      </c>
      <c r="D55" s="197" t="n">
        <v>0.7375</v>
      </c>
      <c r="E55" s="170" t="inlineStr">
        <is>
          <t>below average (0.743)</t>
        </is>
      </c>
    </row>
    <row r="56">
      <c r="A56" t="inlineStr">
        <is>
          <t>Fix ad only</t>
        </is>
      </c>
      <c r="B56" t="n">
        <v>72</v>
      </c>
      <c r="C56" t="n">
        <v>77</v>
      </c>
      <c r="D56" s="195" t="n">
        <v>0.755</v>
      </c>
      <c r="E56" s="170" t="inlineStr">
        <is>
          <t>3rd best</t>
        </is>
      </c>
    </row>
    <row r="57">
      <c r="A57" t="inlineStr">
        <is>
          <t>Fix brand only (14-speed + decals)</t>
        </is>
      </c>
      <c r="B57" t="n">
        <v>77</v>
      </c>
      <c r="C57" t="n">
        <v>70</v>
      </c>
      <c r="D57" s="195" t="n">
        <v>0.75</v>
      </c>
      <c r="E57" s="170" t="inlineStr">
        <is>
          <t>4th best</t>
        </is>
      </c>
    </row>
    <row r="58">
      <c r="A58" t="inlineStr">
        <is>
          <t>FIX BOTH</t>
        </is>
      </c>
      <c r="B58" t="n">
        <v>77</v>
      </c>
      <c r="C58" t="n">
        <v>77</v>
      </c>
      <c r="D58" s="198" t="n">
        <v>0.7675</v>
      </c>
      <c r="E58" s="181" t="inlineStr">
        <is>
          <t>NEW INDUSTRY BEST</t>
        </is>
      </c>
    </row>
    <row r="59"/>
    <row r="60"/>
    <row r="61">
      <c r="A61" s="166" t="inlineStr">
        <is>
          <t>DIAGNOSIS — the Swift Bike ad is unfocused</t>
        </is>
      </c>
      <c r="B61" s="166" t="inlineStr">
        <is>
          <t>Value</t>
        </is>
      </c>
      <c r="C61" s="166" t="inlineStr">
        <is>
          <t>Note</t>
        </is>
      </c>
    </row>
    <row r="62">
      <c r="A62" t="inlineStr">
        <is>
          <t>Our Swift Bike ad: Recreation score</t>
        </is>
      </c>
      <c r="B62" t="n">
        <v>52</v>
      </c>
      <c r="C62" s="170" t="inlineStr">
        <is>
          <t>highest Rec score of ANY Speed ad</t>
        </is>
      </c>
    </row>
    <row r="63">
      <c r="A63" t="inlineStr">
        <is>
          <t>Our Swift Bike ad: Mountain score</t>
        </is>
      </c>
      <c r="B63" t="n">
        <v>36</v>
      </c>
      <c r="C63" s="170" t="inlineStr">
        <is>
          <t>highest Mtn score of ANY Speed ad</t>
        </is>
      </c>
    </row>
    <row r="64">
      <c r="A64" t="inlineStr">
        <is>
          <t>Total off-target leakage</t>
        </is>
      </c>
      <c r="B64" s="167" t="n">
        <v>88</v>
      </c>
      <c r="C64" s="170" t="inlineStr">
        <is>
          <t>next highest is AndStill at 46; The Armstrong 1 is just 23</t>
        </is>
      </c>
    </row>
    <row r="65">
      <c r="A65" t="inlineStr">
        <is>
          <t>Leading Speed ads for comparison</t>
        </is>
      </c>
      <c r="B65" t="inlineStr">
        <is>
          <t>Rec 2-22, Mtn 13-24</t>
        </is>
      </c>
      <c r="C65" s="170" t="inlineStr">
        <is>
          <t>The Armstrong 1 scores Rec 2 - almost zero</t>
        </is>
      </c>
    </row>
    <row r="66">
      <c r="A66" t="inlineStr">
        <is>
          <t>UPDATED with copy (Q3_Competitor_Ads)</t>
        </is>
      </c>
      <c r="C66" s="174" t="inlineStr">
        <is>
          <t>FALSE: Swift Bike did NOT clone Hike Bike's Mountain messaging. Actual ranks: road race -&gt; carbon light -&gt; great price -&gt; brand -&gt; lights -&gt; reflectors. Zero Mountain claims. Rec-safety + price ad with a Speed picture. See Q3_Competitor_Ads.</t>
        </is>
      </c>
    </row>
    <row r="67">
      <c r="A67" t="inlineStr">
        <is>
          <t>Q4 draft (NOT locked)</t>
        </is>
      </c>
      <c r="C67" s="174" t="inlineStr">
        <is>
          <t>Unleash snippet + AndStill extras. 1 brand (not a snippet)  2 wind-cheater  3 racing tires  4 elite look  5 3D printing  6 local sales  7 road-race picture. DROP lights, reflectors, great price. Preview in the designer. See Q3_Competitor_Ads.</t>
        </is>
      </c>
    </row>
    <row r="68"/>
    <row r="69"/>
    <row r="70">
      <c r="A70" s="166" t="inlineStr">
        <is>
          <t>AD PORTFOLIO PATTERNS</t>
        </is>
      </c>
      <c r="B70" s="166" t="inlineStr">
        <is>
          <t>Ads</t>
        </is>
      </c>
      <c r="C70" s="166" t="inlineStr">
        <is>
          <t>Brands</t>
        </is>
      </c>
      <c r="D70" s="166" t="inlineStr">
        <is>
          <t>Note</t>
        </is>
      </c>
    </row>
    <row r="71">
      <c r="A71" t="inlineStr">
        <is>
          <t>Bike Bros</t>
        </is>
      </c>
      <c r="B71" t="n">
        <v>5</v>
      </c>
      <c r="C71" t="n">
        <v>5</v>
      </c>
      <c r="D71" s="170" t="inlineStr">
        <is>
          <t>TWO ads each for MACH I.I and TERRAMAX - A/B testing. Still finished LAST.</t>
        </is>
      </c>
    </row>
    <row r="72">
      <c r="A72" t="inlineStr">
        <is>
          <t>LiteCycle</t>
        </is>
      </c>
      <c r="B72" t="n">
        <v>3</v>
      </c>
      <c r="C72" t="n">
        <v>3</v>
      </c>
      <c r="D72" s="170" t="inlineStr">
        <is>
          <t>one ad per brand</t>
        </is>
      </c>
    </row>
    <row r="73">
      <c r="A73" t="inlineStr">
        <is>
          <t>BB LLC</t>
        </is>
      </c>
      <c r="B73" t="n">
        <v>2</v>
      </c>
      <c r="C73" t="n">
        <v>4</v>
      </c>
      <c r="D73" s="170" t="inlineStr">
        <is>
          <t>advertises only Blu Ruged Ballz + Blu Tube Ballz; Blu Aero and Blu Tail run with NO ad</t>
        </is>
      </c>
    </row>
    <row r="74">
      <c r="A74" t="inlineStr">
        <is>
          <t>WeBike</t>
        </is>
      </c>
      <c r="B74" t="n">
        <v>2</v>
      </c>
      <c r="C74" t="n">
        <v>2</v>
      </c>
      <c r="D74" s="170" t="inlineStr">
        <is>
          <t>one per brand</t>
        </is>
      </c>
    </row>
    <row r="75">
      <c r="A75" t="inlineStr">
        <is>
          <t>SpaceBikes / MILC / Spoke'd Up</t>
        </is>
      </c>
      <c r="B75" t="n">
        <v>2</v>
      </c>
      <c r="C75" t="n">
        <v>2</v>
      </c>
      <c r="D75" s="170" t="inlineStr">
        <is>
          <t>one per brand</t>
        </is>
      </c>
    </row>
    <row r="76">
      <c r="A76" t="inlineStr">
        <is>
          <t>Read</t>
        </is>
      </c>
      <c r="D76" s="174" t="inlineStr">
        <is>
          <t>The LEADER runs the FEWEST ads relative to its brand count - 2 ads for 4 brands - and both are best or near-best in class. Bike Bros runs the most ads and is last. Ad QUALITY beats ad COUNT. A second Swift Bike ad is not the answer; a better one is.</t>
        </is>
      </c>
    </row>
    <row r="77">
      <c r="A77" t="inlineStr">
        <is>
          <t>Portfolio idea worth noting</t>
        </is>
      </c>
      <c r="D77" s="170" t="inlineStr">
        <is>
          <t>BB LLC pairs an ADVERTISED brand with an UNADVERTISED second brand in each segment (Blu Ruged + Blu Tail in Mountain, Blu Tube + Blu Aero in Speed). The ad builds the segment and the second brand catches overflow at a higher price. Not a Q4 move for us - capacity binds - but note it for later.</t>
        </is>
      </c>
    </row>
    <row r="78"/>
    <row r="79"/>
    <row r="80">
      <c r="A80" s="166" t="inlineStr">
        <is>
          <t>Q4 ADVERTISING ACTIONS</t>
        </is>
      </c>
      <c r="B80" s="166" t="inlineStr">
        <is>
          <t>Decision</t>
        </is>
      </c>
    </row>
    <row r="81">
      <c r="A81" t="inlineStr">
        <is>
          <t>HikeBike 1</t>
        </is>
      </c>
      <c r="B81" s="174" t="inlineStr">
        <is>
          <t>KEEP. 80 vs BB LLC's 81 - one point off the industry best. Redesign cost is not justified; put the money into media inserts and capacity instead.</t>
        </is>
      </c>
    </row>
    <row r="82">
      <c r="A82" t="inlineStr">
        <is>
          <t>Swift Bike ad</t>
        </is>
      </c>
      <c r="B82" s="174" t="inlineStr">
        <is>
          <t>REDESIGN: Unleash snippet + AndStill extras. 1 brand  2 wind-cheater  3 racing tires  4 elite look  5 3D printing  6 local sales  7 road-race picture. DROP lights, reflectors, great price. Not locked — preview in the designer. Copy is on Q3_Competitor_Ads.</t>
        </is>
      </c>
    </row>
    <row r="83">
      <c r="A83" t="inlineStr">
        <is>
          <t>Do NOT add more ads</t>
        </is>
      </c>
      <c r="B83" s="174" t="inlineStr">
        <is>
          <t>The leader runs 2 ads for 4 brands; the last-place firm runs 5 for 5. Quality over count.</t>
        </is>
      </c>
    </row>
    <row r="84">
      <c r="A84" t="inlineStr">
        <is>
          <t>Combined payoff</t>
        </is>
      </c>
      <c r="B84" s="174" t="inlineStr">
        <is>
          <t>Swift Bike brand 72-&gt;77 AND ad 70-&gt;77 lifts Marketing Effectiveness from 0.738 to 0.7675 - past BB LLC's 0.765 to become the industry best. Both fixes are cheap relative to capacity.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28" customWidth="1" style="146" min="2" max="2"/>
    <col width="28" customWidth="1" style="146" min="3" max="3"/>
    <col width="88" customWidth="1" style="146" min="4" max="4"/>
    <col width="12" customWidth="1" style="146" min="5" max="5"/>
    <col width="12" customWidth="1" style="146" min="6" max="6"/>
    <col width="12" customWidth="1" style="146" min="7" max="7"/>
    <col width="14" customWidth="1" style="146" min="8" max="8"/>
    <col width="88" customWidth="1" style="146" min="9" max="9"/>
  </cols>
  <sheetData>
    <row r="1">
      <c r="A1" s="169" t="inlineStr">
        <is>
          <t>Competitor Ads — ranked benefits, Q3 actual (all 18 ads)</t>
        </is>
      </c>
    </row>
    <row r="2" ht="36" customHeight="1" s="146">
      <c r="A2" s="170" t="inlineStr">
        <is>
          <t>Source: Competitors' Ads research, previous quarter (Q3). Rank 1 = most visible. HikeBike 1 dropped the Q2 'great price' claim (now 7 benefits). Swift Bike is the only Speed ad that claims lights, reflectors, or great price.</t>
        </is>
      </c>
    </row>
    <row r="4">
      <c r="A4" s="166" t="inlineStr">
        <is>
          <t>Ad</t>
        </is>
      </c>
      <c r="B4" s="166" t="inlineStr">
        <is>
          <t>Company</t>
        </is>
      </c>
      <c r="C4" s="166" t="inlineStr">
        <is>
          <t>Brand advertised</t>
        </is>
      </c>
      <c r="D4" s="166" t="inlineStr">
        <is>
          <t>Segment</t>
        </is>
      </c>
      <c r="E4" s="166" t="inlineStr">
        <is>
          <t>Rec</t>
        </is>
      </c>
      <c r="F4" s="166" t="inlineStr">
        <is>
          <t>Mtn</t>
        </is>
      </c>
      <c r="G4" s="166" t="inlineStr">
        <is>
          <t>Speed</t>
        </is>
      </c>
      <c r="H4" s="166" t="inlineStr">
        <is>
          <t>n benefits</t>
        </is>
      </c>
      <c r="I4" s="166" t="inlineStr">
        <is>
          <t>Ranked benefits (1 = most visible)</t>
        </is>
      </c>
    </row>
    <row r="5" ht="36" customHeight="1" s="146">
      <c r="A5" t="inlineStr">
        <is>
          <t>Excluspeedity</t>
        </is>
      </c>
      <c r="B5" t="inlineStr">
        <is>
          <t>Bike Bros</t>
        </is>
      </c>
      <c r="C5" t="inlineStr">
        <is>
          <t>MACH I.I</t>
        </is>
      </c>
      <c r="D5" t="inlineStr">
        <is>
          <t>Speed</t>
        </is>
      </c>
      <c r="E5" t="n">
        <v>0</v>
      </c>
      <c r="F5" t="n">
        <v>12</v>
      </c>
      <c r="G5" t="n">
        <v>72</v>
      </c>
      <c r="H5" t="n">
        <v>6</v>
      </c>
      <c r="I5" s="170" t="inlineStr">
        <is>
          <t>1. Picture of road race -&gt; 2. Mention brand name -&gt; 3. Ride a wind-cheater -&gt; 4. Fast and furious -&gt; 5. Roll fast with racing tires -&gt; 6. Enjoy your ride - carbon fiber light</t>
        </is>
      </c>
    </row>
    <row r="6" ht="36" customHeight="1" s="146">
      <c r="A6" t="inlineStr">
        <is>
          <t>TerraTech</t>
        </is>
      </c>
      <c r="B6" t="inlineStr">
        <is>
          <t>Bike Bros</t>
        </is>
      </c>
      <c r="C6" t="inlineStr">
        <is>
          <t>TERRAMAX</t>
        </is>
      </c>
      <c r="D6" t="inlineStr">
        <is>
          <t>Mountain</t>
        </is>
      </c>
      <c r="E6" t="n">
        <v>23</v>
      </c>
      <c r="F6" t="n">
        <v>78</v>
      </c>
      <c r="G6" t="n">
        <v>30</v>
      </c>
      <c r="H6" t="n">
        <v>6</v>
      </c>
      <c r="I6" s="170" t="inlineStr">
        <is>
          <t>1. Picture of a rider on a steep trail -&gt; 2. Mention brand name -&gt; 3. Go anywhere on a tough carbon bike -&gt; 4. Local sales &amp; service -&gt; 5. Mountains are no longer difficult -&gt; 6. Tackle steep climbs with more gears</t>
        </is>
      </c>
    </row>
    <row r="7" ht="36" customHeight="1" s="146">
      <c r="A7" t="inlineStr">
        <is>
          <t>Easy Rider</t>
        </is>
      </c>
      <c r="B7" t="inlineStr">
        <is>
          <t>Bike Bros</t>
        </is>
      </c>
      <c r="C7" t="inlineStr">
        <is>
          <t>MountainCruise1</t>
        </is>
      </c>
      <c r="D7" t="inlineStr">
        <is>
          <t>Recreation</t>
        </is>
      </c>
      <c r="E7" t="n">
        <v>75</v>
      </c>
      <c r="F7" t="n">
        <v>25</v>
      </c>
      <c r="G7" t="n">
        <v>17</v>
      </c>
      <c r="H7" t="n">
        <v>6</v>
      </c>
      <c r="I7" s="170" t="inlineStr">
        <is>
          <t>1. Easy riding on a comfort seat -&gt; 2. Mention brand name -&gt; 3. Keep your head high - comfort straight handlebar -&gt; 4. Picture of riders on a greenway -&gt; 5. Local sales &amp; service -&gt; 6. Lots of fun to ride</t>
        </is>
      </c>
    </row>
    <row r="8" ht="36" customHeight="1" s="146">
      <c r="A8" t="inlineStr">
        <is>
          <t>Mountainability</t>
        </is>
      </c>
      <c r="B8" t="inlineStr">
        <is>
          <t>Bike Bros</t>
        </is>
      </c>
      <c r="C8" t="inlineStr">
        <is>
          <t>TERRAMAX</t>
        </is>
      </c>
      <c r="D8" t="inlineStr">
        <is>
          <t>Mountain</t>
        </is>
      </c>
      <c r="E8" t="n">
        <v>35</v>
      </c>
      <c r="F8" t="n">
        <v>77</v>
      </c>
      <c r="G8" t="n">
        <v>32</v>
      </c>
      <c r="H8" t="n">
        <v>6</v>
      </c>
      <c r="I8" s="170" t="inlineStr">
        <is>
          <t>1. Picture of a rider on a steep trail -&gt; 2. Mention brand name -&gt; 3. Have an adventure on a carbon bike! -&gt; 4. Tackle steep climbs with more gears -&gt; 5. Grab the path with high tread tires -&gt; 6. Local sales &amp; service</t>
        </is>
      </c>
    </row>
    <row r="9" ht="36" customHeight="1" s="146">
      <c r="A9" t="inlineStr">
        <is>
          <t>AndStill</t>
        </is>
      </c>
      <c r="B9" t="inlineStr">
        <is>
          <t>Bike Bros</t>
        </is>
      </c>
      <c r="C9" t="inlineStr">
        <is>
          <t>MACH I.I</t>
        </is>
      </c>
      <c r="D9" t="inlineStr">
        <is>
          <t>Speed</t>
        </is>
      </c>
      <c r="E9" t="n">
        <v>22</v>
      </c>
      <c r="F9" t="n">
        <v>24</v>
      </c>
      <c r="G9" t="n">
        <v>78</v>
      </c>
      <c r="H9" t="n">
        <v>7</v>
      </c>
      <c r="I9" s="170" t="inlineStr">
        <is>
          <t>1. Picture of road race -&gt; 2. Mention brand name -&gt; 3. Ride a wind-cheater -&gt; 4. Elite look - a ride of distinction -&gt; 5. A tailor-made bike just for you! 3D printing -&gt; 6. Roll fast with racing tires -&gt; 7. Local sales &amp; service</t>
        </is>
      </c>
    </row>
    <row r="10" ht="36" customHeight="1" s="146">
      <c r="A10" t="inlineStr">
        <is>
          <t>Speed of Lite 1</t>
        </is>
      </c>
      <c r="B10" t="inlineStr">
        <is>
          <t>LiteCycle</t>
        </is>
      </c>
      <c r="C10" t="inlineStr">
        <is>
          <t>LiteSpeed Pro+</t>
        </is>
      </c>
      <c r="D10" t="inlineStr">
        <is>
          <t>Speed</t>
        </is>
      </c>
      <c r="E10" t="n">
        <v>10</v>
      </c>
      <c r="F10" t="n">
        <v>22</v>
      </c>
      <c r="G10" t="n">
        <v>77</v>
      </c>
      <c r="H10" t="n">
        <v>7</v>
      </c>
      <c r="I10" s="170" t="inlineStr">
        <is>
          <t>1. Picture of road race -&gt; 2. Mention brand name -&gt; 3. Ride a wind-cheater -&gt; 4. Elite look - a ride of distinction -&gt; 5. Roll fast with racing tires -&gt; 6. A tailor-made bike just for you! 3D printing -&gt; 7. Fast and furious</t>
        </is>
      </c>
    </row>
    <row r="11" ht="36" customHeight="1" s="146">
      <c r="A11" t="inlineStr">
        <is>
          <t>Speed of Lite 2</t>
        </is>
      </c>
      <c r="B11" t="inlineStr">
        <is>
          <t>LiteCycle</t>
        </is>
      </c>
      <c r="C11" t="inlineStr">
        <is>
          <t>LiteSpeed+</t>
        </is>
      </c>
      <c r="D11" t="inlineStr">
        <is>
          <t>Speed</t>
        </is>
      </c>
      <c r="E11" t="n">
        <v>16</v>
      </c>
      <c r="F11" t="n">
        <v>13</v>
      </c>
      <c r="G11" t="n">
        <v>73</v>
      </c>
      <c r="H11" t="n">
        <v>6</v>
      </c>
      <c r="I11" s="170" t="inlineStr">
        <is>
          <t>1. Picture of road race -&gt; 2. Mention brand name -&gt; 3. Enjoy your ride - carbon fiber light -&gt; 4. Ride a wind-cheater -&gt; 5. Roll fast with racing tires -&gt; 6. Elite look - a ride of distinction</t>
        </is>
      </c>
    </row>
    <row r="12" ht="36" customHeight="1" s="146">
      <c r="A12" t="inlineStr">
        <is>
          <t>Trail Blazing 1</t>
        </is>
      </c>
      <c r="B12" t="inlineStr">
        <is>
          <t>LiteCycle</t>
        </is>
      </c>
      <c r="C12" t="inlineStr">
        <is>
          <t>LiteTrail Pro</t>
        </is>
      </c>
      <c r="D12" t="inlineStr">
        <is>
          <t>Mountain</t>
        </is>
      </c>
      <c r="E12" t="n">
        <v>18</v>
      </c>
      <c r="F12" t="n">
        <v>79</v>
      </c>
      <c r="G12" t="n">
        <v>34</v>
      </c>
      <c r="H12" t="n">
        <v>6</v>
      </c>
      <c r="I12" s="170" t="inlineStr">
        <is>
          <t>1. Picture of a rider on a steep trail -&gt; 2. Mention brand name -&gt; 3. Mountains are no longer difficult -&gt; 4. Have an adventure on a carbon bike! -&gt; 5. Tackle steep climbs with more gears -&gt; 6. Grab the path with high tread tires</t>
        </is>
      </c>
    </row>
    <row r="13" ht="36" customHeight="1" s="146">
      <c r="A13" s="171" t="inlineStr">
        <is>
          <t>HikeBike 1</t>
        </is>
      </c>
      <c r="B13" s="171" t="inlineStr">
        <is>
          <t>WeBike</t>
        </is>
      </c>
      <c r="C13" s="171" t="inlineStr">
        <is>
          <t>Hike Bike</t>
        </is>
      </c>
      <c r="D13" s="171" t="inlineStr">
        <is>
          <t>Mountain</t>
        </is>
      </c>
      <c r="E13" s="171" t="n">
        <v>33</v>
      </c>
      <c r="F13" s="172" t="n">
        <v>80</v>
      </c>
      <c r="G13" s="171" t="n">
        <v>26</v>
      </c>
      <c r="H13" s="171" t="n">
        <v>7</v>
      </c>
      <c r="I13" s="194" t="inlineStr">
        <is>
          <t>1. Mention brand name -&gt; 2. Picture of a rider on a steep trail -&gt; 3. Tackle steep climbs with more gears -&gt; 4. Grab the path with high tread tires -&gt; 5. Have an adventure on a carbon bike! -&gt; 6. Go anywhere on a tough carbon bike -&gt; 7. Mountains are no longer difficult</t>
        </is>
      </c>
    </row>
    <row r="14" ht="36" customHeight="1" s="146">
      <c r="A14" s="171" t="inlineStr">
        <is>
          <t>Swift Bike</t>
        </is>
      </c>
      <c r="B14" s="171" t="inlineStr">
        <is>
          <t>WeBike</t>
        </is>
      </c>
      <c r="C14" s="171" t="inlineStr">
        <is>
          <t>Swift Bike</t>
        </is>
      </c>
      <c r="D14" s="171" t="inlineStr">
        <is>
          <t>Speed</t>
        </is>
      </c>
      <c r="E14" s="171" t="n">
        <v>52</v>
      </c>
      <c r="F14" s="171" t="n">
        <v>36</v>
      </c>
      <c r="G14" s="188" t="n">
        <v>70</v>
      </c>
      <c r="H14" s="171" t="n">
        <v>6</v>
      </c>
      <c r="I14" s="194" t="inlineStr">
        <is>
          <t>1. Picture of road race -&gt; 2. Enjoy your ride - carbon fiber light -&gt; 3. Carbon fiber quality at a great price -&gt; 4. Mention brand name -&gt; 5. Ride safely after dark with lights -&gt; 6. Added safety - reflectors everywhere!</t>
        </is>
      </c>
    </row>
    <row r="15" ht="36" customHeight="1" s="146">
      <c r="A15" t="inlineStr">
        <is>
          <t>BB Big Momma</t>
        </is>
      </c>
      <c r="B15" t="inlineStr">
        <is>
          <t>BB LLC</t>
        </is>
      </c>
      <c r="C15" t="inlineStr">
        <is>
          <t>Blu Ruged Ballz</t>
        </is>
      </c>
      <c r="D15" t="inlineStr">
        <is>
          <t>Mountain</t>
        </is>
      </c>
      <c r="E15" t="n">
        <v>28</v>
      </c>
      <c r="F15" t="n">
        <v>81</v>
      </c>
      <c r="G15" t="n">
        <v>27</v>
      </c>
      <c r="H15" t="n">
        <v>6</v>
      </c>
      <c r="I15" s="170" t="inlineStr">
        <is>
          <t>1. Tackle steep climbs with more gears -&gt; 2. Grab the path with high tread tires -&gt; 3. Highest rated Mountain bike -&gt; 4. Local sales &amp; service -&gt; 5. Mention brand name -&gt; 6. Picture of a rider on a steep trail</t>
        </is>
      </c>
    </row>
    <row r="16" ht="36" customHeight="1" s="146">
      <c r="A16" t="inlineStr">
        <is>
          <t>Unleash lil pap</t>
        </is>
      </c>
      <c r="B16" t="inlineStr">
        <is>
          <t>BB LLC</t>
        </is>
      </c>
      <c r="C16" t="inlineStr">
        <is>
          <t>Blu Tube Ballz</t>
        </is>
      </c>
      <c r="D16" t="inlineStr">
        <is>
          <t>Speed</t>
        </is>
      </c>
      <c r="E16" t="n">
        <v>15</v>
      </c>
      <c r="F16" t="n">
        <v>16</v>
      </c>
      <c r="G16" t="n">
        <v>76</v>
      </c>
      <c r="H16" t="n">
        <v>6</v>
      </c>
      <c r="I16" s="170" t="inlineStr">
        <is>
          <t>1. Ride a wind-cheater -&gt; 2. Roll fast with racing tires -&gt; 3. Elite look - a ride of distinction -&gt; 4. Local sales &amp; service -&gt; 5. Mention brand name -&gt; 6. Picture of road race</t>
        </is>
      </c>
    </row>
    <row r="17" ht="36" customHeight="1" s="146">
      <c r="A17" t="inlineStr">
        <is>
          <t>Spoke'd Easy</t>
        </is>
      </c>
      <c r="B17" t="inlineStr">
        <is>
          <t>Spoke'd Up</t>
        </is>
      </c>
      <c r="C17" t="inlineStr">
        <is>
          <t>Spoke'd Easy</t>
        </is>
      </c>
      <c r="D17" t="inlineStr">
        <is>
          <t>Recreation</t>
        </is>
      </c>
      <c r="E17" t="n">
        <v>59</v>
      </c>
      <c r="F17" t="n">
        <v>27</v>
      </c>
      <c r="G17" t="n">
        <v>21</v>
      </c>
      <c r="H17" t="n">
        <v>9</v>
      </c>
      <c r="I17" s="170" t="inlineStr">
        <is>
          <t>1. Mention brand name -&gt; 2. Easy riding on a comfort seat -&gt; 3. Lots of fun to ride -&gt; 4. Keep your head high - comfort straight handlebar -&gt; 5. Picture of riders on a greenway -&gt; 6. Enjoy your ride - carbon fiber light -&gt; 7. Carbon fiber quality at a great price -&gt; 8. Carry your stuff easily -&gt; 9. Highest rated Recreation bike</t>
        </is>
      </c>
    </row>
    <row r="18" ht="36" customHeight="1" s="146">
      <c r="A18" t="inlineStr">
        <is>
          <t>Spoke'd Speed</t>
        </is>
      </c>
      <c r="B18" t="inlineStr">
        <is>
          <t>Spoke'd Up</t>
        </is>
      </c>
      <c r="C18" t="inlineStr">
        <is>
          <t>Spoke'd Speed</t>
        </is>
      </c>
      <c r="D18" t="inlineStr">
        <is>
          <t>Speed</t>
        </is>
      </c>
      <c r="E18" t="n">
        <v>4</v>
      </c>
      <c r="F18" t="n">
        <v>18</v>
      </c>
      <c r="G18" t="n">
        <v>57</v>
      </c>
      <c r="H18" t="n">
        <v>9</v>
      </c>
      <c r="I18" s="170" t="inlineStr">
        <is>
          <t>1. Mention brand name -&gt; 2. Fast and furious -&gt; 3. Ride a wind-cheater -&gt; 4. Roll fast with racing tires -&gt; 5. Enjoy your ride - carbon fiber light -&gt; 6. Picture of road race -&gt; 7. Elite look - a ride of distinction -&gt; 8. The gym is wherever you take it -&gt; 9. A tailor-made bike just for you! 3D printing</t>
        </is>
      </c>
    </row>
    <row r="19" ht="36" customHeight="1" s="146">
      <c r="A19" t="inlineStr">
        <is>
          <t>The Armstrong 1</t>
        </is>
      </c>
      <c r="B19" t="inlineStr">
        <is>
          <t>SpaceBikes</t>
        </is>
      </c>
      <c r="C19" t="inlineStr">
        <is>
          <t>The Armstrong</t>
        </is>
      </c>
      <c r="D19" t="inlineStr">
        <is>
          <t>Speed</t>
        </is>
      </c>
      <c r="E19" t="n">
        <v>2</v>
      </c>
      <c r="F19" t="n">
        <v>21</v>
      </c>
      <c r="G19" t="n">
        <v>77</v>
      </c>
      <c r="H19" t="n">
        <v>6</v>
      </c>
      <c r="I19" s="170" t="inlineStr">
        <is>
          <t>1. Highest rated Speed bike -&gt; 2. Picture of road race -&gt; 3. Fast and furious -&gt; 4. Mention brand name -&gt; 5. Ride a wind-cheater -&gt; 6. Local sales &amp; service</t>
        </is>
      </c>
    </row>
    <row r="20" ht="36" customHeight="1" s="146">
      <c r="A20" t="inlineStr">
        <is>
          <t>Mars Rover 1</t>
        </is>
      </c>
      <c r="B20" t="inlineStr">
        <is>
          <t>SpaceBikes</t>
        </is>
      </c>
      <c r="C20" t="inlineStr">
        <is>
          <t>Mars Rover</t>
        </is>
      </c>
      <c r="D20" t="inlineStr">
        <is>
          <t>Recreation</t>
        </is>
      </c>
      <c r="E20" t="n">
        <v>79</v>
      </c>
      <c r="F20" t="n">
        <v>25</v>
      </c>
      <c r="G20" t="n">
        <v>24</v>
      </c>
      <c r="H20" t="n">
        <v>7</v>
      </c>
      <c r="I20" s="170" t="inlineStr">
        <is>
          <t>1. Highest rated Recreation bike -&gt; 2. Lots of fun to ride -&gt; 3. Picture of riders on a greenway -&gt; 4. Mention brand name -&gt; 5. Easy riding on a comfort seat -&gt; 6. Added safety - reflectors everywhere! -&gt; 7. Local sales &amp; service</t>
        </is>
      </c>
    </row>
    <row r="21" ht="36" customHeight="1" s="146">
      <c r="A21" t="inlineStr">
        <is>
          <t>Skim MILC MKII</t>
        </is>
      </c>
      <c r="B21" t="inlineStr">
        <is>
          <t>MILC Bikes</t>
        </is>
      </c>
      <c r="C21" t="inlineStr">
        <is>
          <t>Skim MILC MKII</t>
        </is>
      </c>
      <c r="D21" t="inlineStr">
        <is>
          <t>Speed</t>
        </is>
      </c>
      <c r="E21" t="n">
        <v>10</v>
      </c>
      <c r="F21" t="n">
        <v>19</v>
      </c>
      <c r="G21" t="n">
        <v>75</v>
      </c>
      <c r="H21" t="n">
        <v>7</v>
      </c>
      <c r="I21" s="170" t="inlineStr">
        <is>
          <t>1. Picture of road race -&gt; 2. Mention brand name -&gt; 3. Ride a wind-cheater -&gt; 4. Elite look - a ride of distinction -&gt; 5. Roll fast with racing tires -&gt; 6. Enjoy your ride - carbon fiber light -&gt; 7. Fast and furious</t>
        </is>
      </c>
    </row>
    <row r="22" ht="36" customHeight="1" s="146">
      <c r="A22" t="inlineStr">
        <is>
          <t>Whole MILC MKII</t>
        </is>
      </c>
      <c r="B22" t="inlineStr">
        <is>
          <t>MILC Bikes</t>
        </is>
      </c>
      <c r="C22" t="inlineStr">
        <is>
          <t>Whole MILC MKII</t>
        </is>
      </c>
      <c r="D22" t="inlineStr">
        <is>
          <t>Recreation</t>
        </is>
      </c>
      <c r="E22" t="n">
        <v>77</v>
      </c>
      <c r="F22" t="n">
        <v>47</v>
      </c>
      <c r="G22" t="n">
        <v>41</v>
      </c>
      <c r="H22" t="n">
        <v>6</v>
      </c>
      <c r="I22" s="170" t="inlineStr">
        <is>
          <t>1. Easy riding on a comfort seat -&gt; 2. Mention brand name -&gt; 3. Keep your head high - comfort straight handlebar -&gt; 4. Enjoy your ride - carbon fiber light -&gt; 5. Carbon fiber quality at a great price -&gt; 6. Local sales &amp; service</t>
        </is>
      </c>
    </row>
    <row r="25">
      <c r="A25" s="166" t="inlineStr">
        <is>
          <t>SWIFT BIKE vs THE TWO BEST SPEED ADS</t>
        </is>
      </c>
      <c r="B25" s="166" t="inlineStr">
        <is>
          <t>AndStill (78, best)</t>
        </is>
      </c>
      <c r="C25" s="166" t="inlineStr">
        <is>
          <t>Speed of Lite 1 (77)</t>
        </is>
      </c>
      <c r="D25" s="166" t="inlineStr">
        <is>
          <t>Swift Bike (70)</t>
        </is>
      </c>
    </row>
    <row r="26">
      <c r="A26" t="inlineStr">
        <is>
          <t>Score in Speed</t>
        </is>
      </c>
      <c r="B26" t="n">
        <v>78</v>
      </c>
      <c r="C26" t="n">
        <v>77</v>
      </c>
      <c r="D26" s="173" t="n">
        <v>70</v>
      </c>
    </row>
    <row r="27">
      <c r="A27" t="inlineStr">
        <is>
          <t>Off-target leakage (Rec+Mtn)</t>
        </is>
      </c>
      <c r="B27" t="n">
        <v>46</v>
      </c>
      <c r="C27" t="n">
        <v>32</v>
      </c>
      <c r="D27" s="173" t="n">
        <v>88</v>
      </c>
    </row>
    <row r="28">
      <c r="A28" t="inlineStr">
        <is>
          <t>Picture of road race</t>
        </is>
      </c>
      <c r="B28" t="n">
        <v>1</v>
      </c>
      <c r="C28" t="n">
        <v>1</v>
      </c>
      <c r="D28" s="173" t="n">
        <v>1</v>
      </c>
    </row>
    <row r="29">
      <c r="A29" t="inlineStr">
        <is>
          <t>Mention brand name</t>
        </is>
      </c>
      <c r="B29" t="n">
        <v>2</v>
      </c>
      <c r="C29" t="n">
        <v>2</v>
      </c>
      <c r="D29" s="173" t="n">
        <v>4</v>
      </c>
    </row>
    <row r="30">
      <c r="A30" t="inlineStr">
        <is>
          <t>Ride a wind-cheater</t>
        </is>
      </c>
      <c r="B30" t="n">
        <v>3</v>
      </c>
      <c r="C30" t="n">
        <v>3</v>
      </c>
      <c r="D30" s="167" t="inlineStr">
        <is>
          <t>—</t>
        </is>
      </c>
    </row>
    <row r="31">
      <c r="A31" t="inlineStr">
        <is>
          <t>Elite look - a ride of distinction</t>
        </is>
      </c>
      <c r="B31" t="n">
        <v>4</v>
      </c>
      <c r="C31" t="n">
        <v>4</v>
      </c>
      <c r="D31" s="167" t="inlineStr">
        <is>
          <t>—</t>
        </is>
      </c>
    </row>
    <row r="32">
      <c r="A32" t="inlineStr">
        <is>
          <t>Roll fast with racing tires</t>
        </is>
      </c>
      <c r="B32" t="n">
        <v>6</v>
      </c>
      <c r="C32" t="n">
        <v>5</v>
      </c>
      <c r="D32" s="167" t="inlineStr">
        <is>
          <t>—</t>
        </is>
      </c>
    </row>
    <row r="33">
      <c r="A33" t="inlineStr">
        <is>
          <t>A tailor-made bike just for you! 3D printing</t>
        </is>
      </c>
      <c r="B33" t="n">
        <v>5</v>
      </c>
      <c r="C33" t="n">
        <v>6</v>
      </c>
      <c r="D33" s="167" t="inlineStr">
        <is>
          <t>—</t>
        </is>
      </c>
    </row>
    <row r="34">
      <c r="A34" t="inlineStr">
        <is>
          <t>Fast and furious</t>
        </is>
      </c>
      <c r="B34" t="inlineStr">
        <is>
          <t>—</t>
        </is>
      </c>
      <c r="C34" t="n">
        <v>7</v>
      </c>
      <c r="D34" s="167" t="inlineStr">
        <is>
          <t>—</t>
        </is>
      </c>
    </row>
    <row r="35">
      <c r="A35" t="inlineStr">
        <is>
          <t>Local sales &amp; service</t>
        </is>
      </c>
      <c r="B35" t="n">
        <v>7</v>
      </c>
      <c r="C35" t="inlineStr">
        <is>
          <t>—</t>
        </is>
      </c>
      <c r="D35" s="167" t="inlineStr">
        <is>
          <t>—</t>
        </is>
      </c>
    </row>
    <row r="36">
      <c r="A36" t="inlineStr">
        <is>
          <t>Enjoy your ride - carbon fiber light</t>
        </is>
      </c>
      <c r="B36" t="inlineStr">
        <is>
          <t>—</t>
        </is>
      </c>
      <c r="C36" t="inlineStr">
        <is>
          <t>—</t>
        </is>
      </c>
      <c r="D36" s="173" t="n">
        <v>2</v>
      </c>
    </row>
    <row r="37">
      <c r="A37" t="inlineStr">
        <is>
          <t>Carbon fiber quality at a great price</t>
        </is>
      </c>
      <c r="B37" t="inlineStr">
        <is>
          <t>—</t>
        </is>
      </c>
      <c r="C37" t="inlineStr">
        <is>
          <t>—</t>
        </is>
      </c>
      <c r="D37" s="167" t="n">
        <v>3</v>
      </c>
    </row>
    <row r="38">
      <c r="A38" t="inlineStr">
        <is>
          <t>Ride safely after dark with lights</t>
        </is>
      </c>
      <c r="B38" t="inlineStr">
        <is>
          <t>—</t>
        </is>
      </c>
      <c r="C38" t="inlineStr">
        <is>
          <t>—</t>
        </is>
      </c>
      <c r="D38" s="167" t="n">
        <v>5</v>
      </c>
    </row>
    <row r="39">
      <c r="A39" t="inlineStr">
        <is>
          <t>Added safety - reflectors everywhere!</t>
        </is>
      </c>
      <c r="B39" t="inlineStr">
        <is>
          <t>—</t>
        </is>
      </c>
      <c r="C39" t="inlineStr">
        <is>
          <t>—</t>
        </is>
      </c>
      <c r="D39" s="167" t="n">
        <v>6</v>
      </c>
    </row>
    <row r="42">
      <c r="A42" s="166" t="inlineStr">
        <is>
          <t>SPEED CONSENSUS (8 rival ads) vs SWIFT</t>
        </is>
      </c>
      <c r="B42" s="166" t="inlineStr">
        <is>
          <t>Rivals using it</t>
        </is>
      </c>
      <c r="C42" s="166" t="inlineStr">
        <is>
          <t>Typical rank</t>
        </is>
      </c>
      <c r="D42" s="166" t="inlineStr">
        <is>
          <t>Swift Bike</t>
        </is>
      </c>
    </row>
    <row r="43">
      <c r="A43" t="inlineStr">
        <is>
          <t>Picture of road race</t>
        </is>
      </c>
      <c r="B43" t="inlineStr">
        <is>
          <t>8/8</t>
        </is>
      </c>
      <c r="C43" t="inlineStr">
        <is>
          <t>1 (five ads lead with it)</t>
        </is>
      </c>
      <c r="D43" s="181" t="inlineStr">
        <is>
          <t>HAS — rank 1 (the one thing we got right)</t>
        </is>
      </c>
    </row>
    <row r="44">
      <c r="A44" t="inlineStr">
        <is>
          <t>Mention brand name</t>
        </is>
      </c>
      <c r="B44" t="inlineStr">
        <is>
          <t>8/8</t>
        </is>
      </c>
      <c r="C44" t="inlineStr">
        <is>
          <t>2 (five ads)</t>
        </is>
      </c>
      <c r="D44" s="170" t="inlineStr">
        <is>
          <t>rank 4 — too late; SERP top-3 never names the brand</t>
        </is>
      </c>
    </row>
    <row r="45">
      <c r="A45" t="inlineStr">
        <is>
          <t>Ride a wind-cheater</t>
        </is>
      </c>
      <c r="B45" t="inlineStr">
        <is>
          <t>8/8</t>
        </is>
      </c>
      <c r="C45" t="inlineStr">
        <is>
          <t>3</t>
        </is>
      </c>
      <c r="D45" s="174" t="inlineStr">
        <is>
          <t>MISSING</t>
        </is>
      </c>
    </row>
    <row r="46">
      <c r="A46" t="inlineStr">
        <is>
          <t>Roll fast with racing tires</t>
        </is>
      </c>
      <c r="B46" t="inlineStr">
        <is>
          <t>7/8</t>
        </is>
      </c>
      <c r="C46" t="inlineStr">
        <is>
          <t>4–6</t>
        </is>
      </c>
      <c r="D46" s="174" t="inlineStr">
        <is>
          <t>MISSING (bike HAS racing tires)</t>
        </is>
      </c>
    </row>
    <row r="47">
      <c r="A47" t="inlineStr">
        <is>
          <t>Elite look - a ride of distinction</t>
        </is>
      </c>
      <c r="B47" t="inlineStr">
        <is>
          <t>6/8</t>
        </is>
      </c>
      <c r="C47" t="inlineStr">
        <is>
          <t>3–4</t>
        </is>
      </c>
      <c r="D47" s="174" t="inlineStr">
        <is>
          <t>MISSING</t>
        </is>
      </c>
    </row>
    <row r="48">
      <c r="A48" t="inlineStr">
        <is>
          <t>Fast and furious</t>
        </is>
      </c>
      <c r="B48" t="inlineStr">
        <is>
          <t>5/8</t>
        </is>
      </c>
      <c r="C48" t="inlineStr">
        <is>
          <t>2–7</t>
        </is>
      </c>
      <c r="D48" s="174" t="inlineStr">
        <is>
          <t>MISSING</t>
        </is>
      </c>
    </row>
    <row r="49">
      <c r="A49" t="inlineStr">
        <is>
          <t>Enjoy your ride - carbon fiber light</t>
        </is>
      </c>
      <c r="B49" t="inlineStr">
        <is>
          <t>4/8</t>
        </is>
      </c>
      <c r="C49" t="inlineStr">
        <is>
          <t>3–6</t>
        </is>
      </c>
      <c r="D49" s="181" t="inlineStr">
        <is>
          <t>HAS — rank 2</t>
        </is>
      </c>
    </row>
    <row r="50">
      <c r="A50" t="inlineStr">
        <is>
          <t>Local sales &amp; service</t>
        </is>
      </c>
      <c r="B50" t="inlineStr">
        <is>
          <t>3/8</t>
        </is>
      </c>
      <c r="C50" t="inlineStr">
        <is>
          <t>4–7</t>
        </is>
      </c>
      <c r="D50" s="174" t="inlineStr">
        <is>
          <t>MISSING (we are 80.9% store — should claim it)</t>
        </is>
      </c>
    </row>
    <row r="51">
      <c r="A51" t="inlineStr">
        <is>
          <t>A tailor-made bike just for you! 3D printing</t>
        </is>
      </c>
      <c r="B51" t="inlineStr">
        <is>
          <t>3/8</t>
        </is>
      </c>
      <c r="C51" t="inlineStr">
        <is>
          <t>5–6 on the two best ads</t>
        </is>
      </c>
      <c r="D51" s="174" t="inlineStr">
        <is>
          <t>MISSING (we do 3D print)</t>
        </is>
      </c>
    </row>
    <row r="52">
      <c r="A52" t="inlineStr">
        <is>
          <t>Ride safely after dark with lights</t>
        </is>
      </c>
      <c r="B52" t="inlineStr">
        <is>
          <t>0/8</t>
        </is>
      </c>
      <c r="C52" t="inlineStr">
        <is>
          <t>none</t>
        </is>
      </c>
      <c r="D52" s="185" t="inlineStr">
        <is>
          <t>HAS — rank 5. Rec cue. Explains Rec leakage 52.</t>
        </is>
      </c>
    </row>
    <row r="53">
      <c r="A53" t="inlineStr">
        <is>
          <t>Added safety - reflectors everywhere!</t>
        </is>
      </c>
      <c r="B53" t="inlineStr">
        <is>
          <t>0/8</t>
        </is>
      </c>
      <c r="C53" t="inlineStr">
        <is>
          <t>none</t>
        </is>
      </c>
      <c r="D53" s="185" t="inlineStr">
        <is>
          <t>HAS — rank 6. Rec cue.</t>
        </is>
      </c>
    </row>
    <row r="54">
      <c r="A54" t="inlineStr">
        <is>
          <t>Carbon fiber quality at a great price</t>
        </is>
      </c>
      <c r="B54" t="inlineStr">
        <is>
          <t>0/8</t>
        </is>
      </c>
      <c r="C54" t="inlineStr">
        <is>
          <t>none</t>
        </is>
      </c>
      <c r="D54" s="185" t="inlineStr">
        <is>
          <t>HAS — rank 3. Speed is the least price-sensitive segment; we are about to RAISE price to $1,580.</t>
        </is>
      </c>
    </row>
    <row r="57">
      <c r="A57" s="166" t="inlineStr">
        <is>
          <t>DIAGNOSIS — the cloned-Mountain hypothesis is FALSE</t>
        </is>
      </c>
      <c r="B57" s="166" t="inlineStr">
        <is>
          <t>Finding</t>
        </is>
      </c>
    </row>
    <row r="58">
      <c r="A58" t="inlineStr">
        <is>
          <t>What we thought</t>
        </is>
      </c>
      <c r="B58" s="170" t="inlineStr">
        <is>
          <t>Swift Bike inherited Hike Bike's messaging (steep trail / gears / tread / adventure).</t>
        </is>
      </c>
    </row>
    <row r="59">
      <c r="A59" t="inlineStr">
        <is>
          <t>What the copy actually is</t>
        </is>
      </c>
      <c r="B59" s="170" t="inlineStr">
        <is>
          <t>1. road race  2. carbon light  3. great price  4. brand  5. lights  6. reflectors. Zero Mountain benefits. It is a Recreation-safety + price ad with a Speed picture.</t>
        </is>
      </c>
    </row>
    <row r="60">
      <c r="A60" t="inlineStr">
        <is>
          <t>Why Rec leakage is 52 (highest of any Speed ad)</t>
        </is>
      </c>
      <c r="B60" s="174" t="inlineStr">
        <is>
          <t>Lights + reflectors are Rec safety claims. Great price is a Rec/value claim. True on the bike (Speed recipe includes both) but they pull the wrong segment.</t>
        </is>
      </c>
    </row>
    <row r="61">
      <c r="A61" t="inlineStr">
        <is>
          <t>Why the score is 70 not 57</t>
        </is>
      </c>
      <c r="B61" s="170" t="inlineStr">
        <is>
          <t>We at least lead with the road-race picture. Spoke'd Speed has every Speed cue but ranks road race 6th, pads to 9 benefits (incl. gym), and scores 57. Ranking and clutter matter.</t>
        </is>
      </c>
    </row>
    <row r="62">
      <c r="A62" t="inlineStr">
        <is>
          <t>SERP organic (first 3 benefits only)</t>
        </is>
      </c>
      <c r="B62" s="170" t="inlineStr">
        <is>
          <t>Today: road race / carbon light / GREAT PRICE. After a consensus rebuild: road race / brand / wind-cheater.</t>
        </is>
      </c>
    </row>
    <row r="63">
      <c r="A63" t="inlineStr">
        <is>
          <t>HikeBike 1 vs Q2 lock</t>
        </is>
      </c>
      <c r="B63" s="170" t="inlineStr">
        <is>
          <t>Q2 lock had 8 benefits, last = great price. Q3 actual dropped that claim (7 benefits). Ranks 1–7 unchanged. Score 80. Leave it.</t>
        </is>
      </c>
    </row>
    <row r="66">
      <c r="A66" s="166" t="inlineStr">
        <is>
          <t>Q4 SWIFT BIKE AD — DRAFT, NOT LOCKED (Unleash SERP snippet + AndStill extras)</t>
        </is>
      </c>
      <c r="B66" s="166" t="inlineStr">
        <is>
          <t>Rank</t>
        </is>
      </c>
    </row>
    <row r="67">
      <c r="A67" t="inlineStr">
        <is>
          <t>Mention brand name (Ad/Brand columns; not a snippet)</t>
        </is>
      </c>
      <c r="B67" s="181" t="n">
        <v>1</v>
      </c>
    </row>
    <row r="68">
      <c r="A68" t="inlineStr">
        <is>
          <t>Ride a wind-cheater</t>
        </is>
      </c>
      <c r="B68" s="181" t="n">
        <v>2</v>
      </c>
    </row>
    <row r="69">
      <c r="A69" t="inlineStr">
        <is>
          <t>Roll fast with racing tires</t>
        </is>
      </c>
      <c r="B69" s="181" t="n">
        <v>3</v>
      </c>
    </row>
    <row r="70">
      <c r="A70" t="inlineStr">
        <is>
          <t>Elite look - a ride of distinction</t>
        </is>
      </c>
      <c r="B70" s="181" t="n">
        <v>4</v>
      </c>
    </row>
    <row r="71">
      <c r="A71" t="inlineStr">
        <is>
          <t>A tailor-made bike just for you! 3D printing</t>
        </is>
      </c>
      <c r="B71" s="181" t="n">
        <v>5</v>
      </c>
    </row>
    <row r="72">
      <c r="A72" t="inlineStr">
        <is>
          <t>Local sales &amp; service</t>
        </is>
      </c>
      <c r="B72" s="181" t="n">
        <v>6</v>
      </c>
    </row>
    <row r="73">
      <c r="A73" t="inlineStr">
        <is>
          <t>Picture of road race</t>
        </is>
      </c>
      <c r="B73" s="181" t="n">
        <v>7</v>
      </c>
    </row>
    <row r="74">
      <c r="A74" t="inlineStr">
        <is>
          <t>DROP</t>
        </is>
      </c>
      <c r="B74" s="185" t="inlineStr">
        <is>
          <t>lights, reflectors, great price, carbon-light-as-#2</t>
        </is>
      </c>
    </row>
    <row r="75">
      <c r="A75" t="inlineStr">
        <is>
          <t>Why this order</t>
        </is>
      </c>
      <c r="B75" s="174" t="inlineStr">
        <is>
          <t>Brand does not eat a snippet slot, so ranks 2-4 = Unleash's #1 Speed SERP (wind / racing / elite, 200 clicks). Picture last keeps print coverage without burying the snippet. AndStill (picture-first) scores 78 judgment but 7th organically.</t>
        </is>
      </c>
    </row>
    <row r="76">
      <c r="A76" t="inlineStr">
        <is>
          <t>Do not add a 2nd Swift ad</t>
        </is>
      </c>
      <c r="B76" s="174" t="inlineStr">
        <is>
          <t>Quality &gt; count. Preview the score in the designer before committing.</t>
        </is>
      </c>
    </row>
    <row r="77">
      <c r="A77" t="inlineStr">
        <is>
          <t>HikeBike 1</t>
        </is>
      </c>
      <c r="B77" s="174" t="inlineStr">
        <is>
          <t>KEEP. Optional 1-pt chase: add 'Highest rated Mountain bike' (true, tied at 73) and/or local sales &amp; service — BB Big Momma uses both and scores 81. Not worth a redesign fee unless the preview moves.</t>
        </is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2026-09-08T13:11:46Z</dcterms:modified>
  <cp:lastModifiedBy>Conger, Kyle E.</cp:lastModifiedBy>
</cp:coreProperties>
</file>