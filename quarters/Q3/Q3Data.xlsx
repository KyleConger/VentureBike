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  <sheet xmlns:r="http://schemas.openxmlformats.org/officeDocument/2006/relationships" name="Q3_Presence" sheetId="33" state="visible" r:id="rId33"/>
    <sheet xmlns:r="http://schemas.openxmlformats.org/officeDocument/2006/relationships" name="Q3_Staffing" sheetId="34" state="visible" r:id="rId34"/>
    <sheet xmlns:r="http://schemas.openxmlformats.org/officeDocument/2006/relationships" name="Q3_Web_Ops" sheetId="35" state="visible" r:id="rId35"/>
    <sheet xmlns:r="http://schemas.openxmlformats.org/officeDocument/2006/relationships" name="Q3_Price_Judgment" sheetId="36" state="visible" r:id="rId3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1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  <font>
      <b val="1"/>
      <sz val="12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9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  <xf numFmtId="0" fontId="28" fillId="31" borderId="0" pivotButton="0" quotePrefix="0" xfId="0"/>
    <xf numFmtId="165" fontId="0" fillId="0" borderId="0" pivotButton="0" quotePrefix="0" xfId="0"/>
    <xf numFmtId="165" fontId="28" fillId="31" borderId="0" pivotButton="0" quotePrefix="0" xfId="0"/>
    <xf numFmtId="165" fontId="0" fillId="31" borderId="0" pivotButton="0" quotePrefix="0" xfId="0"/>
    <xf numFmtId="0" fontId="30" fillId="29" borderId="0" pivotButton="0" quotePrefix="0" xfId="0"/>
    <xf numFmtId="0" fontId="0" fillId="33" borderId="0" applyAlignment="1" pivotButton="0" quotePrefix="0" xfId="0">
      <alignment wrapText="1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required OC/day = forecast units / (productivity x 65 days). Never schedule below the forecast again. Q3 proof: OC 8/day vs 24 owned -&gt; 204 stock-outs AND labour cost/unit up $130 -&gt; 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Capacity factor (1 / productivity)</t>
        </is>
      </c>
      <c r="B9" s="159">
        <f>1/B8</f>
        <v/>
      </c>
      <c r="C9" s="170" t="inlineStr">
        <is>
          <t>CORRECTED: was 1+(1-p)=1.26, which understated the requirement. 1/0.74 = 1.35.</t>
        </is>
      </c>
    </row>
    <row r="10">
      <c r="A10" t="inlineStr">
        <is>
          <t>Required OC per day</t>
        </is>
      </c>
      <c r="B10">
        <f>B7/(B8*65)</f>
        <v/>
      </c>
      <c r="C10" t="inlineStr">
        <is>
          <t>units / (productivity x days) - 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s="166" t="inlineStr">
        <is>
          <t>DEMAND SCENARIOS -&gt; REQUIRED OPERATING CAPACITY</t>
        </is>
      </c>
      <c r="B46" s="166" t="inlineStr">
        <is>
          <t>Demand</t>
        </is>
      </c>
      <c r="C46" s="166" t="inlineStr">
        <is>
          <t>Required OC/day</t>
        </is>
      </c>
      <c r="D46" s="166" t="inlineStr">
        <is>
          <t>Fits in 24/day?</t>
        </is>
      </c>
    </row>
    <row r="47">
      <c r="A47" t="inlineStr">
        <is>
          <t>A. Do nothing (Q3 demand less 16.3% ill will)</t>
        </is>
      </c>
      <c r="B47" t="n">
        <v>525</v>
      </c>
      <c r="C47" s="189">
        <f>B48/(0.74*65)</f>
        <v/>
      </c>
      <c r="D47">
        <f>IF(C48&lt;=24,"yes","NO")</f>
        <v/>
      </c>
    </row>
    <row r="48">
      <c r="A48" t="inlineStr">
        <is>
          <t>B. Base forecast (planner B7)</t>
        </is>
      </c>
      <c r="B48">
        <f>B7</f>
        <v/>
      </c>
      <c r="C48" s="189">
        <f>B49/(0.74*65)</f>
        <v/>
      </c>
      <c r="D48">
        <f>IF(C49&lt;=24,"yes","NO")</f>
        <v/>
      </c>
    </row>
    <row r="49">
      <c r="A49" t="inlineStr">
        <is>
          <t>C. + fill Rio to the 7-person cap</t>
        </is>
      </c>
      <c r="B49" s="159">
        <f>B49+200</f>
        <v/>
      </c>
      <c r="C49" s="189">
        <f>B50/(0.74*65)</f>
        <v/>
      </c>
      <c r="D49">
        <f>IF(C50&lt;=24,"yes","NO")</f>
        <v/>
      </c>
    </row>
    <row r="50">
      <c r="A50" t="inlineStr">
        <is>
          <t>D. + full web rebuild (7 staff, 4 tactics)</t>
        </is>
      </c>
      <c r="B50">
        <f>B50+315</f>
        <v/>
      </c>
      <c r="C50" s="189">
        <f>B51/(0.74*65)</f>
        <v/>
      </c>
      <c r="D50">
        <f>IF(C51&lt;=24,"yes","NO")</f>
        <v/>
      </c>
    </row>
    <row r="51">
      <c r="A51" t="inlineStr">
        <is>
          <t>E. + New York store</t>
        </is>
      </c>
      <c r="B51">
        <f>B51+400</f>
        <v/>
      </c>
      <c r="C51" s="189">
        <f>B52/(0.74*65)</f>
        <v/>
      </c>
      <c r="D51" s="167">
        <f>IF(C52&lt;=24,"yes","NO")</f>
        <v/>
      </c>
    </row>
    <row r="52">
      <c r="A52" t="inlineStr">
        <is>
          <t>Max units at 24/day and 74% productivity</t>
        </is>
      </c>
      <c r="B52" s="159">
        <f>24*0.74*65</f>
        <v/>
      </c>
      <c r="D52" s="167" t="n"/>
    </row>
    <row r="53">
      <c r="A53" t="inlineStr">
        <is>
          <t>Read</t>
        </is>
      </c>
      <c r="D53" s="185" t="inlineStr">
        <is>
          <t>Scenario C (Rio fill) fits comfortably at 17.8/day. Scenario D (Rio + full web rebuild) needs 24.3/day and EXCEEDS our 24/day fixed capacity by a hair. Scenario E (plus New York) needs 32.7/day. Capacity - not demand, not product - is now the binding constraint on growth.</t>
        </is>
      </c>
    </row>
    <row r="56">
      <c r="A56" s="166" t="inlineStr">
        <is>
          <t>WEB &amp; STAFFING TARGETS (from Q3_Web_Ops / Q3_Staffing)</t>
        </is>
      </c>
      <c r="B56" s="166" t="inlineStr">
        <is>
          <t>WeBike Q3</t>
        </is>
      </c>
      <c r="C56" s="166" t="inlineStr">
        <is>
          <t>Industry</t>
        </is>
      </c>
      <c r="D56" s="166" t="inlineStr">
        <is>
          <t>Q4 target</t>
        </is>
      </c>
    </row>
    <row r="57">
      <c r="A57" t="inlineStr">
        <is>
          <t>Web staff (cap is 7)</t>
        </is>
      </c>
      <c r="B57" t="n">
        <v>3</v>
      </c>
      <c r="C57" t="inlineStr">
        <is>
          <t>7 (four firms)</t>
        </is>
      </c>
      <c r="D57" s="168" t="n">
        <v>7</v>
      </c>
    </row>
    <row r="58">
      <c r="A58" t="inlineStr">
        <is>
          <t>Web productivity tactics funded (of 4)</t>
        </is>
      </c>
      <c r="B58" t="n">
        <v>1</v>
      </c>
      <c r="C58" t="n">
        <v>4</v>
      </c>
      <c r="D58" s="168" t="n">
        <v>4</v>
      </c>
    </row>
    <row r="59">
      <c r="A59" t="inlineStr">
        <is>
          <t>Web productivity budget</t>
        </is>
      </c>
      <c r="B59" t="n">
        <v>6000</v>
      </c>
      <c r="C59" t="inlineStr">
        <is>
          <t>24,000 - 33,000</t>
        </is>
      </c>
      <c r="D59" s="168" t="n">
        <v>28000</v>
      </c>
    </row>
    <row r="60">
      <c r="A60" t="inlineStr">
        <is>
          <t>Web demand</t>
        </is>
      </c>
      <c r="B60" t="n">
        <v>120</v>
      </c>
      <c r="C60" t="inlineStr">
        <is>
          <t>435 - 569</t>
        </is>
      </c>
      <c r="D60" s="168" t="n">
        <v>435</v>
      </c>
    </row>
    <row r="61">
      <c r="A61" t="inlineStr">
        <is>
          <t>Rio store staff (cap is 7)</t>
        </is>
      </c>
      <c r="B61" t="n">
        <v>4</v>
      </c>
      <c r="C61" t="inlineStr">
        <is>
          <t>-</t>
        </is>
      </c>
      <c r="D61" s="168" t="n">
        <v>7</v>
      </c>
    </row>
    <row r="62">
      <c r="A62" t="inlineStr">
        <is>
          <t>Amsterdam store staff (cap is 7)</t>
        </is>
      </c>
      <c r="B62" t="n">
        <v>7</v>
      </c>
      <c r="C62" t="inlineStr">
        <is>
          <t>7</t>
        </is>
      </c>
      <c r="D62" s="168" t="inlineStr">
        <is>
          <t>7 (AT CAP - no room)</t>
        </is>
      </c>
    </row>
    <row r="63">
      <c r="A63" t="inlineStr">
        <is>
          <t>Untrained staff</t>
        </is>
      </c>
      <c r="B63" t="n">
        <v>2</v>
      </c>
      <c r="C63" t="n">
        <v>0</v>
      </c>
      <c r="D63" s="167" t="n">
        <v>0</v>
      </c>
    </row>
    <row r="66">
      <c r="A66" s="166" t="inlineStr">
        <is>
          <t>CAPACITY IS NOW THE BINDING CONSTRAINT — and idle cash is the cure</t>
        </is>
      </c>
      <c r="B66" s="166" t="inlineStr">
        <is>
          <t>Value</t>
        </is>
      </c>
      <c r="C66" s="166" t="inlineStr">
        <is>
          <t>Note</t>
        </is>
      </c>
    </row>
    <row r="67">
      <c r="A67" t="inlineStr">
        <is>
          <t>Cash sitting idle</t>
        </is>
      </c>
      <c r="B67" s="167" t="n">
        <v>1010838</v>
      </c>
      <c r="C67" t="inlineStr">
        <is>
          <t>the direct cause of Asset Management 0.353 (LAST place)</t>
        </is>
      </c>
    </row>
    <row r="68">
      <c r="A68" t="inlineStr">
        <is>
          <t>Fixed capacity today</t>
        </is>
      </c>
      <c r="B68" t="n">
        <v>24</v>
      </c>
      <c r="C68" t="inlineStr">
        <is>
          <t>3 printers, $720,000 original cost -&gt; ~$240,000 each</t>
        </is>
      </c>
    </row>
    <row r="69">
      <c r="A69" t="inlineStr">
        <is>
          <t>Max units at 24/day and 74% productivity</t>
        </is>
      </c>
      <c r="B69">
        <f>24*0.74*65</f>
        <v/>
      </c>
    </row>
    <row r="70">
      <c r="A70" t="inlineStr">
        <is>
          <t>Demand if we fill Rio AND rebuild web</t>
        </is>
      </c>
      <c r="B70" t="n">
        <v>1171</v>
      </c>
      <c r="C70" t="inlineStr">
        <is>
          <t>exceeds the ceiling by ~17 units</t>
        </is>
      </c>
    </row>
    <row r="71">
      <c r="A71" t="inlineStr">
        <is>
          <t>A 4th printer would give</t>
        </is>
      </c>
      <c r="B71" s="159" t="n">
        <v>32</v>
      </c>
      <c r="C71" t="inlineStr">
        <is>
          <t>units/day -&gt; max ~1,539 units</t>
        </is>
      </c>
    </row>
    <row r="72">
      <c r="A72" t="inlineStr">
        <is>
          <t>Approx capital cost</t>
        </is>
      </c>
      <c r="B72" t="n">
        <v>240000</v>
      </c>
      <c r="C72" t="inlineStr">
        <is>
          <t>24% of idle cash</t>
        </is>
      </c>
    </row>
    <row r="73">
      <c r="A73" t="inlineStr">
        <is>
          <t>Approx added depreciation</t>
        </is>
      </c>
      <c r="B73" t="n">
        <v>10000</v>
      </c>
      <c r="C73" t="inlineStr">
        <is>
          <t>per quarter</t>
        </is>
      </c>
    </row>
    <row r="74">
      <c r="A74" t="inlineStr">
        <is>
          <t>Read</t>
        </is>
      </c>
      <c r="C74" s="174" t="inlineStr">
        <is>
          <t>Buying capacity solves TWO problems at once: it lifts the growth ceiling AND converts idle cash into revenue-producing assets, which is exactly what Asset Management 0.353 is punishing. Note that owning capacity is NOT what caused Q2's $148,652 excess-capacity charge - that came from SCHEDULING operating capacity we did not use. Depreciation is the only carrying cost of ownership.</t>
        </is>
      </c>
    </row>
    <row r="75">
      <c r="A75" t="inlineStr">
        <is>
          <t>Decision framing</t>
        </is>
      </c>
      <c r="C75" s="174" t="inlineStr">
        <is>
          <t>If we want Rio + web + New York we need roughly 33/day, i.e. 2 more printers. If we want Rio + web only, 1 more printer gives comfortable slack. Doing nothing caps us at ~1,154 units.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40" customWidth="1" style="146" min="2" max="2"/>
    <col width="34" customWidth="1" style="146" min="3" max="3"/>
    <col width="30" customWidth="1" style="146" min="4" max="4"/>
    <col width="13" customWidth="1" style="146" min="5" max="5"/>
    <col width="13" customWidth="1" style="146" min="6" max="6"/>
    <col width="13" customWidth="1" style="146" min="7" max="7"/>
    <col width="13" customWidth="1" style="146" min="8" max="8"/>
    <col width="13" customWidth="1" style="146" min="9" max="9"/>
    <col width="13" customWidth="1" style="146" min="10" max="10"/>
  </cols>
  <sheetData>
    <row r="1">
      <c r="A1" s="169" t="inlineStr">
        <is>
          <t>Sales and Service People — World Market, Q3 actual</t>
        </is>
      </c>
    </row>
    <row r="2">
      <c r="A2" s="170" t="inlineStr">
        <is>
          <t>Two hard findings: 7 people per city is the cap (nobody exceeds it, and Amsterdam has us AT it), and we are the only firm besides Bike Bros carrying UNTRAINED staff.</t>
        </is>
      </c>
    </row>
    <row r="4">
      <c r="A4" s="166" t="inlineStr">
        <is>
          <t>City</t>
        </is>
      </c>
      <c r="B4" s="166" t="inlineStr">
        <is>
          <t>Company</t>
        </is>
      </c>
      <c r="C4" s="166" t="inlineStr">
        <is>
          <t>Total</t>
        </is>
      </c>
      <c r="D4" s="166" t="inlineStr">
        <is>
          <t>Service</t>
        </is>
      </c>
      <c r="E4" s="166" t="inlineStr">
        <is>
          <t>Recreation</t>
        </is>
      </c>
      <c r="F4" s="166" t="inlineStr">
        <is>
          <t>Mountain</t>
        </is>
      </c>
      <c r="G4" s="166" t="inlineStr">
        <is>
          <t>Speed</t>
        </is>
      </c>
      <c r="H4" s="166" t="inlineStr">
        <is>
          <t>Assigned</t>
        </is>
      </c>
      <c r="I4" s="166" t="inlineStr">
        <is>
          <t>UNTRAINED</t>
        </is>
      </c>
      <c r="J4" s="166" t="inlineStr">
        <is>
          <t>At 7-cap?</t>
        </is>
      </c>
    </row>
    <row r="5">
      <c r="A5" t="inlineStr">
        <is>
          <t>New York City</t>
        </is>
      </c>
      <c r="B5" t="inlineStr">
        <is>
          <t>BB LLC</t>
        </is>
      </c>
      <c r="C5" t="n">
        <v>7</v>
      </c>
      <c r="D5" t="n">
        <v>1</v>
      </c>
      <c r="E5" t="n">
        <v>0</v>
      </c>
      <c r="F5" t="n">
        <v>3</v>
      </c>
      <c r="G5" t="n">
        <v>3</v>
      </c>
      <c r="H5" t="n">
        <v>7</v>
      </c>
      <c r="I5" t="n">
        <v>0</v>
      </c>
      <c r="J5" t="inlineStr">
        <is>
          <t>YES</t>
        </is>
      </c>
    </row>
    <row r="6">
      <c r="A6" t="inlineStr">
        <is>
          <t>New York City</t>
        </is>
      </c>
      <c r="B6" t="inlineStr">
        <is>
          <t>Spoke'd Up</t>
        </is>
      </c>
      <c r="C6" t="n">
        <v>5</v>
      </c>
      <c r="D6" t="n">
        <v>1</v>
      </c>
      <c r="E6" t="n">
        <v>2</v>
      </c>
      <c r="F6" t="n">
        <v>0</v>
      </c>
      <c r="G6" t="n">
        <v>2</v>
      </c>
      <c r="H6" t="n">
        <v>5</v>
      </c>
      <c r="I6" t="n">
        <v>0</v>
      </c>
    </row>
    <row r="7">
      <c r="A7" t="inlineStr">
        <is>
          <t>New York City</t>
        </is>
      </c>
      <c r="B7" t="inlineStr">
        <is>
          <t>SpaceBikes</t>
        </is>
      </c>
      <c r="C7" t="n">
        <v>7</v>
      </c>
      <c r="D7" t="n">
        <v>2</v>
      </c>
      <c r="E7" t="n">
        <v>2</v>
      </c>
      <c r="F7" t="n">
        <v>0</v>
      </c>
      <c r="G7" t="n">
        <v>3</v>
      </c>
      <c r="H7" t="n">
        <v>7</v>
      </c>
      <c r="I7" t="n">
        <v>0</v>
      </c>
      <c r="J7" t="inlineStr">
        <is>
          <t>YES</t>
        </is>
      </c>
    </row>
    <row r="8">
      <c r="A8" s="171" t="inlineStr">
        <is>
          <t>Rio de Janeiro</t>
        </is>
      </c>
      <c r="B8" s="171" t="inlineStr">
        <is>
          <t>WeBike</t>
        </is>
      </c>
      <c r="C8" s="171" t="n">
        <v>4</v>
      </c>
      <c r="D8" s="171" t="n">
        <v>1</v>
      </c>
      <c r="E8" s="171" t="n">
        <v>0</v>
      </c>
      <c r="F8" s="171" t="n">
        <v>1</v>
      </c>
      <c r="G8" s="171" t="n">
        <v>1</v>
      </c>
      <c r="H8" s="171" t="n">
        <v>3</v>
      </c>
      <c r="I8" s="188" t="n">
        <v>1</v>
      </c>
      <c r="J8" s="171" t="inlineStr"/>
    </row>
    <row r="9">
      <c r="A9" t="inlineStr">
        <is>
          <t>Amsterdam</t>
        </is>
      </c>
      <c r="B9" t="inlineStr">
        <is>
          <t>Bike Bros</t>
        </is>
      </c>
      <c r="C9" t="n">
        <v>7</v>
      </c>
      <c r="D9" t="n">
        <v>2</v>
      </c>
      <c r="E9" t="n">
        <v>0</v>
      </c>
      <c r="F9" t="n">
        <v>2</v>
      </c>
      <c r="G9" t="n">
        <v>2</v>
      </c>
      <c r="H9" t="n">
        <v>6</v>
      </c>
      <c r="I9" s="167" t="n">
        <v>1</v>
      </c>
      <c r="J9" t="inlineStr">
        <is>
          <t>YES</t>
        </is>
      </c>
    </row>
    <row r="10">
      <c r="A10" t="inlineStr">
        <is>
          <t>Amsterdam</t>
        </is>
      </c>
      <c r="B10" t="inlineStr">
        <is>
          <t>LiteCycle</t>
        </is>
      </c>
      <c r="C10" t="n">
        <v>5</v>
      </c>
      <c r="D10" t="n">
        <v>1</v>
      </c>
      <c r="E10" t="n">
        <v>0</v>
      </c>
      <c r="F10" t="n">
        <v>1</v>
      </c>
      <c r="G10" t="n">
        <v>3</v>
      </c>
      <c r="H10" t="n">
        <v>5</v>
      </c>
      <c r="I10" t="n">
        <v>0</v>
      </c>
    </row>
    <row r="11">
      <c r="A11" s="171" t="inlineStr">
        <is>
          <t>Amsterdam</t>
        </is>
      </c>
      <c r="B11" s="171" t="inlineStr">
        <is>
          <t>WeBike</t>
        </is>
      </c>
      <c r="C11" s="171" t="n">
        <v>7</v>
      </c>
      <c r="D11" s="171" t="n">
        <v>1</v>
      </c>
      <c r="E11" s="171" t="n">
        <v>0</v>
      </c>
      <c r="F11" s="171" t="n">
        <v>3</v>
      </c>
      <c r="G11" s="171" t="n">
        <v>2</v>
      </c>
      <c r="H11" s="171" t="n">
        <v>6</v>
      </c>
      <c r="I11" s="188" t="n">
        <v>1</v>
      </c>
      <c r="J11" s="171" t="inlineStr">
        <is>
          <t>YES</t>
        </is>
      </c>
    </row>
    <row r="12">
      <c r="A12" t="inlineStr">
        <is>
          <t>Amsterdam</t>
        </is>
      </c>
      <c r="B12" t="inlineStr">
        <is>
          <t>BB LLC</t>
        </is>
      </c>
      <c r="C12" t="n">
        <v>7</v>
      </c>
      <c r="D12" t="n">
        <v>1</v>
      </c>
      <c r="E12" t="n">
        <v>0</v>
      </c>
      <c r="F12" t="n">
        <v>3</v>
      </c>
      <c r="G12" t="n">
        <v>3</v>
      </c>
      <c r="H12" t="n">
        <v>7</v>
      </c>
      <c r="I12" t="n">
        <v>0</v>
      </c>
      <c r="J12" t="inlineStr">
        <is>
          <t>YES</t>
        </is>
      </c>
    </row>
    <row r="13">
      <c r="A13" t="inlineStr">
        <is>
          <t>Amsterdam</t>
        </is>
      </c>
      <c r="B13" t="inlineStr">
        <is>
          <t>Spoke'd Up</t>
        </is>
      </c>
      <c r="C13" t="n">
        <v>6</v>
      </c>
      <c r="D13" t="n">
        <v>1</v>
      </c>
      <c r="E13" t="n">
        <v>2</v>
      </c>
      <c r="F13" t="n">
        <v>0</v>
      </c>
      <c r="G13" t="n">
        <v>3</v>
      </c>
      <c r="H13" t="n">
        <v>6</v>
      </c>
      <c r="I13" t="n">
        <v>0</v>
      </c>
    </row>
    <row r="14">
      <c r="A14" t="inlineStr">
        <is>
          <t>Amsterdam</t>
        </is>
      </c>
      <c r="B14" t="inlineStr">
        <is>
          <t>SpaceBikes</t>
        </is>
      </c>
      <c r="C14" t="n">
        <v>7</v>
      </c>
      <c r="D14" t="n">
        <v>2</v>
      </c>
      <c r="E14" t="n">
        <v>2</v>
      </c>
      <c r="F14" t="n">
        <v>0</v>
      </c>
      <c r="G14" t="n">
        <v>3</v>
      </c>
      <c r="H14" t="n">
        <v>7</v>
      </c>
      <c r="I14" t="n">
        <v>0</v>
      </c>
      <c r="J14" t="inlineStr">
        <is>
          <t>YES</t>
        </is>
      </c>
    </row>
    <row r="15">
      <c r="A15" t="inlineStr">
        <is>
          <t>Amsterdam</t>
        </is>
      </c>
      <c r="B15" t="inlineStr">
        <is>
          <t>MILC Bikes</t>
        </is>
      </c>
      <c r="C15" t="n">
        <v>7</v>
      </c>
      <c r="D15" t="n">
        <v>1</v>
      </c>
      <c r="E15" t="n">
        <v>3</v>
      </c>
      <c r="F15" t="n">
        <v>0</v>
      </c>
      <c r="G15" t="n">
        <v>3</v>
      </c>
      <c r="H15" t="n">
        <v>7</v>
      </c>
      <c r="I15" t="n">
        <v>0</v>
      </c>
      <c r="J15" t="inlineStr">
        <is>
          <t>YES</t>
        </is>
      </c>
    </row>
    <row r="16">
      <c r="A16" t="inlineStr">
        <is>
          <t>Bangalore</t>
        </is>
      </c>
      <c r="B16" t="inlineStr">
        <is>
          <t>LiteCycle</t>
        </is>
      </c>
      <c r="C16" t="n">
        <v>5</v>
      </c>
      <c r="D16" t="n">
        <v>1</v>
      </c>
      <c r="E16" t="n">
        <v>0</v>
      </c>
      <c r="F16" t="n">
        <v>1</v>
      </c>
      <c r="G16" t="n">
        <v>3</v>
      </c>
      <c r="H16" t="n">
        <v>5</v>
      </c>
      <c r="I16" t="n">
        <v>0</v>
      </c>
    </row>
    <row r="19">
      <c r="A19" s="166" t="inlineStr">
        <is>
          <t>FIRM ROLLUP</t>
        </is>
      </c>
      <c r="B19" s="166" t="inlineStr">
        <is>
          <t>Store people</t>
        </is>
      </c>
      <c r="C19" s="166" t="inlineStr">
        <is>
          <t>Service</t>
        </is>
      </c>
      <c r="D19" s="166" t="inlineStr">
        <is>
          <t>Recreation</t>
        </is>
      </c>
      <c r="E19" s="166" t="inlineStr">
        <is>
          <t>Mountain</t>
        </is>
      </c>
      <c r="F19" s="166" t="inlineStr">
        <is>
          <t>Speed</t>
        </is>
      </c>
      <c r="G19" s="166" t="inlineStr">
        <is>
          <t>Untrained</t>
        </is>
      </c>
      <c r="H19" s="166" t="inlineStr">
        <is>
          <t>Store demand</t>
        </is>
      </c>
      <c r="I19" s="166" t="inlineStr">
        <is>
          <t>Demand / store person</t>
        </is>
      </c>
    </row>
    <row r="20">
      <c r="A20" t="inlineStr">
        <is>
          <t>Bike Bros</t>
        </is>
      </c>
      <c r="B20" t="n">
        <v>7</v>
      </c>
      <c r="C20" t="n">
        <v>2</v>
      </c>
      <c r="D20" t="n">
        <v>0</v>
      </c>
      <c r="E20" t="n">
        <v>2</v>
      </c>
      <c r="F20" t="n">
        <v>2</v>
      </c>
      <c r="G20" t="n">
        <v>1</v>
      </c>
      <c r="H20" t="n">
        <v>490</v>
      </c>
      <c r="I20" s="189" t="n">
        <v>70</v>
      </c>
    </row>
    <row r="21">
      <c r="A21" t="inlineStr">
        <is>
          <t>BB LLC</t>
        </is>
      </c>
      <c r="B21" t="n">
        <v>14</v>
      </c>
      <c r="C21" t="n">
        <v>2</v>
      </c>
      <c r="D21" t="n">
        <v>0</v>
      </c>
      <c r="E21" t="n">
        <v>6</v>
      </c>
      <c r="F21" t="n">
        <v>6</v>
      </c>
      <c r="G21" t="n">
        <v>0</v>
      </c>
      <c r="H21" t="n">
        <v>938</v>
      </c>
      <c r="I21" s="189" t="n">
        <v>67</v>
      </c>
    </row>
    <row r="22">
      <c r="A22" t="inlineStr">
        <is>
          <t>Spoke'd Up</t>
        </is>
      </c>
      <c r="B22" t="n">
        <v>11</v>
      </c>
      <c r="C22" t="n">
        <v>2</v>
      </c>
      <c r="D22" t="n">
        <v>4</v>
      </c>
      <c r="E22" t="n">
        <v>0</v>
      </c>
      <c r="F22" t="n">
        <v>5</v>
      </c>
      <c r="G22" t="n">
        <v>0</v>
      </c>
      <c r="H22" t="n">
        <v>716</v>
      </c>
      <c r="I22" s="189" t="n">
        <v>65.09090909090909</v>
      </c>
    </row>
    <row r="23">
      <c r="A23" t="inlineStr">
        <is>
          <t>SpaceBikes</t>
        </is>
      </c>
      <c r="B23" t="n">
        <v>14</v>
      </c>
      <c r="C23" t="n">
        <v>4</v>
      </c>
      <c r="D23" t="n">
        <v>4</v>
      </c>
      <c r="E23" t="n">
        <v>0</v>
      </c>
      <c r="F23" t="n">
        <v>6</v>
      </c>
      <c r="G23" t="n">
        <v>0</v>
      </c>
      <c r="H23" t="n">
        <v>807</v>
      </c>
      <c r="I23" s="189" t="n">
        <v>57.64285714285715</v>
      </c>
    </row>
    <row r="24">
      <c r="A24" t="inlineStr">
        <is>
          <t>LiteCycle</t>
        </is>
      </c>
      <c r="B24" t="n">
        <v>10</v>
      </c>
      <c r="C24" t="n">
        <v>2</v>
      </c>
      <c r="D24" t="n">
        <v>0</v>
      </c>
      <c r="E24" t="n">
        <v>2</v>
      </c>
      <c r="F24" t="n">
        <v>6</v>
      </c>
      <c r="G24" t="n">
        <v>0</v>
      </c>
      <c r="H24" t="n">
        <v>549</v>
      </c>
      <c r="I24" s="189" t="n">
        <v>54.9</v>
      </c>
    </row>
    <row r="25">
      <c r="A25" t="inlineStr">
        <is>
          <t>MILC Bikes</t>
        </is>
      </c>
      <c r="B25" t="n">
        <v>7</v>
      </c>
      <c r="C25" t="n">
        <v>1</v>
      </c>
      <c r="D25" t="n">
        <v>3</v>
      </c>
      <c r="E25" t="n">
        <v>0</v>
      </c>
      <c r="F25" t="n">
        <v>3</v>
      </c>
      <c r="G25" t="n">
        <v>0</v>
      </c>
      <c r="H25" t="n">
        <v>364</v>
      </c>
      <c r="I25" s="189" t="n">
        <v>52</v>
      </c>
    </row>
    <row r="26">
      <c r="A26" s="171" t="inlineStr">
        <is>
          <t>WeBike</t>
        </is>
      </c>
      <c r="B26" s="171" t="n">
        <v>11</v>
      </c>
      <c r="C26" s="171" t="n">
        <v>2</v>
      </c>
      <c r="D26" s="171" t="n">
        <v>0</v>
      </c>
      <c r="E26" s="171" t="n">
        <v>4</v>
      </c>
      <c r="F26" s="171" t="n">
        <v>3</v>
      </c>
      <c r="G26" s="188" t="n">
        <v>2</v>
      </c>
      <c r="H26" s="171" t="n">
        <v>507</v>
      </c>
      <c r="I26" s="190" t="n">
        <v>46.09090909090909</v>
      </c>
    </row>
    <row r="29">
      <c r="A29" s="166" t="inlineStr">
        <is>
          <t>PRODUCTIVITY GAP</t>
        </is>
      </c>
      <c r="B29" s="166" t="inlineStr">
        <is>
          <t>Value</t>
        </is>
      </c>
      <c r="C29" s="166" t="inlineStr">
        <is>
          <t>Note</t>
        </is>
      </c>
    </row>
    <row r="30">
      <c r="A30" t="inlineStr">
        <is>
          <t>WeBike demand per store person</t>
        </is>
      </c>
      <c r="B30" s="191" t="n">
        <v>46.09090909090909</v>
      </c>
      <c r="C30" s="170" t="inlineStr">
        <is>
          <t>LOWEST in the industry</t>
        </is>
      </c>
    </row>
    <row r="31">
      <c r="A31" t="inlineStr">
        <is>
          <t>Industry average (excl. us)</t>
        </is>
      </c>
      <c r="B31" s="160" t="n">
        <v>61.1056277056277</v>
      </c>
      <c r="C31" s="170" t="inlineStr">
        <is>
          <t>Bike Bros 70.0 is best; BB LLC 67.0</t>
        </is>
      </c>
    </row>
    <row r="32">
      <c r="A32" t="inlineStr">
        <is>
          <t>Shortfall per person</t>
        </is>
      </c>
      <c r="B32" s="189">
        <f>C31-C30</f>
        <v/>
      </c>
      <c r="C32" s="170" t="n"/>
    </row>
    <row r="33">
      <c r="A33" t="inlineStr">
        <is>
          <t>Our store people</t>
        </is>
      </c>
      <c r="B33" t="n">
        <v>11</v>
      </c>
      <c r="C33" s="170" t="n"/>
    </row>
    <row r="34">
      <c r="A34" t="inlineStr">
        <is>
          <t>Store demand if we matched the average</t>
        </is>
      </c>
      <c r="B34">
        <f>C31*C33</f>
        <v/>
      </c>
      <c r="C34" s="170" t="n"/>
    </row>
    <row r="35">
      <c r="A35" t="inlineStr">
        <is>
          <t>Additional units available at current headcount</t>
        </is>
      </c>
      <c r="B35" s="159">
        <f>C34-507</f>
        <v/>
      </c>
      <c r="C35" s="170" t="inlineStr">
        <is>
          <t>no new hires needed</t>
        </is>
      </c>
    </row>
    <row r="38">
      <c r="A38" s="166" t="inlineStr">
        <is>
          <t>THE 7-PERSON CITY CAP — this settles depth vs breadth</t>
        </is>
      </c>
      <c r="B38" s="166" t="inlineStr">
        <is>
          <t>Value</t>
        </is>
      </c>
      <c r="C38" s="166" t="inlineStr">
        <is>
          <t>Note</t>
        </is>
      </c>
    </row>
    <row r="39">
      <c r="A39" t="inlineStr">
        <is>
          <t>Maximum staff observed in any city (all 12 rows)</t>
        </is>
      </c>
      <c r="B39" t="n">
        <v>7</v>
      </c>
      <c r="C39" s="170" t="inlineStr">
        <is>
          <t>BB LLC, SpaceBikes, Bike Bros, MILC and our own Amsterdam all sit at 7</t>
        </is>
      </c>
    </row>
    <row r="40">
      <c r="A40" t="inlineStr">
        <is>
          <t>WeBike Amsterdam headcount</t>
        </is>
      </c>
      <c r="B40" s="167" t="n">
        <v>7</v>
      </c>
      <c r="C40" s="170" t="inlineStr">
        <is>
          <t>AT THE CAP - we cannot add a single person there</t>
        </is>
      </c>
    </row>
    <row r="41">
      <c r="A41" t="inlineStr">
        <is>
          <t>WeBike Rio headcount</t>
        </is>
      </c>
      <c r="B41" s="159" t="n">
        <v>4</v>
      </c>
      <c r="C41" s="170" t="inlineStr">
        <is>
          <t>3 SLOTS OPEN - the only store depth available to us</t>
        </is>
      </c>
    </row>
    <row r="42">
      <c r="A42" t="inlineStr">
        <is>
          <t>Read</t>
        </is>
      </c>
      <c r="C42" s="174" t="inlineStr">
        <is>
          <t>'Deepen Amsterdam' is not a legal move. Amsterdam is maxed at 7. The only ways to add store selling capacity are (a) fill Rio's 3 open slots, or (b) open a new city, which unlocks 7 more.</t>
        </is>
      </c>
    </row>
    <row r="45">
      <c r="A45" s="166" t="inlineStr">
        <is>
          <t>RIO vs AMSTERDAM — where a body is worth more</t>
        </is>
      </c>
      <c r="B45" s="166" t="inlineStr">
        <is>
          <t>Rio</t>
        </is>
      </c>
      <c r="C45" s="166" t="inlineStr">
        <is>
          <t>Amsterdam</t>
        </is>
      </c>
    </row>
    <row r="46">
      <c r="A46" t="inlineStr">
        <is>
          <t>Store people</t>
        </is>
      </c>
      <c r="B46" t="n">
        <v>4</v>
      </c>
      <c r="C46" t="n">
        <v>7</v>
      </c>
    </row>
    <row r="47">
      <c r="A47" t="inlineStr">
        <is>
          <t>City demand (all channels)</t>
        </is>
      </c>
      <c r="B47" t="n">
        <v>270</v>
      </c>
      <c r="C47" t="n">
        <v>295</v>
      </c>
    </row>
    <row r="48">
      <c r="A48" t="inlineStr">
        <is>
          <t>Demand per person</t>
        </is>
      </c>
      <c r="B48" s="160">
        <f>C47/C46</f>
        <v/>
      </c>
      <c r="C48" s="191">
        <f>D47/D46</f>
        <v/>
      </c>
    </row>
    <row r="49">
      <c r="A49" t="inlineStr">
        <is>
          <t>Rival stores in city</t>
        </is>
      </c>
      <c r="B49" t="n">
        <v>0</v>
      </c>
      <c r="C49" t="n">
        <v>6</v>
      </c>
    </row>
    <row r="50">
      <c r="A50" t="inlineStr">
        <is>
          <t>Open slots to the 7-cap</t>
        </is>
      </c>
      <c r="B50" t="n">
        <v>3</v>
      </c>
      <c r="C50" t="n">
        <v>0</v>
      </c>
    </row>
    <row r="51">
      <c r="A51" t="inlineStr">
        <is>
          <t>Read</t>
        </is>
      </c>
      <c r="B51" s="174" t="inlineStr">
        <is>
          <t>A Rio head is worth ~60% more than an Amsterdam head because Rio has no rival store. Filling the 3 open Rio slots is the highest-return staffing move on the board.</t>
        </is>
      </c>
    </row>
    <row r="52">
      <c r="A52" t="inlineStr">
        <is>
          <t>CAVEAT</t>
        </is>
      </c>
      <c r="B52" s="170" t="inlineStr">
        <is>
          <t>City demand includes web orders, so per-person figures are directional rather than pure store productivity. The ranking is robust; the exact multiple is not.</t>
        </is>
      </c>
    </row>
    <row r="55">
      <c r="A55" s="166" t="inlineStr">
        <is>
          <t>UNTRAINED STAFF — a free win we skipped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WeBike untrained people</t>
        </is>
      </c>
      <c r="B56" s="167" t="n">
        <v>2</v>
      </c>
      <c r="C56" s="170" t="inlineStr">
        <is>
          <t>1 in Rio, 1 in Amsterdam</t>
        </is>
      </c>
    </row>
    <row r="57">
      <c r="A57" t="inlineStr">
        <is>
          <t>Firms with any untrained staff</t>
        </is>
      </c>
      <c r="B57" t="inlineStr">
        <is>
          <t>WeBike (2), Bike Bros (1)</t>
        </is>
      </c>
      <c r="C57" s="170" t="inlineStr">
        <is>
          <t>the other five are 100% trained</t>
        </is>
      </c>
    </row>
    <row r="58">
      <c r="A58" t="inlineStr">
        <is>
          <t>Mountain training cost</t>
        </is>
      </c>
      <c r="B58" t="n">
        <v>400</v>
      </c>
      <c r="C58" s="170" t="inlineStr">
        <is>
          <t>per quarter</t>
        </is>
      </c>
    </row>
    <row r="59">
      <c r="A59" t="inlineStr">
        <is>
          <t>Speed training cost</t>
        </is>
      </c>
      <c r="B59" t="n">
        <v>400</v>
      </c>
      <c r="C59" s="170" t="inlineStr">
        <is>
          <t>per quarter</t>
        </is>
      </c>
    </row>
    <row r="60">
      <c r="A60" t="inlineStr">
        <is>
          <t>Cost to train both</t>
        </is>
      </c>
      <c r="B60" s="159" t="n">
        <v>800</v>
      </c>
      <c r="C60" s="170" t="inlineStr">
        <is>
          <t>trivial against ~$750 contribution PER UNIT</t>
        </is>
      </c>
    </row>
    <row r="61">
      <c r="A61" t="inlineStr">
        <is>
          <t>Read</t>
        </is>
      </c>
      <c r="C61" s="174" t="inlineStr">
        <is>
          <t>We are paying two full salaries ($24,425/yr each) for untrained sellers while every serious competitor trains everyone. Fix this first - it costs $800.</t>
        </is>
      </c>
    </row>
    <row r="64">
      <c r="A64" s="166" t="inlineStr">
        <is>
          <t>SPECIALISATION vs SEGMENT RESULT</t>
        </is>
      </c>
      <c r="B64" s="166" t="inlineStr">
        <is>
          <t>Specialists</t>
        </is>
      </c>
      <c r="C64" s="166" t="inlineStr">
        <is>
          <t>Segment demand</t>
        </is>
      </c>
      <c r="D64" s="166" t="inlineStr">
        <is>
          <t>Demand per specialist</t>
        </is>
      </c>
    </row>
    <row r="65">
      <c r="A65" s="166" t="inlineStr">
        <is>
          <t>MOUNTAIN</t>
        </is>
      </c>
      <c r="D65" s="189" t="n"/>
    </row>
    <row r="66">
      <c r="A66" t="inlineStr">
        <is>
          <t>LiteCycle</t>
        </is>
      </c>
      <c r="B66" t="n">
        <v>2</v>
      </c>
      <c r="C66" t="n">
        <v>340</v>
      </c>
      <c r="D66" s="189">
        <f>C66/B66</f>
        <v/>
      </c>
    </row>
    <row r="67">
      <c r="A67" t="inlineStr">
        <is>
          <t>BB LLC</t>
        </is>
      </c>
      <c r="B67" t="n">
        <v>6</v>
      </c>
      <c r="C67" t="n">
        <v>751</v>
      </c>
      <c r="D67" s="189">
        <f>C67/B67</f>
        <v/>
      </c>
    </row>
    <row r="68">
      <c r="A68" s="173" t="inlineStr">
        <is>
          <t>WeBike</t>
        </is>
      </c>
      <c r="B68" t="n">
        <v>4</v>
      </c>
      <c r="C68" t="n">
        <v>358</v>
      </c>
      <c r="D68" s="189">
        <f>C68/B68</f>
        <v/>
      </c>
    </row>
    <row r="69">
      <c r="A69" t="inlineStr">
        <is>
          <t>Bike Bros</t>
        </is>
      </c>
      <c r="B69" t="n">
        <v>2</v>
      </c>
      <c r="C69" t="n">
        <v>172</v>
      </c>
      <c r="D69" s="189">
        <f>C69/B69</f>
        <v/>
      </c>
    </row>
    <row r="70">
      <c r="A70" s="166" t="inlineStr">
        <is>
          <t>SPEED</t>
        </is>
      </c>
      <c r="D70" s="189" t="n"/>
    </row>
    <row r="71">
      <c r="A71" t="inlineStr">
        <is>
          <t>BB LLC</t>
        </is>
      </c>
      <c r="B71" t="n">
        <v>6</v>
      </c>
      <c r="C71" t="n">
        <v>657</v>
      </c>
      <c r="D71" s="189">
        <f>C71/B71</f>
        <v/>
      </c>
    </row>
    <row r="72">
      <c r="A72" t="inlineStr">
        <is>
          <t>MILC Bikes</t>
        </is>
      </c>
      <c r="B72" t="n">
        <v>3</v>
      </c>
      <c r="C72" t="n">
        <v>328</v>
      </c>
      <c r="D72" s="189">
        <f>C72/B72</f>
        <v/>
      </c>
    </row>
    <row r="73">
      <c r="A73" t="inlineStr">
        <is>
          <t>SpaceBikes</t>
        </is>
      </c>
      <c r="B73" t="n">
        <v>6</v>
      </c>
      <c r="C73" t="n">
        <v>588</v>
      </c>
      <c r="D73" s="189">
        <f>C73/B73</f>
        <v/>
      </c>
    </row>
    <row r="74">
      <c r="A74" t="inlineStr">
        <is>
          <t>LiteCycle</t>
        </is>
      </c>
      <c r="B74" t="n">
        <v>6</v>
      </c>
      <c r="C74" t="n">
        <v>548</v>
      </c>
      <c r="D74" s="189">
        <f>C74/B74</f>
        <v/>
      </c>
    </row>
    <row r="75">
      <c r="A75" t="inlineStr">
        <is>
          <t>Spoke'd Up</t>
        </is>
      </c>
      <c r="B75" t="n">
        <v>5</v>
      </c>
      <c r="C75" t="n">
        <v>362</v>
      </c>
      <c r="D75" s="189">
        <f>C75/B75</f>
        <v/>
      </c>
    </row>
    <row r="76">
      <c r="A76" s="173" t="inlineStr">
        <is>
          <t>WeBike</t>
        </is>
      </c>
      <c r="B76" s="167" t="n">
        <v>3</v>
      </c>
      <c r="C76" t="n">
        <v>215</v>
      </c>
      <c r="D76" s="189">
        <f>C76/B76</f>
        <v/>
      </c>
    </row>
    <row r="77">
      <c r="A77" s="166" t="inlineStr">
        <is>
          <t>RECREATION</t>
        </is>
      </c>
      <c r="D77" s="189" t="n"/>
    </row>
    <row r="78">
      <c r="A78" t="inlineStr">
        <is>
          <t>SpaceBikes</t>
        </is>
      </c>
      <c r="B78" t="n">
        <v>4</v>
      </c>
      <c r="C78" t="n">
        <v>710</v>
      </c>
      <c r="D78" s="189">
        <f>C78/B78</f>
        <v/>
      </c>
    </row>
    <row r="79">
      <c r="A79" t="inlineStr">
        <is>
          <t>MILC Bikes</t>
        </is>
      </c>
      <c r="B79" t="n">
        <v>3</v>
      </c>
      <c r="C79" t="n">
        <v>471</v>
      </c>
      <c r="D79" s="189">
        <f>C79/B79</f>
        <v/>
      </c>
    </row>
    <row r="80">
      <c r="A80" t="inlineStr">
        <is>
          <t>Spoke'd Up</t>
        </is>
      </c>
      <c r="B80" t="n">
        <v>4</v>
      </c>
      <c r="C80" t="n">
        <v>492</v>
      </c>
      <c r="D80" s="189">
        <f>C80/B80</f>
        <v/>
      </c>
    </row>
    <row r="81">
      <c r="A81" s="173" t="inlineStr">
        <is>
          <t>WeBike</t>
        </is>
      </c>
      <c r="B81" t="n">
        <v>0</v>
      </c>
      <c r="C81" t="n">
        <v>54</v>
      </c>
      <c r="D81" s="189" t="inlineStr">
        <is>
          <t>spillover only - no Rec specialists</t>
        </is>
      </c>
    </row>
    <row r="84">
      <c r="A84" s="166" t="inlineStr">
        <is>
          <t>Q4 STAFFING PLAN</t>
        </is>
      </c>
      <c r="B84" s="166" t="inlineStr">
        <is>
          <t>Action</t>
        </is>
      </c>
      <c r="C84" s="166" t="inlineStr">
        <is>
          <t>Cost</t>
        </is>
      </c>
      <c r="D84" s="166" t="inlineStr">
        <is>
          <t>Expected units</t>
        </is>
      </c>
    </row>
    <row r="85">
      <c r="A85" t="inlineStr">
        <is>
          <t>1. Train the 2 untrained</t>
        </is>
      </c>
      <c r="B85" s="174" t="inlineStr">
        <is>
          <t>1 Mountain (Rio) + 1 Speed (Amsterdam)</t>
        </is>
      </c>
      <c r="C85" t="n">
        <v>800</v>
      </c>
      <c r="D85" t="inlineStr">
        <is>
          <t>free productivity</t>
        </is>
      </c>
    </row>
    <row r="86">
      <c r="A86" t="inlineStr">
        <is>
          <t>2. Fill Rio to the 7-cap</t>
        </is>
      </c>
      <c r="B86" s="174" t="inlineStr">
        <is>
          <t>+3 people: 1 Mountain, 1 Speed, 1 Service</t>
        </is>
      </c>
      <c r="C86" t="inlineStr">
        <is>
          <t>~$18,300/qtr salary + hire + train</t>
        </is>
      </c>
      <c r="D86" t="inlineStr">
        <is>
          <t>~+200 at Rio's ~67/head</t>
        </is>
      </c>
    </row>
    <row r="87">
      <c r="A87" t="inlineStr">
        <is>
          <t>3. Rebuild web staff</t>
        </is>
      </c>
      <c r="B87" s="174" t="inlineStr">
        <is>
          <t>3 -&gt; 6 web sales/support</t>
        </is>
      </c>
      <c r="C87" t="inlineStr">
        <is>
          <t>~$18,300/qtr</t>
        </is>
      </c>
      <c r="D87" t="inlineStr">
        <is>
          <t>~+152 (see Q3_Channel)</t>
        </is>
      </c>
    </row>
    <row r="88">
      <c r="A88" t="inlineStr">
        <is>
          <t>4. Add Speed specialists</t>
        </is>
      </c>
      <c r="B88" s="174" t="inlineStr">
        <is>
          <t>we have 3 vs BB LLC/LiteCycle/SpaceBikes 6</t>
        </is>
      </c>
      <c r="C88" t="inlineStr">
        <is>
          <t>included above</t>
        </is>
      </c>
      <c r="D88" t="inlineStr">
        <is>
          <t>Speed is our weakest segment AND the largest</t>
        </is>
      </c>
    </row>
    <row r="89">
      <c r="A89" t="inlineStr">
        <is>
          <t>5. New York store (if funded)</t>
        </is>
      </c>
      <c r="B89" s="174" t="inlineStr">
        <is>
          <t>unlocks 7 fresh slots; staff Speed-heavy</t>
        </is>
      </c>
      <c r="C89" t="inlineStr">
        <is>
          <t>setup + lease + salaries</t>
        </is>
      </c>
      <c r="D89" t="inlineStr">
        <is>
          <t>~400-570 at incumbent rates</t>
        </is>
      </c>
    </row>
    <row r="90">
      <c r="A90" t="inlineStr">
        <is>
          <t>NOT possible</t>
        </is>
      </c>
      <c r="B90" s="185" t="inlineStr">
        <is>
          <t>Adding anyone in Amsterdam - we are at the 7-person cap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16" customWidth="1" style="146" min="2" max="2"/>
    <col width="20" customWidth="1" style="146" min="3" max="3"/>
    <col width="58" customWidth="1" style="146" min="4" max="4"/>
    <col width="14" customWidth="1" style="146" min="5" max="5"/>
    <col width="14" customWidth="1" style="146" min="6" max="6"/>
    <col width="14" customWidth="1" style="146" min="7" max="7"/>
    <col width="14" customWidth="1" style="146" min="8" max="8"/>
  </cols>
  <sheetData>
    <row r="1">
      <c r="A1" s="169" t="inlineStr">
        <is>
          <t>Web Sales &amp; Service + Web Productivity Budgets — Q3 actual</t>
        </is>
      </c>
    </row>
    <row r="2">
      <c r="A2" s="170" t="inlineStr">
        <is>
          <t>Two findings: web staff is ALSO capped at 7 and we sit at 3, and there are FOUR web productivity tactics of which we fund ONE. Every firm running all four gets 435-569 web units; the two running fewer get 120-138.</t>
        </is>
      </c>
    </row>
    <row r="4">
      <c r="A4" s="166" t="inlineStr">
        <is>
          <t>WEB STAFF</t>
        </is>
      </c>
      <c r="B4" s="166" t="inlineStr">
        <is>
          <t>Sales</t>
        </is>
      </c>
      <c r="C4" s="166" t="inlineStr">
        <is>
          <t>Service</t>
        </is>
      </c>
      <c r="D4" s="166" t="inlineStr">
        <is>
          <t>Total</t>
        </is>
      </c>
      <c r="E4" s="166" t="inlineStr">
        <is>
          <t>Web demand</t>
        </is>
      </c>
      <c r="F4" s="166" t="inlineStr">
        <is>
          <t>Demand / web head</t>
        </is>
      </c>
      <c r="G4" s="166" t="inlineStr">
        <is>
          <t>Slots open to 7</t>
        </is>
      </c>
    </row>
    <row r="5">
      <c r="A5" t="inlineStr">
        <is>
          <t>BB LLC</t>
        </is>
      </c>
      <c r="B5" t="n">
        <v>5</v>
      </c>
      <c r="C5" t="n">
        <v>2</v>
      </c>
      <c r="D5" t="n">
        <v>7</v>
      </c>
      <c r="E5" t="n">
        <v>569</v>
      </c>
      <c r="F5" s="189" t="n">
        <v>81.28571428571429</v>
      </c>
      <c r="G5" t="n">
        <v>0</v>
      </c>
    </row>
    <row r="6">
      <c r="A6" t="inlineStr">
        <is>
          <t>SpaceBikes</t>
        </is>
      </c>
      <c r="B6" t="n">
        <v>5</v>
      </c>
      <c r="C6" t="n">
        <v>2</v>
      </c>
      <c r="D6" t="n">
        <v>7</v>
      </c>
      <c r="E6" t="n">
        <v>491</v>
      </c>
      <c r="F6" s="189" t="n">
        <v>70.14285714285714</v>
      </c>
      <c r="G6" t="n">
        <v>0</v>
      </c>
    </row>
    <row r="7">
      <c r="A7" t="inlineStr">
        <is>
          <t>LiteCycle</t>
        </is>
      </c>
      <c r="B7" t="n">
        <v>5</v>
      </c>
      <c r="C7" t="n">
        <v>2</v>
      </c>
      <c r="D7" t="n">
        <v>7</v>
      </c>
      <c r="E7" t="n">
        <v>435</v>
      </c>
      <c r="F7" s="189" t="n">
        <v>62.14285714285715</v>
      </c>
      <c r="G7" t="n">
        <v>0</v>
      </c>
    </row>
    <row r="8">
      <c r="A8" t="inlineStr">
        <is>
          <t>MILC Bikes</t>
        </is>
      </c>
      <c r="B8" t="n">
        <v>6</v>
      </c>
      <c r="C8" t="n">
        <v>1</v>
      </c>
      <c r="D8" t="n">
        <v>7</v>
      </c>
      <c r="E8" t="n">
        <v>435</v>
      </c>
      <c r="F8" s="189" t="n">
        <v>62.14285714285715</v>
      </c>
      <c r="G8" t="n">
        <v>0</v>
      </c>
    </row>
    <row r="9">
      <c r="A9" t="inlineStr">
        <is>
          <t>Spoke'd Up</t>
        </is>
      </c>
      <c r="B9" t="n">
        <v>2</v>
      </c>
      <c r="C9" t="n">
        <v>1</v>
      </c>
      <c r="D9" t="n">
        <v>3</v>
      </c>
      <c r="E9" t="n">
        <v>138</v>
      </c>
      <c r="F9" s="189" t="n">
        <v>46</v>
      </c>
      <c r="G9" t="n">
        <v>4</v>
      </c>
    </row>
    <row r="10">
      <c r="A10" s="171" t="inlineStr">
        <is>
          <t>WeBike</t>
        </is>
      </c>
      <c r="B10" s="171" t="n">
        <v>2</v>
      </c>
      <c r="C10" s="171" t="n">
        <v>1</v>
      </c>
      <c r="D10" s="171" t="n">
        <v>3</v>
      </c>
      <c r="E10" s="171" t="n">
        <v>120</v>
      </c>
      <c r="F10" s="190" t="n">
        <v>40</v>
      </c>
      <c r="G10" s="188" t="n">
        <v>4</v>
      </c>
    </row>
    <row r="11">
      <c r="A11" t="inlineStr">
        <is>
          <t>Bike Bros</t>
        </is>
      </c>
      <c r="B11" t="n">
        <v>0</v>
      </c>
      <c r="C11" t="n">
        <v>0</v>
      </c>
      <c r="D11" t="n">
        <v>0</v>
      </c>
      <c r="E11" t="n">
        <v>0</v>
      </c>
      <c r="F11" s="189" t="n">
        <v>0</v>
      </c>
      <c r="G11" t="inlineStr">
        <is>
          <t>no web centre</t>
        </is>
      </c>
    </row>
    <row r="14">
      <c r="A14" s="166" t="inlineStr">
        <is>
          <t>THE WEB STAFF CAP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Max web staff observed</t>
        </is>
      </c>
      <c r="B15" t="n">
        <v>7</v>
      </c>
      <c r="C15" s="170" t="inlineStr">
        <is>
          <t>LiteCycle, BB LLC, SpaceBikes and MILC all sit exactly at 7</t>
        </is>
      </c>
    </row>
    <row r="16">
      <c r="A16" t="inlineStr">
        <is>
          <t>WeBike web staff</t>
        </is>
      </c>
      <c r="B16" s="167" t="n">
        <v>3</v>
      </c>
      <c r="C16" s="170" t="inlineStr">
        <is>
          <t>2 sales + 1 service - we CUT to this in Q3</t>
        </is>
      </c>
    </row>
    <row r="17">
      <c r="A17" t="inlineStr">
        <is>
          <t>Slots open</t>
        </is>
      </c>
      <c r="B17" t="n">
        <v>4</v>
      </c>
      <c r="C17" s="170" t="inlineStr">
        <is>
          <t>same 7-person ceiling as the city stores</t>
        </is>
      </c>
    </row>
    <row r="18">
      <c r="A18" t="inlineStr">
        <is>
          <t>Our demand per web head</t>
        </is>
      </c>
      <c r="B18" s="167" t="n">
        <v>40</v>
      </c>
      <c r="C18" s="170" t="inlineStr">
        <is>
          <t>LOWEST of all six firms with a web centre</t>
        </is>
      </c>
    </row>
    <row r="19">
      <c r="A19" t="inlineStr">
        <is>
          <t>Leader demand per web head</t>
        </is>
      </c>
      <c r="B19" t="n">
        <v>81.3</v>
      </c>
      <c r="C19" s="170" t="inlineStr">
        <is>
          <t>BB LLC</t>
        </is>
      </c>
    </row>
    <row r="20">
      <c r="A20" t="inlineStr">
        <is>
          <t>Read</t>
        </is>
      </c>
      <c r="C20" s="174" t="inlineStr">
        <is>
          <t>The web centre has the same 7-person ceiling as a store, but unlike Amsterdam we are nowhere near it. Four open slots and the worst output per head is the largest single pool of unclaimed demand we have found.</t>
        </is>
      </c>
    </row>
    <row r="23">
      <c r="A23" s="166" t="inlineStr">
        <is>
          <t>WEB PRODUCTIVITY BUDGETS</t>
        </is>
      </c>
      <c r="B23" s="166" t="inlineStr">
        <is>
          <t>LiteCycle</t>
        </is>
      </c>
      <c r="C23" s="166" t="inlineStr">
        <is>
          <t>WeBike</t>
        </is>
      </c>
      <c r="D23" s="166" t="inlineStr">
        <is>
          <t>BB LLC</t>
        </is>
      </c>
      <c r="E23" s="166" t="inlineStr">
        <is>
          <t>Spoke'd Up</t>
        </is>
      </c>
      <c r="F23" s="166" t="inlineStr">
        <is>
          <t>SpaceBikes</t>
        </is>
      </c>
      <c r="G23" s="166" t="inlineStr">
        <is>
          <t>MILC Bikes</t>
        </is>
      </c>
      <c r="H23" s="166" t="inlineStr">
        <is>
          <t>Average</t>
        </is>
      </c>
    </row>
    <row r="24">
      <c r="A24" t="inlineStr">
        <is>
          <t>Toll-free phone advising / service calls</t>
        </is>
      </c>
      <c r="B24" t="n">
        <v>7000</v>
      </c>
      <c r="C24" s="171" t="n">
        <v>6000</v>
      </c>
      <c r="D24" t="n">
        <v>9000</v>
      </c>
      <c r="E24" t="n">
        <v>3000</v>
      </c>
      <c r="F24" t="n">
        <v>6000</v>
      </c>
      <c r="G24" t="n">
        <v>3000</v>
      </c>
      <c r="H24" t="n">
        <v>5667</v>
      </c>
    </row>
    <row r="25">
      <c r="A25" t="inlineStr">
        <is>
          <t>Advanced shopping cart &amp; checkout</t>
        </is>
      </c>
      <c r="B25" t="n">
        <v>7000</v>
      </c>
      <c r="C25" s="188" t="n">
        <v>0</v>
      </c>
      <c r="D25" t="n">
        <v>7000</v>
      </c>
      <c r="E25" t="n">
        <v>0</v>
      </c>
      <c r="F25" t="n">
        <v>7000</v>
      </c>
      <c r="G25" t="n">
        <v>7000</v>
      </c>
      <c r="H25" t="n">
        <v>7000</v>
      </c>
    </row>
    <row r="26">
      <c r="A26" t="inlineStr">
        <is>
          <t>Continuous page upgrades (content, appeal, navigation)</t>
        </is>
      </c>
      <c r="B26" t="n">
        <v>7000</v>
      </c>
      <c r="C26" s="188" t="n">
        <v>0</v>
      </c>
      <c r="D26" t="n">
        <v>9000</v>
      </c>
      <c r="E26" t="n">
        <v>6000</v>
      </c>
      <c r="F26" t="n">
        <v>12000</v>
      </c>
      <c r="G26" t="n">
        <v>6000</v>
      </c>
      <c r="H26" t="n">
        <v>6667</v>
      </c>
    </row>
    <row r="27">
      <c r="A27" t="inlineStr">
        <is>
          <t>Order tracking software</t>
        </is>
      </c>
      <c r="B27" t="n">
        <v>8000</v>
      </c>
      <c r="C27" s="188" t="n">
        <v>0</v>
      </c>
      <c r="D27" t="n">
        <v>8000</v>
      </c>
      <c r="E27" t="n">
        <v>0</v>
      </c>
      <c r="F27" t="n">
        <v>8000</v>
      </c>
      <c r="G27" t="n">
        <v>8000</v>
      </c>
      <c r="H27" t="n">
        <v>8000</v>
      </c>
    </row>
    <row r="28">
      <c r="A28" t="inlineStr">
        <is>
          <t>TOTAL</t>
        </is>
      </c>
      <c r="B28" t="n">
        <v>29000</v>
      </c>
      <c r="C28" s="171" t="n">
        <v>6000</v>
      </c>
      <c r="D28" t="n">
        <v>33000</v>
      </c>
      <c r="E28" t="n">
        <v>9000</v>
      </c>
      <c r="F28" t="n">
        <v>33000</v>
      </c>
      <c r="G28" t="n">
        <v>24000</v>
      </c>
      <c r="H28" t="n">
        <v>27334</v>
      </c>
    </row>
    <row r="29">
      <c r="A29" t="inlineStr">
        <is>
          <t>Tactics funded (of 4)</t>
        </is>
      </c>
      <c r="B29" t="n">
        <v>4</v>
      </c>
      <c r="C29" s="171" t="n">
        <v>1</v>
      </c>
      <c r="D29" t="n">
        <v>4</v>
      </c>
      <c r="E29" t="n">
        <v>2</v>
      </c>
      <c r="F29" t="n">
        <v>4</v>
      </c>
      <c r="G29" t="n">
        <v>4</v>
      </c>
    </row>
    <row r="30">
      <c r="A30" t="inlineStr">
        <is>
          <t>Web demand</t>
        </is>
      </c>
      <c r="B30" t="n">
        <v>435</v>
      </c>
      <c r="C30" s="171" t="n">
        <v>120</v>
      </c>
      <c r="D30" t="n">
        <v>569</v>
      </c>
      <c r="E30" t="n">
        <v>138</v>
      </c>
      <c r="F30" t="n">
        <v>491</v>
      </c>
      <c r="G30" t="n">
        <v>435</v>
      </c>
    </row>
    <row r="33">
      <c r="A33" s="166" t="inlineStr">
        <is>
          <t>THE PATTERN IS ALMOST PERFECT</t>
        </is>
      </c>
      <c r="B33" s="166" t="inlineStr">
        <is>
          <t>Tactics funded</t>
        </is>
      </c>
      <c r="C33" s="166" t="inlineStr">
        <is>
          <t>Total budget</t>
        </is>
      </c>
      <c r="D33" s="166" t="inlineStr">
        <is>
          <t>Web demand</t>
        </is>
      </c>
    </row>
    <row r="34">
      <c r="A34" t="inlineStr">
        <is>
          <t>BB LLC</t>
        </is>
      </c>
      <c r="B34" t="n">
        <v>4</v>
      </c>
      <c r="C34" t="n">
        <v>33000</v>
      </c>
      <c r="D34" s="159" t="n">
        <v>569</v>
      </c>
    </row>
    <row r="35">
      <c r="A35" t="inlineStr">
        <is>
          <t>SpaceBikes</t>
        </is>
      </c>
      <c r="B35" t="n">
        <v>4</v>
      </c>
      <c r="C35" t="n">
        <v>33000</v>
      </c>
      <c r="D35" s="159" t="n">
        <v>491</v>
      </c>
    </row>
    <row r="36">
      <c r="A36" t="inlineStr">
        <is>
          <t>LiteCycle</t>
        </is>
      </c>
      <c r="B36" t="n">
        <v>4</v>
      </c>
      <c r="C36" t="n">
        <v>29000</v>
      </c>
      <c r="D36" s="159" t="n">
        <v>435</v>
      </c>
    </row>
    <row r="37">
      <c r="A37" t="inlineStr">
        <is>
          <t>MILC Bikes</t>
        </is>
      </c>
      <c r="B37" t="n">
        <v>4</v>
      </c>
      <c r="C37" t="n">
        <v>24000</v>
      </c>
      <c r="D37" s="159" t="n">
        <v>435</v>
      </c>
    </row>
    <row r="38">
      <c r="A38" t="inlineStr">
        <is>
          <t>Spoke'd Up</t>
        </is>
      </c>
      <c r="B38" t="n">
        <v>2</v>
      </c>
      <c r="C38" t="n">
        <v>9000</v>
      </c>
      <c r="D38" s="167" t="n">
        <v>138</v>
      </c>
    </row>
    <row r="39">
      <c r="A39" t="inlineStr">
        <is>
          <t>WeBike</t>
        </is>
      </c>
      <c r="B39" t="n">
        <v>1</v>
      </c>
      <c r="C39" t="n">
        <v>6000</v>
      </c>
      <c r="D39" s="167" t="n">
        <v>120</v>
      </c>
    </row>
    <row r="40">
      <c r="A40" t="inlineStr">
        <is>
          <t>Read</t>
        </is>
      </c>
      <c r="D40" s="174" t="inlineStr">
        <is>
          <t>Every firm funding all four tactics ($24k-33k) lands at 435-569 web units. Both firms funding fewer land at 120-138. Headcount moves with budget (7 vs 3) so the two effects cannot be fully separated - but we are at the bottom of BOTH.</t>
        </is>
      </c>
    </row>
    <row r="43">
      <c r="A43" s="166" t="inlineStr">
        <is>
          <t>WHAT WE NEVER STARTED</t>
        </is>
      </c>
      <c r="B43" s="166" t="inlineStr">
        <is>
          <t>Our budget</t>
        </is>
      </c>
      <c r="C43" s="166" t="inlineStr">
        <is>
          <t>Industry average</t>
        </is>
      </c>
      <c r="D43" s="166" t="inlineStr">
        <is>
          <t>Note</t>
        </is>
      </c>
    </row>
    <row r="44">
      <c r="A44" t="inlineStr">
        <is>
          <t>Toll-free phone</t>
        </is>
      </c>
      <c r="B44" s="159" t="n">
        <v>6000</v>
      </c>
      <c r="C44" t="n">
        <v>5667</v>
      </c>
      <c r="D44" s="170" t="inlineStr">
        <is>
          <t>ABOVE average - our one good web decision (raised from $3k)</t>
        </is>
      </c>
    </row>
    <row r="45">
      <c r="A45" t="inlineStr">
        <is>
          <t>Advanced shopping cart &amp; checkout</t>
        </is>
      </c>
      <c r="B45" s="167" t="n">
        <v>0</v>
      </c>
      <c r="C45" t="n">
        <v>7000</v>
      </c>
      <c r="D45" s="170" t="inlineStr">
        <is>
          <t>NEVER STARTED - 4 of 6 firms fund it at $7,000</t>
        </is>
      </c>
    </row>
    <row r="46">
      <c r="A46" t="inlineStr">
        <is>
          <t>Continuous page upgrades</t>
        </is>
      </c>
      <c r="B46" s="167" t="n">
        <v>0</v>
      </c>
      <c r="C46" t="n">
        <v>6667</v>
      </c>
      <c r="D46" s="170" t="inlineStr">
        <is>
          <t>WE STOPPED THIS IN Q3 - SpaceBikes funds it at $12,000</t>
        </is>
      </c>
    </row>
    <row r="47">
      <c r="A47" t="inlineStr">
        <is>
          <t>Order tracking software</t>
        </is>
      </c>
      <c r="B47" s="167" t="n">
        <v>0</v>
      </c>
      <c r="C47" t="n">
        <v>8000</v>
      </c>
      <c r="D47" s="170" t="inlineStr">
        <is>
          <t>NEVER STARTED - 4 of 6 firms fund it at $8,000</t>
        </is>
      </c>
    </row>
    <row r="48">
      <c r="A48" t="inlineStr">
        <is>
          <t>Our total</t>
        </is>
      </c>
      <c r="B48" t="n">
        <v>6000</v>
      </c>
      <c r="C48" t="n">
        <v>27500</v>
      </c>
      <c r="D48" s="170" t="inlineStr">
        <is>
          <t>average of the four full-tactic firms</t>
        </is>
      </c>
    </row>
    <row r="51">
      <c r="A51" s="166" t="inlineStr">
        <is>
          <t>THE FULL WEB REBUILD CASE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Current web demand</t>
        </is>
      </c>
      <c r="B52" t="n">
        <v>120</v>
      </c>
      <c r="C52" s="170" t="inlineStr">
        <is>
          <t>3 staff, 1 tactic, $6,000</t>
        </is>
      </c>
    </row>
    <row r="53">
      <c r="A53" t="inlineStr">
        <is>
          <t>Full-tactic cohort web demand range</t>
        </is>
      </c>
      <c r="B53" t="inlineStr">
        <is>
          <t>435 - 569</t>
        </is>
      </c>
      <c r="C53" s="170" t="inlineStr">
        <is>
          <t>7 staff, 4 tactics, $24k-33k</t>
        </is>
      </c>
    </row>
    <row r="54">
      <c r="A54" t="inlineStr">
        <is>
          <t>Conservative target (cohort floor)</t>
        </is>
      </c>
      <c r="B54" t="n">
        <v>435</v>
      </c>
      <c r="C54" s="170" t="inlineStr">
        <is>
          <t>LiteCycle / MILC level</t>
        </is>
      </c>
    </row>
    <row r="55">
      <c r="A55" t="inlineStr">
        <is>
          <t>Additional demand</t>
        </is>
      </c>
      <c r="B55">
        <f>C54-C52</f>
        <v/>
      </c>
      <c r="C55" s="170" t="n"/>
    </row>
    <row r="56">
      <c r="A56" t="inlineStr">
        <is>
          <t>Contribution per unit</t>
        </is>
      </c>
      <c r="B56" t="n">
        <v>750</v>
      </c>
      <c r="C56" s="170" t="n"/>
    </row>
    <row r="57">
      <c r="A57" t="inlineStr">
        <is>
          <t>Gross margin opportunity</t>
        </is>
      </c>
      <c r="B57" s="159">
        <f>C55*C56</f>
        <v/>
      </c>
      <c r="C57" s="170" t="n"/>
    </row>
    <row r="58">
      <c r="A58" t="inlineStr">
        <is>
          <t>Cost: +4 web staff per quarter</t>
        </is>
      </c>
      <c r="B58" t="n">
        <v>24425</v>
      </c>
      <c r="C58" s="170" t="inlineStr">
        <is>
          <t>4 x $24,425/yr = ~$6,106/qtr each</t>
        </is>
      </c>
    </row>
    <row r="59">
      <c r="A59" t="inlineStr">
        <is>
          <t>Cost: raise web budget $6,000 -&gt; $28,000</t>
        </is>
      </c>
      <c r="B59" t="n">
        <v>22000</v>
      </c>
      <c r="C59" s="170" t="inlineStr">
        <is>
          <t>add 3 tactics, top up toll-free</t>
        </is>
      </c>
    </row>
    <row r="60">
      <c r="A60" t="inlineStr">
        <is>
          <t>Total incremental cost</t>
        </is>
      </c>
      <c r="B60">
        <f>C58+C59</f>
        <v/>
      </c>
      <c r="C60" s="170" t="n"/>
    </row>
    <row r="61">
      <c r="A61" t="inlineStr">
        <is>
          <t>NET QUARTERLY GAIN</t>
        </is>
      </c>
      <c r="B61" s="192">
        <f>C57-C60</f>
        <v/>
      </c>
      <c r="C61" s="170" t="n"/>
    </row>
    <row r="62">
      <c r="A62" t="inlineStr">
        <is>
          <t>Note</t>
        </is>
      </c>
      <c r="C62" s="170" t="inlineStr">
        <is>
          <t>This supersedes the earlier +$89,600 estimate, which only modelled matching the average web MIX. Matching the leaders' web OPERATION is worth far more.</t>
        </is>
      </c>
    </row>
    <row r="65">
      <c r="A65" s="166" t="inlineStr">
        <is>
          <t>CAPACITY WARNING</t>
        </is>
      </c>
      <c r="B65" s="166" t="inlineStr">
        <is>
          <t>Units</t>
        </is>
      </c>
      <c r="C65" s="166" t="inlineStr">
        <is>
          <t>Note</t>
        </is>
      </c>
    </row>
    <row r="66">
      <c r="A66" t="inlineStr">
        <is>
          <t>Store demand today</t>
        </is>
      </c>
      <c r="B66" t="n">
        <v>507</v>
      </c>
      <c r="C66" s="170" t="n"/>
    </row>
    <row r="67">
      <c r="A67" t="inlineStr">
        <is>
          <t>Rio +3 staff at ~67/head</t>
        </is>
      </c>
      <c r="B67" t="n">
        <v>200</v>
      </c>
      <c r="C67" s="170" t="inlineStr">
        <is>
          <t>see Q3_Staffing</t>
        </is>
      </c>
    </row>
    <row r="68">
      <c r="A68" t="inlineStr">
        <is>
          <t>Web at cohort floor</t>
        </is>
      </c>
      <c r="B68" t="n">
        <v>435</v>
      </c>
      <c r="C68" s="170" t="n"/>
    </row>
    <row r="69">
      <c r="A69" t="inlineStr">
        <is>
          <t>Indicative total demand</t>
        </is>
      </c>
      <c r="B69">
        <f>C66+C67+C68</f>
        <v/>
      </c>
      <c r="C69" s="170" t="inlineStr">
        <is>
          <t>before ill will</t>
        </is>
      </c>
    </row>
    <row r="70">
      <c r="A70" t="inlineStr">
        <is>
          <t>Max units at 24/day, 65 days, 74% productivity</t>
        </is>
      </c>
      <c r="B70">
        <f>24*65*0.74</f>
        <v/>
      </c>
      <c r="C70" s="170" t="n"/>
    </row>
    <row r="71">
      <c r="A71" t="inlineStr">
        <is>
          <t>Required scheduled OC per day</t>
        </is>
      </c>
      <c r="B71" s="168">
        <f>C69/(0.74*65)</f>
        <v/>
      </c>
      <c r="C71" s="170" t="inlineStr">
        <is>
          <t>units / (productivity x days)</t>
        </is>
      </c>
    </row>
    <row r="72">
      <c r="A72" t="inlineStr">
        <is>
          <t>Fixed capacity per day</t>
        </is>
      </c>
      <c r="B72" t="n">
        <v>24</v>
      </c>
      <c r="C72" s="170" t="n"/>
    </row>
    <row r="73">
      <c r="A73" t="inlineStr">
        <is>
          <t>Headroom</t>
        </is>
      </c>
      <c r="B73">
        <f>C72-C71</f>
        <v/>
      </c>
      <c r="C73" s="170" t="n"/>
    </row>
    <row r="74">
      <c r="A74" t="inlineStr">
        <is>
          <t>Read</t>
        </is>
      </c>
      <c r="C74" s="174" t="inlineStr">
        <is>
          <t>Doing all of this at once pushes demand toward ~1,140 and required OC to roughly 21/day - inside our 24/day fixed capacity, but with little slack. Schedule OC to the FORECAST and re-run the production simulation before committing.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22" customWidth="1" style="146" min="2" max="2"/>
    <col width="30" customWidth="1" style="146" min="3" max="3"/>
    <col width="60" customWidth="1" style="146" min="4" max="4"/>
    <col width="5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Price Judgment — World Market, Q3 actual</t>
        </is>
      </c>
    </row>
    <row r="2">
      <c r="A2" s="170" t="inlineStr">
        <is>
          <t>100 = no price resistance. Lower = buyers find the price high. Because the score depends only on price vs segment willingness-to-pay, identical triplets imply identical prices - which lets us rank every rival's price without seeing the price list.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Price judgment in target</t>
        </is>
      </c>
      <c r="H4" s="166" t="inlineStr">
        <is>
          <t>Resistance?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63</v>
      </c>
      <c r="D5" t="n">
        <v>78</v>
      </c>
      <c r="E5" t="n">
        <v>90</v>
      </c>
      <c r="F5" t="inlineStr">
        <is>
          <t>Speed</t>
        </is>
      </c>
      <c r="G5" s="167" t="n">
        <v>90</v>
      </c>
      <c r="H5" t="inlineStr">
        <is>
          <t>-10</t>
        </is>
      </c>
    </row>
    <row r="6">
      <c r="A6" t="inlineStr">
        <is>
          <t>TERRAMAX</t>
        </is>
      </c>
      <c r="B6" t="inlineStr">
        <is>
          <t>Bike Bros</t>
        </is>
      </c>
      <c r="C6" t="n">
        <v>73</v>
      </c>
      <c r="D6" t="n">
        <v>91</v>
      </c>
      <c r="E6" t="n">
        <v>100</v>
      </c>
      <c r="F6" t="inlineStr">
        <is>
          <t>Mountain</t>
        </is>
      </c>
      <c r="G6" s="167" t="n">
        <v>91</v>
      </c>
      <c r="H6" t="inlineStr">
        <is>
          <t>-9</t>
        </is>
      </c>
    </row>
    <row r="7">
      <c r="A7" t="inlineStr">
        <is>
          <t>Mach 0.6</t>
        </is>
      </c>
      <c r="B7" t="inlineStr">
        <is>
          <t>Bike Bros</t>
        </is>
      </c>
      <c r="C7" t="n">
        <v>70</v>
      </c>
      <c r="D7" t="n">
        <v>86</v>
      </c>
      <c r="E7" t="n">
        <v>100</v>
      </c>
      <c r="F7" t="inlineStr">
        <is>
          <t>Speed</t>
        </is>
      </c>
      <c r="G7" s="159" t="n">
        <v>100</v>
      </c>
      <c r="H7" t="inlineStr">
        <is>
          <t>none</t>
        </is>
      </c>
    </row>
    <row r="8">
      <c r="A8" t="inlineStr">
        <is>
          <t>TERRAMean</t>
        </is>
      </c>
      <c r="B8" t="inlineStr">
        <is>
          <t>Bike Bros</t>
        </is>
      </c>
      <c r="C8" t="n">
        <v>82</v>
      </c>
      <c r="D8" t="n">
        <v>100</v>
      </c>
      <c r="E8" t="n">
        <v>100</v>
      </c>
      <c r="F8" t="inlineStr">
        <is>
          <t>Mountain</t>
        </is>
      </c>
      <c r="G8" s="159" t="n">
        <v>100</v>
      </c>
      <c r="H8" t="inlineStr">
        <is>
          <t>none</t>
        </is>
      </c>
    </row>
    <row r="9">
      <c r="A9" t="inlineStr">
        <is>
          <t>MountainCruise1</t>
        </is>
      </c>
      <c r="B9" t="inlineStr">
        <is>
          <t>Bike Bros</t>
        </is>
      </c>
      <c r="C9" t="n">
        <v>92</v>
      </c>
      <c r="D9" t="n">
        <v>100</v>
      </c>
      <c r="E9" t="n">
        <v>100</v>
      </c>
      <c r="F9" t="inlineStr">
        <is>
          <t>Recreation</t>
        </is>
      </c>
      <c r="G9" s="167" t="n">
        <v>92</v>
      </c>
      <c r="H9" t="inlineStr">
        <is>
          <t>-8</t>
        </is>
      </c>
    </row>
    <row r="10">
      <c r="A10" t="inlineStr">
        <is>
          <t>LiteSpeed Pro+</t>
        </is>
      </c>
      <c r="B10" t="inlineStr">
        <is>
          <t>LiteCycle</t>
        </is>
      </c>
      <c r="C10" t="n">
        <v>73</v>
      </c>
      <c r="D10" t="n">
        <v>90</v>
      </c>
      <c r="E10" t="n">
        <v>100</v>
      </c>
      <c r="F10" t="inlineStr">
        <is>
          <t>Speed</t>
        </is>
      </c>
      <c r="G10" s="159" t="n">
        <v>100</v>
      </c>
      <c r="H10" t="inlineStr">
        <is>
          <t>none</t>
        </is>
      </c>
    </row>
    <row r="11">
      <c r="A11" t="inlineStr">
        <is>
          <t>LiteSpeed+</t>
        </is>
      </c>
      <c r="B11" t="inlineStr">
        <is>
          <t>LiteCycle</t>
        </is>
      </c>
      <c r="C11" t="n">
        <v>83</v>
      </c>
      <c r="D11" t="n">
        <v>100</v>
      </c>
      <c r="E11" t="n">
        <v>100</v>
      </c>
      <c r="F11" t="inlineStr">
        <is>
          <t>Speed</t>
        </is>
      </c>
      <c r="G11" s="159" t="n">
        <v>100</v>
      </c>
      <c r="H11" t="inlineStr">
        <is>
          <t>none</t>
        </is>
      </c>
    </row>
    <row r="12">
      <c r="A12" t="inlineStr">
        <is>
          <t>LiteTrail Pro</t>
        </is>
      </c>
      <c r="B12" t="inlineStr">
        <is>
          <t>LiteCycle</t>
        </is>
      </c>
      <c r="C12" t="n">
        <v>85</v>
      </c>
      <c r="D12" t="n">
        <v>100</v>
      </c>
      <c r="E12" t="n">
        <v>100</v>
      </c>
      <c r="F12" t="inlineStr">
        <is>
          <t>Mountain</t>
        </is>
      </c>
      <c r="G12" s="159" t="n">
        <v>100</v>
      </c>
      <c r="H12" t="inlineStr">
        <is>
          <t>none</t>
        </is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81</v>
      </c>
      <c r="D13" s="171" t="n">
        <v>100</v>
      </c>
      <c r="E13" s="171" t="n">
        <v>100</v>
      </c>
      <c r="F13" s="171" t="inlineStr">
        <is>
          <t>Mountain</t>
        </is>
      </c>
      <c r="G13" s="172" t="n">
        <v>100</v>
      </c>
      <c r="H13" s="171" t="inlineStr">
        <is>
          <t>none</t>
        </is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76</v>
      </c>
      <c r="D14" s="171" t="n">
        <v>94</v>
      </c>
      <c r="E14" s="171" t="n">
        <v>100</v>
      </c>
      <c r="F14" s="171" t="inlineStr">
        <is>
          <t>Speed</t>
        </is>
      </c>
      <c r="G14" s="172" t="n">
        <v>100</v>
      </c>
      <c r="H14" s="171" t="inlineStr">
        <is>
          <t>none</t>
        </is>
      </c>
    </row>
    <row r="15">
      <c r="A15" t="inlineStr">
        <is>
          <t>Blu Ruged Ballz</t>
        </is>
      </c>
      <c r="B15" t="inlineStr">
        <is>
          <t>BB LLC</t>
        </is>
      </c>
      <c r="C15" t="n">
        <v>81</v>
      </c>
      <c r="D15" t="n">
        <v>100</v>
      </c>
      <c r="E15" t="n">
        <v>100</v>
      </c>
      <c r="F15" t="inlineStr">
        <is>
          <t>Mountain</t>
        </is>
      </c>
      <c r="G15" s="159" t="n">
        <v>100</v>
      </c>
      <c r="H15" t="inlineStr">
        <is>
          <t>none</t>
        </is>
      </c>
    </row>
    <row r="16">
      <c r="A16" t="inlineStr">
        <is>
          <t>Blu Aero Ballz</t>
        </is>
      </c>
      <c r="B16" t="inlineStr">
        <is>
          <t>BB LLC</t>
        </is>
      </c>
      <c r="C16" t="n">
        <v>70</v>
      </c>
      <c r="D16" t="n">
        <v>86</v>
      </c>
      <c r="E16" t="n">
        <v>100</v>
      </c>
      <c r="F16" t="inlineStr">
        <is>
          <t>Speed</t>
        </is>
      </c>
      <c r="G16" s="159" t="n">
        <v>100</v>
      </c>
      <c r="H16" t="inlineStr">
        <is>
          <t>none</t>
        </is>
      </c>
    </row>
    <row r="17">
      <c r="A17" t="inlineStr">
        <is>
          <t>Blu Tail Ballz</t>
        </is>
      </c>
      <c r="B17" t="inlineStr">
        <is>
          <t>BB LLC</t>
        </is>
      </c>
      <c r="C17" t="n">
        <v>81</v>
      </c>
      <c r="D17" t="n">
        <v>100</v>
      </c>
      <c r="E17" t="n">
        <v>100</v>
      </c>
      <c r="F17" t="inlineStr">
        <is>
          <t>Mountain</t>
        </is>
      </c>
      <c r="G17" s="159" t="n">
        <v>100</v>
      </c>
      <c r="H17" t="inlineStr">
        <is>
          <t>none</t>
        </is>
      </c>
    </row>
    <row r="18">
      <c r="A18" t="inlineStr">
        <is>
          <t>Blu Tube Ballz</t>
        </is>
      </c>
      <c r="B18" t="inlineStr">
        <is>
          <t>BB LLC</t>
        </is>
      </c>
      <c r="C18" t="n">
        <v>70</v>
      </c>
      <c r="D18" t="n">
        <v>86</v>
      </c>
      <c r="E18" t="n">
        <v>100</v>
      </c>
      <c r="F18" t="inlineStr">
        <is>
          <t>Speed</t>
        </is>
      </c>
      <c r="G18" s="159" t="n">
        <v>100</v>
      </c>
      <c r="H18" t="inlineStr">
        <is>
          <t>none</t>
        </is>
      </c>
    </row>
    <row r="19">
      <c r="A19" t="inlineStr">
        <is>
          <t>Spoke'd Easy</t>
        </is>
      </c>
      <c r="B19" t="inlineStr">
        <is>
          <t>Spoke'd Up</t>
        </is>
      </c>
      <c r="C19" t="n">
        <v>100</v>
      </c>
      <c r="D19" t="n">
        <v>100</v>
      </c>
      <c r="E19" t="n">
        <v>100</v>
      </c>
      <c r="F19" t="inlineStr">
        <is>
          <t>Recreation</t>
        </is>
      </c>
      <c r="G19" s="159" t="n">
        <v>100</v>
      </c>
      <c r="H19" t="inlineStr">
        <is>
          <t>none</t>
        </is>
      </c>
    </row>
    <row r="20">
      <c r="A20" t="inlineStr">
        <is>
          <t>Spoke'd Speed</t>
        </is>
      </c>
      <c r="B20" t="inlineStr">
        <is>
          <t>Spoke'd Up</t>
        </is>
      </c>
      <c r="C20" t="n">
        <v>73</v>
      </c>
      <c r="D20" t="n">
        <v>91</v>
      </c>
      <c r="E20" t="n">
        <v>100</v>
      </c>
      <c r="F20" t="inlineStr">
        <is>
          <t>Speed</t>
        </is>
      </c>
      <c r="G20" s="159" t="n">
        <v>100</v>
      </c>
      <c r="H20" t="inlineStr">
        <is>
          <t>none</t>
        </is>
      </c>
    </row>
    <row r="21">
      <c r="A21" t="inlineStr">
        <is>
          <t>The Armstrong</t>
        </is>
      </c>
      <c r="B21" t="inlineStr">
        <is>
          <t>SpaceBikes</t>
        </is>
      </c>
      <c r="C21" t="n">
        <v>70</v>
      </c>
      <c r="D21" t="n">
        <v>86</v>
      </c>
      <c r="E21" t="n">
        <v>100</v>
      </c>
      <c r="F21" t="inlineStr">
        <is>
          <t>Speed</t>
        </is>
      </c>
      <c r="G21" s="159" t="n">
        <v>100</v>
      </c>
      <c r="H21" t="inlineStr">
        <is>
          <t>none</t>
        </is>
      </c>
    </row>
    <row r="22">
      <c r="A22" t="inlineStr">
        <is>
          <t>Mars Rover</t>
        </is>
      </c>
      <c r="B22" t="inlineStr">
        <is>
          <t>SpaceBikes</t>
        </is>
      </c>
      <c r="C22" t="n">
        <v>100</v>
      </c>
      <c r="D22" t="n">
        <v>100</v>
      </c>
      <c r="E22" t="n">
        <v>100</v>
      </c>
      <c r="F22" t="inlineStr">
        <is>
          <t>Recreation</t>
        </is>
      </c>
      <c r="G22" s="159" t="n">
        <v>100</v>
      </c>
      <c r="H22" t="inlineStr">
        <is>
          <t>none</t>
        </is>
      </c>
    </row>
    <row r="23">
      <c r="A23" t="inlineStr">
        <is>
          <t>Whole MILC MKII</t>
        </is>
      </c>
      <c r="B23" t="inlineStr">
        <is>
          <t>MILC Bikes</t>
        </is>
      </c>
      <c r="C23" t="n">
        <v>100</v>
      </c>
      <c r="D23" t="n">
        <v>100</v>
      </c>
      <c r="E23" t="n">
        <v>100</v>
      </c>
      <c r="F23" t="inlineStr">
        <is>
          <t>Recreation</t>
        </is>
      </c>
      <c r="G23" s="159" t="n">
        <v>100</v>
      </c>
      <c r="H23" t="inlineStr">
        <is>
          <t>none</t>
        </is>
      </c>
    </row>
    <row r="24">
      <c r="A24" t="inlineStr">
        <is>
          <t>Skim MILC MKII</t>
        </is>
      </c>
      <c r="B24" t="inlineStr">
        <is>
          <t>MILC Bikes</t>
        </is>
      </c>
      <c r="C24" t="n">
        <v>76</v>
      </c>
      <c r="D24" t="n">
        <v>94</v>
      </c>
      <c r="E24" t="n">
        <v>100</v>
      </c>
      <c r="F24" t="inlineStr">
        <is>
          <t>Speed</t>
        </is>
      </c>
      <c r="G24" s="159" t="n">
        <v>100</v>
      </c>
      <c r="H24" t="inlineStr">
        <is>
          <t>none</t>
        </is>
      </c>
    </row>
    <row r="27">
      <c r="A27" s="166" t="inlineStr">
        <is>
          <t>INFERRED PRICE TIERS (cheapest first)</t>
        </is>
      </c>
      <c r="B27" s="166" t="inlineStr">
        <is>
          <t>Rec</t>
        </is>
      </c>
      <c r="C27" s="166" t="inlineStr">
        <is>
          <t>Mountain</t>
        </is>
      </c>
      <c r="D27" s="166" t="inlineStr">
        <is>
          <t>Speed</t>
        </is>
      </c>
      <c r="E27" s="166" t="inlineStr">
        <is>
          <t>Brands at this price</t>
        </is>
      </c>
    </row>
    <row r="28">
      <c r="A28" t="inlineStr">
        <is>
          <t>tier 100</t>
        </is>
      </c>
      <c r="B28" t="n">
        <v>100</v>
      </c>
      <c r="C28" t="n">
        <v>100</v>
      </c>
      <c r="D28" t="n">
        <v>100</v>
      </c>
      <c r="E28" s="170" t="inlineStr">
        <is>
          <t>Spoke'd Easy (Spoke'd Up), Mars Rover (SpaceBikes), Whole MILC MKII (MILC Bikes)</t>
        </is>
      </c>
    </row>
    <row r="29">
      <c r="A29" t="inlineStr">
        <is>
          <t>tier 92</t>
        </is>
      </c>
      <c r="B29" t="n">
        <v>92</v>
      </c>
      <c r="C29" t="n">
        <v>100</v>
      </c>
      <c r="D29" t="n">
        <v>100</v>
      </c>
      <c r="E29" s="170" t="inlineStr">
        <is>
          <t>MountainCruise1 (Bike Bros)</t>
        </is>
      </c>
    </row>
    <row r="30">
      <c r="A30" t="inlineStr">
        <is>
          <t>tier 85</t>
        </is>
      </c>
      <c r="B30" t="n">
        <v>85</v>
      </c>
      <c r="C30" t="n">
        <v>100</v>
      </c>
      <c r="D30" t="n">
        <v>100</v>
      </c>
      <c r="E30" s="170" t="inlineStr">
        <is>
          <t>LiteTrail Pro (LiteCycle)</t>
        </is>
      </c>
    </row>
    <row r="31">
      <c r="A31" t="inlineStr">
        <is>
          <t>tier 83</t>
        </is>
      </c>
      <c r="B31" t="n">
        <v>83</v>
      </c>
      <c r="C31" t="n">
        <v>100</v>
      </c>
      <c r="D31" t="n">
        <v>100</v>
      </c>
      <c r="E31" s="170" t="inlineStr">
        <is>
          <t>LiteSpeed+ (LiteCycle)</t>
        </is>
      </c>
    </row>
    <row r="32">
      <c r="A32" t="inlineStr">
        <is>
          <t>tier 82</t>
        </is>
      </c>
      <c r="B32" t="n">
        <v>82</v>
      </c>
      <c r="C32" t="n">
        <v>100</v>
      </c>
      <c r="D32" t="n">
        <v>100</v>
      </c>
      <c r="E32" s="170" t="inlineStr">
        <is>
          <t>TERRAMean (Bike Bros)</t>
        </is>
      </c>
    </row>
    <row r="33">
      <c r="A33" s="173" t="inlineStr">
        <is>
          <t>tier 81</t>
        </is>
      </c>
      <c r="B33" s="173" t="n">
        <v>81</v>
      </c>
      <c r="C33" s="173" t="n">
        <v>100</v>
      </c>
      <c r="D33" s="173" t="n">
        <v>100</v>
      </c>
      <c r="E33" s="193" t="inlineStr">
        <is>
          <t>Hike Bike (WeBike), Blu Ruged Ballz (BB LLC), Blu Tail Ballz (BB LLC)</t>
        </is>
      </c>
    </row>
    <row r="34">
      <c r="A34" s="173" t="inlineStr">
        <is>
          <t>tier 76</t>
        </is>
      </c>
      <c r="B34" s="173" t="n">
        <v>76</v>
      </c>
      <c r="C34" s="173" t="n">
        <v>94</v>
      </c>
      <c r="D34" s="173" t="n">
        <v>100</v>
      </c>
      <c r="E34" s="193" t="inlineStr">
        <is>
          <t>Swift Bike (WeBike), Skim MILC MKII (MILC Bikes)</t>
        </is>
      </c>
    </row>
    <row r="35">
      <c r="A35" t="inlineStr">
        <is>
          <t>tier 73</t>
        </is>
      </c>
      <c r="B35" t="n">
        <v>73</v>
      </c>
      <c r="C35" t="n">
        <v>91</v>
      </c>
      <c r="D35" t="n">
        <v>100</v>
      </c>
      <c r="E35" s="170" t="inlineStr">
        <is>
          <t>TERRAMAX (Bike Bros), Spoke'd Speed (Spoke'd Up)</t>
        </is>
      </c>
    </row>
    <row r="36">
      <c r="A36" t="inlineStr">
        <is>
          <t>tier 73</t>
        </is>
      </c>
      <c r="B36" t="n">
        <v>73</v>
      </c>
      <c r="C36" t="n">
        <v>90</v>
      </c>
      <c r="D36" t="n">
        <v>100</v>
      </c>
      <c r="E36" s="170" t="inlineStr">
        <is>
          <t>LiteSpeed Pro+ (LiteCycle)</t>
        </is>
      </c>
    </row>
    <row r="37">
      <c r="A37" t="inlineStr">
        <is>
          <t>tier 70</t>
        </is>
      </c>
      <c r="B37" t="n">
        <v>70</v>
      </c>
      <c r="C37" t="n">
        <v>86</v>
      </c>
      <c r="D37" t="n">
        <v>100</v>
      </c>
      <c r="E37" s="170" t="inlineStr">
        <is>
          <t>Mach 0.6 (Bike Bros), Blu Aero Ballz (BB LLC), Blu Tube Ballz (BB LLC), The Armstrong (SpaceBikes)</t>
        </is>
      </c>
    </row>
    <row r="38">
      <c r="A38" t="inlineStr">
        <is>
          <t>tier 63</t>
        </is>
      </c>
      <c r="B38" t="n">
        <v>63</v>
      </c>
      <c r="C38" t="n">
        <v>78</v>
      </c>
      <c r="D38" t="n">
        <v>90</v>
      </c>
      <c r="E38" s="170" t="inlineStr">
        <is>
          <t>MACH I.I (Bike Bros)</t>
        </is>
      </c>
    </row>
    <row r="41">
      <c r="A41" s="166" t="inlineStr">
        <is>
          <t>SEGMENT PRICE SENSITIVITY — resistance sets in at different tiers</t>
        </is>
      </c>
      <c r="B41" s="166" t="inlineStr">
        <is>
          <t>Mountain</t>
        </is>
      </c>
      <c r="C41" s="166" t="inlineStr">
        <is>
          <t>Speed</t>
        </is>
      </c>
      <c r="D41" s="166" t="inlineStr">
        <is>
          <t>Recreation</t>
        </is>
      </c>
    </row>
    <row r="42">
      <c r="A42" t="inlineStr">
        <is>
          <t>tier 100 (cheapest)</t>
        </is>
      </c>
      <c r="B42" t="n">
        <v>100</v>
      </c>
      <c r="C42" t="n">
        <v>100</v>
      </c>
      <c r="D42" t="n">
        <v>100</v>
      </c>
    </row>
    <row r="43">
      <c r="A43" t="inlineStr">
        <is>
          <t>tier 92</t>
        </is>
      </c>
      <c r="B43" t="n">
        <v>100</v>
      </c>
      <c r="C43" t="n">
        <v>100</v>
      </c>
      <c r="D43" t="n">
        <v>92</v>
      </c>
    </row>
    <row r="44">
      <c r="A44" t="inlineStr">
        <is>
          <t>tier 85</t>
        </is>
      </c>
      <c r="B44" t="n">
        <v>100</v>
      </c>
      <c r="C44" t="n">
        <v>100</v>
      </c>
      <c r="D44" t="n">
        <v>85</v>
      </c>
    </row>
    <row r="45">
      <c r="A45" t="inlineStr">
        <is>
          <t>tier 83</t>
        </is>
      </c>
      <c r="B45" t="n">
        <v>100</v>
      </c>
      <c r="C45" t="n">
        <v>100</v>
      </c>
      <c r="D45" t="n">
        <v>83</v>
      </c>
    </row>
    <row r="46">
      <c r="A46" t="inlineStr">
        <is>
          <t>tier 82</t>
        </is>
      </c>
      <c r="B46" t="n">
        <v>100</v>
      </c>
      <c r="C46" t="n">
        <v>100</v>
      </c>
      <c r="D46" t="n">
        <v>82</v>
      </c>
    </row>
    <row r="47">
      <c r="A47" t="inlineStr">
        <is>
          <t>tier 81  &lt;- Hike Bike</t>
        </is>
      </c>
      <c r="B47" s="159" t="n">
        <v>100</v>
      </c>
      <c r="C47" t="n">
        <v>100</v>
      </c>
      <c r="D47" t="n">
        <v>81</v>
      </c>
    </row>
    <row r="48">
      <c r="A48" t="inlineStr">
        <is>
          <t>tier 76  &lt;- Swift Bike</t>
        </is>
      </c>
      <c r="B48" t="n">
        <v>94</v>
      </c>
      <c r="C48" s="159" t="n">
        <v>100</v>
      </c>
      <c r="D48" t="n">
        <v>76</v>
      </c>
    </row>
    <row r="49">
      <c r="A49" t="inlineStr">
        <is>
          <t>tier 73</t>
        </is>
      </c>
      <c r="B49" t="n">
        <v>91</v>
      </c>
      <c r="C49" t="n">
        <v>100</v>
      </c>
      <c r="D49" t="n">
        <v>73</v>
      </c>
    </row>
    <row r="50">
      <c r="A50" t="inlineStr">
        <is>
          <t>tier 70</t>
        </is>
      </c>
      <c r="B50" t="n">
        <v>86</v>
      </c>
      <c r="C50" s="159" t="n">
        <v>100</v>
      </c>
      <c r="D50" t="n">
        <v>70</v>
      </c>
    </row>
    <row r="51">
      <c r="A51" t="inlineStr">
        <is>
          <t>tier 63 (most expensive)</t>
        </is>
      </c>
      <c r="B51" t="n">
        <v>78</v>
      </c>
      <c r="C51" s="167" t="n">
        <v>90</v>
      </c>
      <c r="D51" t="n">
        <v>63</v>
      </c>
    </row>
    <row r="52">
      <c r="A52" t="inlineStr">
        <is>
          <t>Read</t>
        </is>
      </c>
      <c r="D52" s="174" t="inlineStr">
        <is>
          <t>SPEED is the least price-sensitive segment in the game - it tolerates every price up to tier 70 with zero resistance. MOUNTAIN starts resisting immediately below tier 81. RECREATION resists almost everything.</t>
        </is>
      </c>
    </row>
    <row r="55">
      <c r="A55" s="166" t="inlineStr">
        <is>
          <t>HIKE BIKE — price is already optimal, hold it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Price</t>
        </is>
      </c>
      <c r="B56" t="n">
        <v>1365</v>
      </c>
      <c r="C56" s="170" t="n"/>
    </row>
    <row r="57">
      <c r="A57" t="inlineStr">
        <is>
          <t>Mountain price judgment</t>
        </is>
      </c>
      <c r="B57" s="159" t="n">
        <v>100</v>
      </c>
      <c r="C57" s="170" t="inlineStr">
        <is>
          <t>ZERO price resistance</t>
        </is>
      </c>
    </row>
    <row r="58">
      <c r="A58" t="inlineStr">
        <is>
          <t>Price tier</t>
        </is>
      </c>
      <c r="B58" t="n">
        <v>81</v>
      </c>
      <c r="C58" s="170" t="inlineStr">
        <is>
          <t>the HIGHEST-priced tier that still scores 100 in Mountain</t>
        </is>
      </c>
    </row>
    <row r="59">
      <c r="A59" t="inlineStr">
        <is>
          <t>Next tier up (73)</t>
        </is>
      </c>
      <c r="B59" t="n">
        <v>91</v>
      </c>
      <c r="C59" s="170" t="inlineStr">
        <is>
          <t>TERRAMAX sits there and takes a 9-point hit</t>
        </is>
      </c>
    </row>
    <row r="60">
      <c r="A60" t="inlineStr">
        <is>
          <t>Verdict</t>
        </is>
      </c>
      <c r="C60" s="181" t="inlineStr">
        <is>
          <t>We are extracting the maximum price Mountain will bear without penalty. Raising it drops us into the resistance band. HOLD $1,365.</t>
        </is>
      </c>
    </row>
    <row r="63">
      <c r="A63" s="166" t="inlineStr">
        <is>
          <t>SWIFT BIKE — we are UNDER-priced in Speed</t>
        </is>
      </c>
      <c r="B63" s="166" t="inlineStr">
        <is>
          <t>Value</t>
        </is>
      </c>
      <c r="C63" s="166" t="inlineStr">
        <is>
          <t>Note</t>
        </is>
      </c>
    </row>
    <row r="64">
      <c r="A64" t="inlineStr">
        <is>
          <t>Price</t>
        </is>
      </c>
      <c r="B64" t="n">
        <v>1450</v>
      </c>
      <c r="C64" s="170" t="n"/>
    </row>
    <row r="65">
      <c r="A65" t="inlineStr">
        <is>
          <t>Speed price judgment</t>
        </is>
      </c>
      <c r="B65" t="n">
        <v>100</v>
      </c>
      <c r="C65" s="170" t="inlineStr">
        <is>
          <t>zero resistance</t>
        </is>
      </c>
    </row>
    <row r="66">
      <c r="A66" t="inlineStr">
        <is>
          <t>Our price tier</t>
        </is>
      </c>
      <c r="B66" t="n">
        <v>76</v>
      </c>
      <c r="C66" s="170" t="n"/>
    </row>
    <row r="67">
      <c r="A67" t="inlineStr">
        <is>
          <t>Tier 70 brands (Armstrong, Blu Tube, Blu Aero, Mach 0.6)</t>
        </is>
      </c>
      <c r="B67" s="159" t="n">
        <v>100</v>
      </c>
      <c r="C67" s="170" t="inlineStr">
        <is>
          <t>priced ABOVE us and STILL score 100 in Speed</t>
        </is>
      </c>
    </row>
    <row r="68">
      <c r="A68" t="inlineStr">
        <is>
          <t>First tier with Speed resistance</t>
        </is>
      </c>
      <c r="B68" t="n">
        <v>63</v>
      </c>
      <c r="C68" s="170" t="inlineStr">
        <is>
          <t>only MACH I.I, at 90</t>
        </is>
      </c>
    </row>
    <row r="69">
      <c r="A69" t="inlineStr">
        <is>
          <t>Headroom</t>
        </is>
      </c>
      <c r="C69" s="170" t="inlineStr">
        <is>
          <t>roughly 1-2 price tiers before Speed resistance appears</t>
        </is>
      </c>
    </row>
    <row r="70">
      <c r="A70" t="inlineStr">
        <is>
          <t>Estimated tier-70 price</t>
        </is>
      </c>
      <c r="B70" t="n">
        <v>1595</v>
      </c>
      <c r="C70" s="170" t="inlineStr">
        <is>
          <t>INFERRED - see the estimate note below</t>
        </is>
      </c>
    </row>
    <row r="71">
      <c r="A71" t="inlineStr">
        <is>
          <t>Potential price increase</t>
        </is>
      </c>
      <c r="B71">
        <f>C70-C64</f>
        <v/>
      </c>
      <c r="C71" s="170" t="n"/>
    </row>
    <row r="72">
      <c r="A72" t="inlineStr">
        <is>
          <t>On Q3 volume (215 units)</t>
        </is>
      </c>
      <c r="B72" s="159">
        <f>C71*215</f>
        <v/>
      </c>
      <c r="C72" s="170" t="inlineStr">
        <is>
          <t>pure margin - no cost change</t>
        </is>
      </c>
    </row>
    <row r="73">
      <c r="A73" t="inlineStr">
        <is>
          <t>On a rebuilt Speed volume (say 400 units)</t>
        </is>
      </c>
      <c r="B73" s="159">
        <f>C71*400</f>
        <v/>
      </c>
      <c r="C73" s="170" t="n"/>
    </row>
    <row r="74">
      <c r="A74" t="inlineStr">
        <is>
          <t>CAVEAT</t>
        </is>
      </c>
      <c r="C74" s="174" t="inlineStr">
        <is>
          <t>The $1,595 figure is inferred from BB LLC's ~$1,480 average price across 4 brands, two of which appear to sit at our $1,365 tier. VERIFY against the actual price list before locking. The DIRECTION (we have room to raise) is solid; the exact number is not.</t>
        </is>
      </c>
    </row>
    <row r="77">
      <c r="A77" s="166" t="inlineStr">
        <is>
          <t>THE BB LLC COMPARISON IS NOW AIRTIGHT</t>
        </is>
      </c>
      <c r="B77" s="166" t="inlineStr">
        <is>
          <t>Hike Bike (WeBike)</t>
        </is>
      </c>
      <c r="C77" s="166" t="inlineStr">
        <is>
          <t>Blu Ruged Ballz (BB LLC)</t>
        </is>
      </c>
    </row>
    <row r="78">
      <c r="A78" t="inlineStr">
        <is>
          <t>Brand judgment - Mountain</t>
        </is>
      </c>
      <c r="B78" t="n">
        <v>73</v>
      </c>
      <c r="C78" t="n">
        <v>73</v>
      </c>
    </row>
    <row r="79">
      <c r="A79" t="inlineStr">
        <is>
          <t>Component recipe</t>
        </is>
      </c>
      <c r="B79" t="inlineStr">
        <is>
          <t>56/73/1</t>
        </is>
      </c>
      <c r="C79" t="inlineStr">
        <is>
          <t>56/73/1 (identical)</t>
        </is>
      </c>
    </row>
    <row r="80">
      <c r="A80" t="inlineStr">
        <is>
          <t>Price judgment</t>
        </is>
      </c>
      <c r="B80" t="inlineStr">
        <is>
          <t>81 / 100 / 100</t>
        </is>
      </c>
      <c r="C80" t="inlineStr">
        <is>
          <t>81 / 100 / 100 (identical)</t>
        </is>
      </c>
    </row>
    <row r="81">
      <c r="A81" t="inlineStr">
        <is>
          <t>Implied price</t>
        </is>
      </c>
      <c r="B81" t="inlineStr">
        <is>
          <t>$1,365</t>
        </is>
      </c>
      <c r="C81" t="inlineStr">
        <is>
          <t>$1,365 (same tier)</t>
        </is>
      </c>
    </row>
    <row r="82">
      <c r="A82" t="inlineStr">
        <is>
          <t>Mountain share</t>
        </is>
      </c>
      <c r="B82" s="179" t="n">
        <v>0.221</v>
      </c>
      <c r="C82" s="161" t="n">
        <v>0.463</v>
      </c>
    </row>
    <row r="83">
      <c r="A83" t="inlineStr">
        <is>
          <t>Conclusion</t>
        </is>
      </c>
      <c r="C83" s="174" t="inlineStr">
        <is>
          <t>Same product, same price, same price perception - and they take 2.1x our share. There is now no product or pricing explanation left. The entire gap is SUPPLY (we stocked out 33%), COVERAGE (14 store staff vs 14 but 7 web vs our 3) and ADS (24 regional vs our 19).</t>
        </is>
      </c>
    </row>
    <row r="86">
      <c r="A86" s="166" t="inlineStr">
        <is>
          <t>ANOTHER REASON TO SKIP RECREATION</t>
        </is>
      </c>
      <c r="B86" s="166" t="inlineStr">
        <is>
          <t>Value</t>
        </is>
      </c>
      <c r="C86" s="166" t="inlineStr">
        <is>
          <t>Note</t>
        </is>
      </c>
    </row>
    <row r="87">
      <c r="A87" t="inlineStr">
        <is>
          <t>Hike Bike Recreation price judgment</t>
        </is>
      </c>
      <c r="B87" s="167" t="n">
        <v>81</v>
      </c>
      <c r="C87" s="170" t="inlineStr">
        <is>
          <t>Rec buyers resist our $1,365</t>
        </is>
      </c>
    </row>
    <row r="88">
      <c r="A88" t="inlineStr">
        <is>
          <t>All three Recreation brands</t>
        </is>
      </c>
      <c r="B88" t="n">
        <v>100</v>
      </c>
      <c r="C88" s="170" t="inlineStr">
        <is>
          <t>Spoke'd Easy, Mars Rover, Whole MILC - all at tier 100</t>
        </is>
      </c>
    </row>
    <row r="89">
      <c r="A89" t="inlineStr">
        <is>
          <t>Read</t>
        </is>
      </c>
      <c r="C89" s="170" t="inlineStr">
        <is>
          <t>Recreation is the most price-sensitive segment AND the winning brands are the cheapest in the game. Entering would mean a low-price, low-margin product - the opposite of our 'profit margin leader' strategy. Combined with the 56-vs-76 brand judgment gap, Recreation stays parked.</t>
        </is>
      </c>
    </row>
    <row r="92">
      <c r="A92" s="166" t="inlineStr">
        <is>
          <t>Q4 PRICING ACTIONS</t>
        </is>
      </c>
      <c r="B92" s="166" t="inlineStr">
        <is>
          <t>Decision</t>
        </is>
      </c>
    </row>
    <row r="93">
      <c r="A93" t="inlineStr">
        <is>
          <t>Hike Bike</t>
        </is>
      </c>
      <c r="B93" s="174" t="inlineStr">
        <is>
          <t>HOLD $1,365. Mountain judgment 100 and we sit at the top tier that achieves it.</t>
        </is>
      </c>
    </row>
    <row r="94">
      <c r="A94" t="inlineStr">
        <is>
          <t>Swift Bike</t>
        </is>
      </c>
      <c r="B94" s="174" t="inlineStr">
        <is>
          <t>RAISE. Speed tolerates 1-2 tiers above us with zero resistance. Verify the exact price list, then move toward the Armstrong / Blu Tube tier.</t>
        </is>
      </c>
    </row>
    <row r="95">
      <c r="A95" t="inlineStr">
        <is>
          <t>Sequencing note</t>
        </is>
      </c>
      <c r="B95" s="174" t="inlineStr">
        <is>
          <t>Raise the Swift Bike price in the SAME quarter we fix its design to 77 - better product plus a price the segment does not resist is the cleanest margin gain available.</t>
        </is>
      </c>
    </row>
    <row r="96">
      <c r="A96" t="inlineStr">
        <is>
          <t>Capacity note</t>
        </is>
      </c>
      <c r="B96" s="174" t="inlineStr">
        <is>
          <t>A price rise also RELIEVES the capacity squeeze: more margin per unit on the same 24/day. If we cannot build 1,171 units, we should at least earn more on the ones we do build.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2026-09-08T12:54:35Z</dcterms:modified>
  <cp:lastModifiedBy>Conger, Kyle E.</cp:lastModifiedBy>
</cp:coreProperties>
</file>