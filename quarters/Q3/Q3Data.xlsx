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5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13" activeTab="19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Needs" sheetId="2" state="visible" r:id="rId2"/>
    <sheet xmlns:r="http://schemas.openxmlformats.org/officeDocument/2006/relationships" name="Applications" sheetId="3" state="visible" r:id="rId3"/>
    <sheet xmlns:r="http://schemas.openxmlformats.org/officeDocument/2006/relationships" name="Price_WTP" sheetId="4" state="visible" r:id="rId4"/>
    <sheet xmlns:r="http://schemas.openxmlformats.org/officeDocument/2006/relationships" name="Market_Potential" sheetId="5" state="visible" r:id="rId5"/>
    <sheet xmlns:r="http://schemas.openxmlformats.org/officeDocument/2006/relationships" name="Sales_Channel" sheetId="6" state="visible" r:id="rId6"/>
    <sheet xmlns:r="http://schemas.openxmlformats.org/officeDocument/2006/relationships" name="Stores_Costs" sheetId="7" state="visible" r:id="rId7"/>
    <sheet xmlns:r="http://schemas.openxmlformats.org/officeDocument/2006/relationships" name="Manufacturing" sheetId="8" state="visible" r:id="rId8"/>
    <sheet xmlns:r="http://schemas.openxmlformats.org/officeDocument/2006/relationships" name="Production_Sim" sheetId="9" state="visible" r:id="rId9"/>
    <sheet xmlns:r="http://schemas.openxmlformats.org/officeDocument/2006/relationships" name="Cost_of_Production" sheetId="10" state="visible" r:id="rId10"/>
    <sheet xmlns:r="http://schemas.openxmlformats.org/officeDocument/2006/relationships" name="Demand_Forecast" sheetId="11" state="visible" r:id="rId11"/>
    <sheet xmlns:r="http://schemas.openxmlformats.org/officeDocument/2006/relationships" name="Pricing" sheetId="12" state="visible" r:id="rId12"/>
    <sheet xmlns:r="http://schemas.openxmlformats.org/officeDocument/2006/relationships" name="Media_Preference" sheetId="13" state="visible" r:id="rId13"/>
    <sheet xmlns:r="http://schemas.openxmlformats.org/officeDocument/2006/relationships" name="Web_SEO" sheetId="14" state="visible" r:id="rId14"/>
    <sheet xmlns:r="http://schemas.openxmlformats.org/officeDocument/2006/relationships" name="Sales_Ops" sheetId="15" state="visible" r:id="rId15"/>
    <sheet xmlns:r="http://schemas.openxmlformats.org/officeDocument/2006/relationships" name="Web_Productivity" sheetId="16" state="visible" r:id="rId16"/>
    <sheet xmlns:r="http://schemas.openxmlformats.org/officeDocument/2006/relationships" name="Needs_Ranked" sheetId="17" state="visible" r:id="rId17"/>
    <sheet xmlns:r="http://schemas.openxmlformats.org/officeDocument/2006/relationships" name="Growth_Room" sheetId="18" state="visible" r:id="rId18"/>
    <sheet xmlns:r="http://schemas.openxmlformats.org/officeDocument/2006/relationships" name="Competitor_CI" sheetId="19" state="visible" r:id="rId19"/>
    <sheet xmlns:r="http://schemas.openxmlformats.org/officeDocument/2006/relationships" name="Comp_Industry" sheetId="20" state="visible" r:id="rId20"/>
    <sheet xmlns:r="http://schemas.openxmlformats.org/officeDocument/2006/relationships" name="Q3_BSC" sheetId="21" state="visible" r:id="rId21"/>
    <sheet xmlns:r="http://schemas.openxmlformats.org/officeDocument/2006/relationships" name="Q3_Market" sheetId="22" state="visible" r:id="rId22"/>
    <sheet xmlns:r="http://schemas.openxmlformats.org/officeDocument/2006/relationships" name="Q3_Financials" sheetId="23" state="visible" r:id="rId23"/>
    <sheet xmlns:r="http://schemas.openxmlformats.org/officeDocument/2006/relationships" name="Q3_Unit_Economics" sheetId="24" state="visible" r:id="rId24"/>
    <sheet xmlns:r="http://schemas.openxmlformats.org/officeDocument/2006/relationships" name="Q4_Planner" sheetId="25" state="visible" r:id="rId2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9">
    <font>
      <name val="Calibri"/>
      <family val="2"/>
      <color theme="1"/>
      <sz val="11"/>
      <scheme val="minor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1F4E79"/>
      <sz val="14"/>
    </font>
    <font>
      <name val="Calibri"/>
      <family val="2"/>
      <b val="1"/>
      <sz val="11"/>
    </font>
    <font>
      <name val="Calibri"/>
      <family val="2"/>
      <b val="1"/>
      <color rgb="FF1F4E79"/>
      <sz val="11"/>
    </font>
    <font>
      <name val="Arial"/>
      <family val="2"/>
      <color rgb="FF000000"/>
      <sz val="7"/>
    </font>
    <font>
      <name val="Calibri"/>
      <family val="2"/>
      <color theme="1"/>
      <sz val="11"/>
      <scheme val="minor"/>
    </font>
    <font>
      <name val="Calibri"/>
      <family val="2"/>
      <b val="1"/>
      <color rgb="FF1F4E79"/>
      <sz val="16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006100"/>
      <sz val="11"/>
    </font>
    <font>
      <name val="Calibri"/>
      <family val="2"/>
      <b val="1"/>
      <color rgb="FF1F4E79"/>
      <sz val="14"/>
    </font>
    <font>
      <name val="Calibri"/>
      <family val="2"/>
      <b val="1"/>
      <color rgb="FF1F4E79"/>
      <sz val="11"/>
    </font>
    <font>
      <name val="Calibri"/>
      <family val="2"/>
      <b val="1"/>
      <sz val="11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b val="1"/>
      <color rgb="FF1F4E79"/>
      <sz val="14"/>
    </font>
    <font>
      <name val="Calibri"/>
      <family val="2"/>
      <i val="1"/>
      <color rgb="FF666666"/>
      <sz val="9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1"/>
    </font>
    <font>
      <b val="1"/>
    </font>
  </fonts>
  <fills count="33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FFFFFF"/>
        <bgColor indexed="64"/>
      </patternFill>
    </fill>
    <fill>
      <patternFill patternType="solid">
        <fgColor rgb="FFD7E9F8"/>
        <bgColor indexed="64"/>
      </patternFill>
    </fill>
    <fill>
      <patternFill patternType="solid">
        <fgColor rgb="FFF1F8FD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D9E2F3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8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medium">
        <color rgb="FFD1D1D1"/>
      </right>
      <top style="medium">
        <color rgb="FFE7E7E7"/>
      </top>
      <bottom style="medium">
        <color rgb="FFE7E7E7"/>
      </bottom>
      <diagonal/>
    </border>
    <border>
      <left/>
      <right/>
      <top style="medium">
        <color rgb="FFE7E7E7"/>
      </top>
      <bottom style="medium">
        <color rgb="FFE7E7E7"/>
      </bottom>
      <diagonal/>
    </border>
    <border>
      <left/>
      <right/>
      <top style="thin">
        <color rgb="FFB0B0B0"/>
      </top>
      <bottom/>
      <diagonal/>
    </border>
    <border>
      <left style="thin">
        <color rgb="FFB0B0B0"/>
      </left>
      <right/>
      <top/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7" fillId="0" borderId="16"/>
    <xf numFmtId="0" fontId="7" fillId="9" borderId="16"/>
  </cellStyleXfs>
  <cellXfs count="16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0" fillId="4" borderId="1" pivotButton="0" quotePrefix="0" xfId="0"/>
    <xf numFmtId="164" fontId="0" fillId="0" borderId="0" pivotButton="0" quotePrefix="0" xfId="0"/>
    <xf numFmtId="0" fontId="0" fillId="3" borderId="1" pivotButton="0" quotePrefix="0" xfId="0"/>
    <xf numFmtId="0" fontId="5" fillId="0" borderId="0" pivotButton="0" quotePrefix="0" xfId="0"/>
    <xf numFmtId="0" fontId="0" fillId="0" borderId="1" pivotButton="0" quotePrefix="0" xfId="0"/>
    <xf numFmtId="0" fontId="4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6" fillId="6" borderId="3" applyAlignment="1" pivotButton="0" quotePrefix="0" xfId="0">
      <alignment horizontal="right" vertical="center" wrapText="1"/>
    </xf>
    <xf numFmtId="0" fontId="6" fillId="5" borderId="2" applyAlignment="1" pivotButton="0" quotePrefix="0" xfId="0">
      <alignment horizontal="left" vertical="center" wrapText="1"/>
    </xf>
    <xf numFmtId="0" fontId="6" fillId="5" borderId="3" applyAlignment="1" pivotButton="0" quotePrefix="0" xfId="0">
      <alignment horizontal="right" vertical="center" wrapText="1"/>
    </xf>
    <xf numFmtId="0" fontId="6" fillId="7" borderId="2" applyAlignment="1" pivotButton="0" quotePrefix="0" xfId="0">
      <alignment horizontal="left" vertical="center" wrapText="1"/>
    </xf>
    <xf numFmtId="0" fontId="6" fillId="7" borderId="3" applyAlignment="1" pivotButton="0" quotePrefix="0" xfId="0">
      <alignment horizontal="right" vertical="center" wrapText="1"/>
    </xf>
    <xf numFmtId="0" fontId="6" fillId="8" borderId="2" applyAlignment="1" pivotButton="0" quotePrefix="0" xfId="0">
      <alignment horizontal="left" vertical="center" wrapText="1"/>
    </xf>
    <xf numFmtId="0" fontId="6" fillId="8" borderId="3" applyAlignment="1" pivotButton="0" quotePrefix="0" xfId="0">
      <alignment horizontal="right" vertical="center" wrapText="1"/>
    </xf>
    <xf numFmtId="3" fontId="6" fillId="7" borderId="3" applyAlignment="1" pivotButton="0" quotePrefix="0" xfId="0">
      <alignment horizontal="right" vertical="center" wrapText="1"/>
    </xf>
    <xf numFmtId="3" fontId="6" fillId="5" borderId="3" applyAlignment="1" pivotButton="0" quotePrefix="0" xfId="0">
      <alignment horizontal="right" vertical="center" wrapText="1"/>
    </xf>
    <xf numFmtId="3" fontId="6" fillId="6" borderId="3" applyAlignment="1" pivotButton="0" quotePrefix="0" xfId="0">
      <alignment horizontal="right" vertical="center" wrapText="1"/>
    </xf>
    <xf numFmtId="0" fontId="7" fillId="9" borderId="1" pivotButton="0" quotePrefix="0" xfId="1"/>
    <xf numFmtId="0" fontId="0" fillId="10" borderId="0" pivotButton="0" quotePrefix="0" xfId="0"/>
    <xf numFmtId="0" fontId="8" fillId="0" borderId="0" pivotButton="0" quotePrefix="0" xfId="0"/>
    <xf numFmtId="0" fontId="9" fillId="11" borderId="12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1" pivotButton="0" quotePrefix="0" xfId="0"/>
    <xf numFmtId="0" fontId="10" fillId="0" borderId="11" pivotButton="0" quotePrefix="0" xfId="0"/>
    <xf numFmtId="0" fontId="11" fillId="0" borderId="11" pivotButton="0" quotePrefix="0" xfId="0"/>
    <xf numFmtId="0" fontId="1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0" borderId="12" applyAlignment="1" pivotButton="0" quotePrefix="0" xfId="0">
      <alignment horizontal="center" vertical="center" wrapText="1"/>
    </xf>
    <xf numFmtId="0" fontId="0" fillId="12" borderId="12" applyAlignment="1" pivotButton="0" quotePrefix="0" xfId="0">
      <alignment horizontal="left" vertical="center" wrapText="1"/>
    </xf>
    <xf numFmtId="0" fontId="0" fillId="12" borderId="12" applyAlignment="1" pivotButton="0" quotePrefix="0" xfId="0">
      <alignment horizontal="center" vertical="center" wrapText="1"/>
    </xf>
    <xf numFmtId="0" fontId="0" fillId="13" borderId="12" applyAlignment="1" pivotButton="0" quotePrefix="0" xfId="0">
      <alignment horizontal="left" vertical="center" wrapText="1"/>
    </xf>
    <xf numFmtId="0" fontId="0" fillId="13" borderId="12" pivotButton="0" quotePrefix="0" xfId="0"/>
    <xf numFmtId="0" fontId="14" fillId="0" borderId="0" pivotButton="0" quotePrefix="0" xfId="0"/>
    <xf numFmtId="0" fontId="0" fillId="14" borderId="12" pivotButton="0" quotePrefix="0" xfId="0"/>
    <xf numFmtId="0" fontId="15" fillId="0" borderId="11" pivotButton="0" quotePrefix="0" xfId="0"/>
    <xf numFmtId="0" fontId="16" fillId="0" borderId="12" pivotButton="0" quotePrefix="0" xfId="0"/>
    <xf numFmtId="0" fontId="1" fillId="0" borderId="13" pivotButton="0" quotePrefix="0" xfId="0"/>
    <xf numFmtId="0" fontId="0" fillId="0" borderId="13" pivotButton="0" quotePrefix="0" xfId="0"/>
    <xf numFmtId="0" fontId="17" fillId="0" borderId="0" pivotButton="0" quotePrefix="0" xfId="0"/>
    <xf numFmtId="0" fontId="18" fillId="0" borderId="0" pivotButton="0" quotePrefix="0" xfId="0"/>
    <xf numFmtId="0" fontId="20" fillId="15" borderId="13" applyAlignment="1" pivotButton="0" quotePrefix="0" xfId="0">
      <alignment horizontal="center" vertical="center" wrapText="1"/>
    </xf>
    <xf numFmtId="0" fontId="0" fillId="16" borderId="13" pivotButton="0" quotePrefix="0" xfId="0"/>
    <xf numFmtId="0" fontId="0" fillId="18" borderId="13" pivotButton="0" quotePrefix="0" xfId="0"/>
    <xf numFmtId="0" fontId="19" fillId="0" borderId="0" pivotButton="0" quotePrefix="0" xfId="0"/>
    <xf numFmtId="0" fontId="0" fillId="17" borderId="13" pivotButton="0" quotePrefix="0" xfId="0"/>
    <xf numFmtId="0" fontId="0" fillId="0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16" borderId="13" applyAlignment="1" pivotButton="0" quotePrefix="0" xfId="0">
      <alignment horizontal="center" vertical="center" wrapText="1"/>
    </xf>
    <xf numFmtId="0" fontId="0" fillId="16" borderId="13" applyAlignment="1" pivotButton="0" quotePrefix="0" xfId="0">
      <alignment horizontal="left" vertical="center" wrapText="1"/>
    </xf>
    <xf numFmtId="0" fontId="0" fillId="17" borderId="13" applyAlignment="1" pivotButton="0" quotePrefix="0" xfId="0">
      <alignment horizontal="center" vertical="center" wrapText="1"/>
    </xf>
    <xf numFmtId="0" fontId="0" fillId="17" borderId="13" applyAlignment="1" pivotButton="0" quotePrefix="0" xfId="0">
      <alignment horizontal="left" vertical="center" wrapText="1"/>
    </xf>
    <xf numFmtId="0" fontId="21" fillId="0" borderId="0" pivotButton="0" quotePrefix="0" xfId="0"/>
    <xf numFmtId="0" fontId="0" fillId="10" borderId="13" pivotButton="0" quotePrefix="0" xfId="0"/>
    <xf numFmtId="0" fontId="22" fillId="0" borderId="0" pivotButton="0" quotePrefix="0" xfId="0"/>
    <xf numFmtId="0" fontId="0" fillId="19" borderId="0" pivotButton="0" quotePrefix="0" xfId="0"/>
    <xf numFmtId="164" fontId="0" fillId="19" borderId="0" pivotButton="0" quotePrefix="0" xfId="0"/>
    <xf numFmtId="0" fontId="23" fillId="0" borderId="0" pivotButton="0" quotePrefix="0" xfId="0"/>
    <xf numFmtId="0" fontId="24" fillId="20" borderId="14" pivotButton="0" quotePrefix="0" xfId="0"/>
    <xf numFmtId="0" fontId="0" fillId="21" borderId="14" pivotButton="0" quotePrefix="0" xfId="0"/>
    <xf numFmtId="3" fontId="0" fillId="0" borderId="14" pivotButton="0" quotePrefix="0" xfId="0"/>
    <xf numFmtId="3" fontId="0" fillId="0" borderId="0" pivotButton="0" quotePrefix="0" xfId="0"/>
    <xf numFmtId="0" fontId="0" fillId="19" borderId="14" pivotButton="0" quotePrefix="0" xfId="0"/>
    <xf numFmtId="3" fontId="0" fillId="19" borderId="14" pivotButton="0" quotePrefix="0" xfId="0"/>
    <xf numFmtId="3" fontId="0" fillId="19" borderId="0" pivotButton="0" quotePrefix="0" xfId="0"/>
    <xf numFmtId="0" fontId="0" fillId="0" borderId="14" pivotButton="0" quotePrefix="0" xfId="0"/>
    <xf numFmtId="0" fontId="0" fillId="22" borderId="14" pivotButton="0" quotePrefix="0" xfId="0"/>
    <xf numFmtId="0" fontId="24" fillId="20" borderId="14" applyAlignment="1" pivotButton="0" quotePrefix="0" xfId="0">
      <alignment horizontal="center" vertical="center" wrapText="1"/>
    </xf>
    <xf numFmtId="3" fontId="0" fillId="13" borderId="14" pivotButton="0" quotePrefix="0" xfId="0"/>
    <xf numFmtId="0" fontId="0" fillId="13" borderId="14" pivotButton="0" quotePrefix="0" xfId="0"/>
    <xf numFmtId="165" fontId="0" fillId="19" borderId="0" pivotButton="0" quotePrefix="0" xfId="0"/>
    <xf numFmtId="0" fontId="24" fillId="0" borderId="0" pivotButton="0" quotePrefix="0" xfId="0"/>
    <xf numFmtId="3" fontId="24" fillId="0" borderId="0" pivotButton="0" quotePrefix="0" xfId="0"/>
    <xf numFmtId="3" fontId="0" fillId="22" borderId="0" pivotButton="0" quotePrefix="0" xfId="0"/>
    <xf numFmtId="3" fontId="0" fillId="23" borderId="0" pivotButton="0" quotePrefix="0" xfId="0"/>
    <xf numFmtId="0" fontId="0" fillId="23" borderId="0" pivotButton="0" quotePrefix="0" xfId="0"/>
    <xf numFmtId="0" fontId="0" fillId="23" borderId="14" pivotButton="0" quotePrefix="0" xfId="0"/>
    <xf numFmtId="0" fontId="22" fillId="0" borderId="15" pivotButton="0" quotePrefix="0" xfId="0"/>
    <xf numFmtId="0" fontId="0" fillId="0" borderId="15" pivotButton="0" quotePrefix="0" xfId="0"/>
    <xf numFmtId="0" fontId="24" fillId="0" borderId="15" pivotButton="0" quotePrefix="0" xfId="0"/>
    <xf numFmtId="3" fontId="0" fillId="0" borderId="15" pivotButton="0" quotePrefix="0" xfId="0"/>
    <xf numFmtId="0" fontId="0" fillId="23" borderId="15" pivotButton="0" quotePrefix="0" xfId="0"/>
    <xf numFmtId="3" fontId="0" fillId="23" borderId="15" pivotButton="0" quotePrefix="0" xfId="0"/>
    <xf numFmtId="3" fontId="24" fillId="0" borderId="15" pivotButton="0" quotePrefix="0" xfId="0"/>
    <xf numFmtId="3" fontId="24" fillId="20" borderId="14" pivotButton="0" quotePrefix="0" xfId="0"/>
    <xf numFmtId="164" fontId="0" fillId="0" borderId="14" pivotButton="0" quotePrefix="0" xfId="0"/>
    <xf numFmtId="3" fontId="0" fillId="23" borderId="14" pivotButton="0" quotePrefix="0" xfId="0"/>
    <xf numFmtId="3" fontId="24" fillId="22" borderId="0" pivotButton="0" quotePrefix="0" xfId="0"/>
    <xf numFmtId="2" fontId="0" fillId="19" borderId="14" pivotButton="0" quotePrefix="0" xfId="0"/>
    <xf numFmtId="0" fontId="24" fillId="0" borderId="14" pivotButton="0" quotePrefix="0" xfId="0"/>
    <xf numFmtId="3" fontId="24" fillId="23" borderId="14" pivotButton="0" quotePrefix="0" xfId="0"/>
    <xf numFmtId="164" fontId="0" fillId="23" borderId="14" pivotButton="0" quotePrefix="0" xfId="0"/>
    <xf numFmtId="2" fontId="0" fillId="0" borderId="0" pivotButton="0" quotePrefix="0" xfId="0"/>
    <xf numFmtId="0" fontId="24" fillId="23" borderId="14" pivotButton="0" quotePrefix="0" xfId="0"/>
    <xf numFmtId="0" fontId="23" fillId="0" borderId="15" pivotButton="0" quotePrefix="0" xfId="0"/>
    <xf numFmtId="164" fontId="0" fillId="19" borderId="14" pivotButton="0" quotePrefix="0" xfId="0"/>
    <xf numFmtId="164" fontId="0" fillId="0" borderId="15" pivotButton="0" quotePrefix="0" xfId="0"/>
    <xf numFmtId="2" fontId="0" fillId="23" borderId="14" pivotButton="0" quotePrefix="0" xfId="0"/>
    <xf numFmtId="4" fontId="0" fillId="23" borderId="14" pivotButton="0" quotePrefix="0" xfId="0"/>
    <xf numFmtId="4" fontId="0" fillId="22" borderId="14" pivotButton="0" quotePrefix="0" xfId="0"/>
    <xf numFmtId="164" fontId="0" fillId="23" borderId="0" pivotButton="0" quotePrefix="0" xfId="0"/>
    <xf numFmtId="4" fontId="0" fillId="23" borderId="0" pivotButton="0" quotePrefix="0" xfId="0"/>
    <xf numFmtId="9" fontId="0" fillId="19" borderId="14" pivotButton="0" quotePrefix="0" xfId="0"/>
    <xf numFmtId="3" fontId="0" fillId="22" borderId="14" pivotButton="0" quotePrefix="0" xfId="0"/>
    <xf numFmtId="164" fontId="0" fillId="22" borderId="0" pivotButton="0" quotePrefix="0" xfId="0"/>
    <xf numFmtId="2" fontId="0" fillId="23" borderId="0" pivotButton="0" quotePrefix="0" xfId="0"/>
    <xf numFmtId="4" fontId="0" fillId="0" borderId="0" pivotButton="0" quotePrefix="0" xfId="0"/>
    <xf numFmtId="0" fontId="25" fillId="0" borderId="16" pivotButton="0" quotePrefix="0" xfId="0"/>
    <xf numFmtId="0" fontId="0" fillId="0" borderId="16" pivotButton="0" quotePrefix="0" xfId="0"/>
    <xf numFmtId="0" fontId="26" fillId="24" borderId="17" pivotButton="0" quotePrefix="0" xfId="0"/>
    <xf numFmtId="0" fontId="0" fillId="0" borderId="17" pivotButton="0" quotePrefix="0" xfId="0"/>
    <xf numFmtId="0" fontId="0" fillId="25" borderId="17" pivotButton="0" quotePrefix="0" xfId="0"/>
    <xf numFmtId="164" fontId="0" fillId="0" borderId="17" pivotButton="0" quotePrefix="0" xfId="0"/>
    <xf numFmtId="0" fontId="0" fillId="26" borderId="17" pivotButton="0" quotePrefix="0" xfId="0"/>
    <xf numFmtId="0" fontId="27" fillId="0" borderId="0" pivotButton="0" quotePrefix="0" xfId="0"/>
    <xf numFmtId="3" fontId="0" fillId="0" borderId="17" pivotButton="0" quotePrefix="0" xfId="0"/>
    <xf numFmtId="3" fontId="0" fillId="25" borderId="17" pivotButton="0" quotePrefix="0" xfId="0"/>
    <xf numFmtId="0" fontId="0" fillId="27" borderId="17" pivotButton="0" quotePrefix="0" xfId="0"/>
    <xf numFmtId="2" fontId="0" fillId="25" borderId="17" pivotButton="0" quotePrefix="0" xfId="0"/>
    <xf numFmtId="2" fontId="0" fillId="0" borderId="17" pivotButton="0" quotePrefix="0" xfId="0"/>
    <xf numFmtId="0" fontId="26" fillId="25" borderId="17" pivotButton="0" quotePrefix="0" xfId="0"/>
    <xf numFmtId="2" fontId="0" fillId="26" borderId="0" pivotButton="0" quotePrefix="0" xfId="0"/>
    <xf numFmtId="164" fontId="0" fillId="25" borderId="0" pivotButton="0" quotePrefix="0" xfId="0"/>
    <xf numFmtId="0" fontId="0" fillId="28" borderId="17" pivotButton="0" quotePrefix="0" xfId="0"/>
    <xf numFmtId="3" fontId="0" fillId="28" borderId="17" pivotButton="0" quotePrefix="0" xfId="0"/>
    <xf numFmtId="3" fontId="0" fillId="26" borderId="17" pivotButton="0" quotePrefix="0" xfId="0"/>
    <xf numFmtId="3" fontId="0" fillId="26" borderId="0" pivotButton="0" quotePrefix="0" xfId="0"/>
    <xf numFmtId="0" fontId="0" fillId="26" borderId="0" pivotButton="0" quotePrefix="0" xfId="0"/>
    <xf numFmtId="0" fontId="27" fillId="0" borderId="16" pivotButton="0" quotePrefix="0" xfId="0"/>
    <xf numFmtId="164" fontId="0" fillId="25" borderId="17" pivotButton="0" quotePrefix="0" xfId="0"/>
    <xf numFmtId="2" fontId="0" fillId="28" borderId="17" pivotButton="0" quotePrefix="0" xfId="0"/>
    <xf numFmtId="164" fontId="0" fillId="28" borderId="17" pivotButton="0" quotePrefix="0" xfId="0"/>
    <xf numFmtId="0" fontId="0" fillId="3" borderId="13" applyAlignment="1" pivotButton="0" quotePrefix="0" xfId="0">
      <alignment vertical="top" wrapText="1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5" pivotButton="0" quotePrefix="0" xfId="0"/>
    <xf numFmtId="0" fontId="10" fillId="0" borderId="15" pivotButton="0" quotePrefix="0" xfId="0"/>
    <xf numFmtId="0" fontId="18" fillId="0" borderId="15" pivotButton="0" quotePrefix="0" xfId="0"/>
    <xf numFmtId="0" fontId="10" fillId="0" borderId="16" pivotButton="0" quotePrefix="0" xfId="0"/>
    <xf numFmtId="0" fontId="18" fillId="0" borderId="16" pivotButton="0" quotePrefix="0" xfId="0"/>
    <xf numFmtId="164" fontId="0" fillId="29" borderId="14" pivotButton="0" quotePrefix="0" xfId="0"/>
    <xf numFmtId="3" fontId="0" fillId="29" borderId="14" pivotButton="0" quotePrefix="0" xfId="0"/>
    <xf numFmtId="3" fontId="0" fillId="29" borderId="0" pivotButton="0" quotePrefix="0" xfId="0"/>
    <xf numFmtId="0" fontId="0" fillId="29" borderId="0" pivotButton="0" quotePrefix="0" xfId="0"/>
    <xf numFmtId="165" fontId="0" fillId="29" borderId="0" pivotButton="0" quotePrefix="0" xfId="0"/>
    <xf numFmtId="164" fontId="0" fillId="29" borderId="0" pivotButton="0" quotePrefix="0" xfId="0"/>
    <xf numFmtId="0" fontId="0" fillId="29" borderId="13" pivotButton="0" quotePrefix="0" xfId="0"/>
    <xf numFmtId="0" fontId="0" fillId="29" borderId="14" pivotButton="0" quotePrefix="0" xfId="0"/>
    <xf numFmtId="2" fontId="0" fillId="29" borderId="14" pivotButton="0" quotePrefix="0" xfId="0"/>
    <xf numFmtId="0" fontId="28" fillId="0" borderId="0" pivotButton="0" quotePrefix="0" xfId="0"/>
    <xf numFmtId="0" fontId="28" fillId="30" borderId="0" pivotButton="0" quotePrefix="0" xfId="0"/>
    <xf numFmtId="0" fontId="0" fillId="31" borderId="0" pivotButton="0" quotePrefix="0" xfId="0"/>
    <xf numFmtId="0" fontId="0" fillId="32" borderId="0" pivotButton="0" quotePrefix="0" xfId="0"/>
  </cellXfs>
  <cellStyles count="2">
    <cellStyle name="Normal" xfId="0" builtinId="0"/>
    <cellStyle name="20% - Accent1" xfId="1" builtinId="30"/>
  </cellStyles>
  <dxfs count="5"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Operating Capacity Costs per Unit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Manufacturing!$B$56</f>
              <strCache>
                <ptCount val="1"/>
                <pt idx="0">
                  <v>Labor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Manufacturing!$B$57:$B$71</f>
              <numCache>
                <formatCode>#,##0</formatCode>
                <ptCount val="15"/>
                <pt idx="0">
                  <v>1200</v>
                </pt>
                <pt idx="1">
                  <v>380</v>
                </pt>
                <pt idx="2">
                  <v>220</v>
                </pt>
                <pt idx="3">
                  <v>190</v>
                </pt>
                <pt idx="4">
                  <v>170</v>
                </pt>
                <pt idx="5">
                  <v>155</v>
                </pt>
                <pt idx="6">
                  <v>145</v>
                </pt>
                <pt idx="7">
                  <v>135</v>
                </pt>
                <pt idx="8">
                  <v>125</v>
                </pt>
                <pt idx="9">
                  <v>115</v>
                </pt>
                <pt idx="10">
                  <v>110</v>
                </pt>
                <pt idx="11">
                  <v>120</v>
                </pt>
                <pt idx="12">
                  <v>190</v>
                </pt>
                <pt idx="13">
                  <v>300</v>
                </pt>
                <pt idx="14">
                  <v>400</v>
                </pt>
              </numCache>
            </numRef>
          </val>
          <smooth val="1"/>
        </ser>
        <ser>
          <idx val="1"/>
          <order val="1"/>
          <tx>
            <strRef>
              <f>Manufacturing!$C$56</f>
              <strCache>
                <ptCount val="1"/>
                <pt idx="0">
                  <v>Overhead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Manufacturing!$C$57:$C$71</f>
              <numCache>
                <formatCode>#,##0</formatCode>
                <ptCount val="15"/>
                <pt idx="0">
                  <v>1400</v>
                </pt>
                <pt idx="1">
                  <v>350</v>
                </pt>
                <pt idx="2">
                  <v>180</v>
                </pt>
                <pt idx="3">
                  <v>130</v>
                </pt>
                <pt idx="4">
                  <v>95</v>
                </pt>
                <pt idx="5">
                  <v>80</v>
                </pt>
                <pt idx="6">
                  <v>70</v>
                </pt>
                <pt idx="7">
                  <v>60</v>
                </pt>
                <pt idx="8">
                  <v>55</v>
                </pt>
                <pt idx="9">
                  <v>50</v>
                </pt>
                <pt idx="10">
                  <v>48</v>
                </pt>
                <pt idx="11">
                  <v>45</v>
                </pt>
                <pt idx="12">
                  <v>45</v>
                </pt>
                <pt idx="13">
                  <v>45</v>
                </pt>
                <pt idx="14">
                  <v>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Operating Capacity (units/day)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Cost per unit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Projected Change in Worker Productivity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Manufacturing!$B$100</f>
              <strCache>
                <ptCount val="1"/>
                <pt idx="0">
                  <v>Productivity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Manufacturing!$A$101:$A$105</f>
              <numCache>
                <formatCode>General</formatCode>
                <ptCount val="5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</numCache>
            </numRef>
          </cat>
          <val>
            <numRef>
              <f>Manufacturing!$B$101:$B$105</f>
              <numCache>
                <formatCode>0.0%</formatCode>
                <ptCount val="5"/>
                <pt idx="0">
                  <v>0.7</v>
                </pt>
                <pt idx="1">
                  <v>0.6929999999999999</v>
                </pt>
                <pt idx="2">
                  <v>0.68</v>
                </pt>
                <pt idx="3">
                  <v>0.664</v>
                </pt>
                <pt idx="4">
                  <v>0.644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Overtime Hours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Hike Bike unit cost vs volume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Cost_of_Production!$B$5</f>
              <strCache>
                <ptCount val="1"/>
                <pt idx="0">
                  <v>100 units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Cost_of_Production!$C$5:$G$5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Cost_of_Production!$B$6</f>
              <strCache>
                <ptCount val="1"/>
                <pt idx="0">
                  <v>924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Cost_of_Production!$C$6:$G$6</f>
              <numCache>
                <formatCode>#,##0</formatCode>
                <ptCount val="5"/>
                <pt idx="0">
                  <v>675</v>
                </pt>
                <pt idx="1">
                  <v>550</v>
                </pt>
                <pt idx="2">
                  <v>495</v>
                </pt>
                <pt idx="3">
                  <v>405</v>
                </pt>
                <pt idx="4">
                  <v>363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Units (all brands)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 cost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Media preference by segment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Media_Preference!$B$5</f>
              <strCache>
                <ptCount val="1"/>
                <pt idx="0">
                  <v>Recreation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Media_Preference!$B$6:$B$12</f>
              <numCache>
                <formatCode>General</formatCode>
                <ptCount val="7"/>
                <pt idx="0">
                  <v>143</v>
                </pt>
                <pt idx="1">
                  <v>127</v>
                </pt>
                <pt idx="2">
                  <v>51</v>
                </pt>
                <pt idx="3">
                  <v>84</v>
                </pt>
                <pt idx="4">
                  <v>90</v>
                </pt>
                <pt idx="5">
                  <v>81</v>
                </pt>
                <pt idx="6">
                  <v>111</v>
                </pt>
              </numCache>
            </numRef>
          </val>
        </ser>
        <ser>
          <idx val="1"/>
          <order val="1"/>
          <tx>
            <strRef>
              <f>Media_Preference!$C$5</f>
              <strCache>
                <ptCount val="1"/>
                <pt idx="0">
                  <v>Mountain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Media_Preference!$C$6:$C$12</f>
              <numCache>
                <formatCode>General</formatCode>
                <ptCount val="7"/>
                <pt idx="0">
                  <v>60</v>
                </pt>
                <pt idx="1">
                  <v>104</v>
                </pt>
                <pt idx="2">
                  <v>134</v>
                </pt>
                <pt idx="3">
                  <v>123</v>
                </pt>
                <pt idx="4">
                  <v>93</v>
                </pt>
                <pt idx="5">
                  <v>94</v>
                </pt>
                <pt idx="6">
                  <v>122</v>
                </pt>
              </numCache>
            </numRef>
          </val>
        </ser>
        <ser>
          <idx val="2"/>
          <order val="2"/>
          <tx>
            <strRef>
              <f>Media_Preference!$D$5</f>
              <strCache>
                <ptCount val="1"/>
                <pt idx="0">
                  <v>Speed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Media_Preference!$D$6:$D$12</f>
              <numCache>
                <formatCode>General</formatCode>
                <ptCount val="7"/>
                <pt idx="0">
                  <v>51</v>
                </pt>
                <pt idx="1">
                  <v>100</v>
                </pt>
                <pt idx="2">
                  <v>133</v>
                </pt>
                <pt idx="3">
                  <v>117</v>
                </pt>
                <pt idx="4">
                  <v>125</v>
                </pt>
                <pt idx="5">
                  <v>114</v>
                </pt>
                <pt idx="6">
                  <v>113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Medium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Preference 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Potential Improvement [%] vs Quarterly Budget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Web_Productivity!$B$20</f>
              <strCache>
                <ptCount val="1"/>
                <pt idx="0">
                  <v>Toll-free phone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Web_Productivity!$B$21:$B$27</f>
              <numCache>
                <formatCode>0.0%</formatCode>
                <ptCount val="7"/>
                <pt idx="0">
                  <v>0</v>
                </pt>
                <pt idx="1">
                  <v>0.31</v>
                </pt>
                <pt idx="2">
                  <v>0.35</v>
                </pt>
                <pt idx="3">
                  <v>0.415</v>
                </pt>
                <pt idx="4">
                  <v>0.44</v>
                </pt>
                <pt idx="5">
                  <v>0.45</v>
                </pt>
                <pt idx="6">
                  <v>0.465</v>
                </pt>
              </numCache>
            </numRef>
          </val>
          <smooth val="1"/>
        </ser>
        <ser>
          <idx val="1"/>
          <order val="1"/>
          <tx>
            <strRef>
              <f>Web_Productivity!$C$20</f>
              <strCache>
                <ptCount val="1"/>
                <pt idx="0">
                  <v>Page upgrades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Web_Productivity!$C$21:$C$27</f>
              <numCache>
                <formatCode>0.0%</formatCode>
                <ptCount val="7"/>
                <pt idx="0">
                  <v>0</v>
                </pt>
                <pt idx="1">
                  <v>0.16</v>
                </pt>
                <pt idx="2">
                  <v>0.185</v>
                </pt>
                <pt idx="3">
                  <v>0.235</v>
                </pt>
                <pt idx="4">
                  <v>0.26</v>
                </pt>
                <pt idx="5">
                  <v>0.275</v>
                </pt>
                <pt idx="6">
                  <v>0.295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Quarterly Budget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Potential Improvement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Importance of Further Improvement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Comp_Industry!$B$67</f>
              <strCache>
                <ptCount val="1"/>
                <pt idx="0">
                  <v>Industry Importance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Comp_Industry!$A$68:$A$71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Comp_Industry!$B$68:$B$71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Our Planning Weights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Comp_Industry!$B$124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Comp_Industry!$B$125:$B$130</f>
              <numCache>
                <formatCode>General</formatCode>
                <ptCount val="6"/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Comp_Industry!$C$124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Comp_Industry!$C$125:$C$130</f>
              <numCache>
                <formatCode>General</formatCode>
                <ptCount val="6"/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Comp_Industry!$D$124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Comp_Industry!$D$125:$D$130</f>
              <numCache>
                <formatCode>General</formatCode>
                <ptCount val="6"/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Comp_Industry!$E$124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Comp_Industry!$E$125:$E$130</f>
              <numCache>
                <formatCode>General</formatCode>
                <ptCount val="6"/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Importance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Comp_Industry!$B$133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Comp_Industry!$B$134:$B$139</f>
              <numCache>
                <formatCode>General</formatCode>
                <ptCount val="6"/>
                <pt idx="0">
                  <v>87</v>
                </pt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Comp_Industry!$C$133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Comp_Industry!$C$134:$C$139</f>
              <numCache>
                <formatCode>General</formatCode>
                <ptCount val="6"/>
                <pt idx="0">
                  <v>84</v>
                </pt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Comp_Industry!$D$133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Comp_Industry!$D$134:$D$139</f>
              <numCache>
                <formatCode>General</formatCode>
                <ptCount val="6"/>
                <pt idx="0">
                  <v>72</v>
                </pt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Comp_Industry!$E$133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Comp_Industry!$E$134:$E$139</f>
              <numCache>
                <formatCode>General</formatCode>
                <ptCount val="6"/>
                <pt idx="0">
                  <v>70</v>
                </pt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Package Value Index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Comp_Industry!$B$142</f>
              <strCache>
                <ptCount val="1"/>
                <pt idx="0">
                  <v>Sales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Comp_Industry!$B$143:$B$148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Comp_Industry!$C$142</f>
              <strCache>
                <ptCount val="1"/>
                <pt idx="0">
                  <v>Prod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Comp_Industry!$C$143:$C$148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Index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Estimated Productivity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Comp_Industry!$F$142</f>
              <strCache>
                <ptCount val="1"/>
                <pt idx="0">
                  <v>Sales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Comp_Industry!$F$143:$F$148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ser>
          <idx val="1"/>
          <order val="1"/>
          <tx>
            <strRef>
              <f>Comp_Industry!$G$142</f>
              <strCache>
                <ptCount val="1"/>
                <pt idx="0">
                  <v>Prod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Comp_Industry!$G$143:$G$148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vs Our Weights (current)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Comp_Industry!$B$153</f>
              <strCache>
                <ptCount val="1"/>
                <pt idx="0">
                  <v>Industry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Comp_Industry!$B$154:$B$157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ser>
          <idx val="1"/>
          <order val="1"/>
          <tx>
            <strRef>
              <f>Comp_Industry!$C$153</f>
              <strCache>
                <ptCount val="1"/>
                <pt idx="0">
                  <v>Our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Comp_Industry!$C$154:$C$157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Relationship Type="http://schemas.openxmlformats.org/officeDocument/2006/relationships/chart" Target="/xl/charts/chart9.xml" Id="rId4"/><Relationship Type="http://schemas.openxmlformats.org/officeDocument/2006/relationships/chart" Target="/xl/charts/chart10.xml" Id="rId5"/><Relationship Type="http://schemas.openxmlformats.org/officeDocument/2006/relationships/chart" Target="/xl/charts/chart11.xml" Id="rId6"/></Relationships>
</file>

<file path=xl/drawings/drawing1.xml><?xml version="1.0" encoding="utf-8"?>
<wsDr xmlns="http://schemas.openxmlformats.org/drawingml/2006/spreadsheetDrawing">
  <oneCellAnchor>
    <from>
      <col>5</col>
      <colOff>0</colOff>
      <row>54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98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41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18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6</col>
      <colOff>0</colOff>
      <row>64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122</row>
      <rowOff>0</rowOff>
    </from>
    <ext cx="54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131</row>
      <rowOff>0</rowOff>
    </from>
    <ext cx="540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140</row>
      <rowOff>0</rowOff>
    </from>
    <ext cx="540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8</col>
      <colOff>0</colOff>
      <row>149</row>
      <rowOff>0</rowOff>
    </from>
    <ext cx="540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4</col>
      <colOff>0</colOff>
      <row>151</row>
      <rowOff>0</rowOff>
    </from>
    <ext cx="432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B26" sqref="B26"/>
    </sheetView>
  </sheetViews>
  <sheetFormatPr baseColWidth="8" defaultRowHeight="14.5"/>
  <cols>
    <col width="18" customWidth="1" style="146" min="1" max="1"/>
    <col width="48" customWidth="1" style="146" min="2" max="2"/>
    <col width="40" customWidth="1" style="146" min="3" max="3"/>
  </cols>
  <sheetData>
    <row r="1" ht="21" customHeight="1" s="146">
      <c r="A1" s="28" t="inlineStr">
        <is>
          <t>Q2Data — Unified Q2 team workbook (WeBike)</t>
        </is>
      </c>
    </row>
    <row r="2">
      <c r="A2" s="1" t="inlineStr">
        <is>
          <t>Built from Q1Data. Paste new Workspace reports into yellow cells. Keep Q1 survey sheets as baseline until refreshed.</t>
        </is>
      </c>
    </row>
    <row r="4">
      <c r="A4" s="29" t="inlineStr">
        <is>
          <t>Sheet</t>
        </is>
      </c>
      <c r="B4" s="29" t="inlineStr">
        <is>
          <t>Contents</t>
        </is>
      </c>
      <c r="C4" s="29" t="inlineStr">
        <is>
          <t>Decision use</t>
        </is>
      </c>
    </row>
    <row r="5" ht="29" customHeight="1" s="146">
      <c r="A5" s="30" t="inlineStr">
        <is>
          <t>Needs</t>
        </is>
      </c>
      <c r="B5" s="30" t="inlineStr">
        <is>
          <t>Customer need scores by segment (from Q1; refresh if new survey)</t>
        </is>
      </c>
      <c r="C5" s="30" t="inlineStr">
        <is>
          <t>Brand Judgment / ads</t>
        </is>
      </c>
    </row>
    <row r="6">
      <c r="A6" s="30" t="inlineStr">
        <is>
          <t>Applications</t>
        </is>
      </c>
      <c r="B6" s="30" t="inlineStr">
        <is>
          <t>Use-pattern importance (from Q1)</t>
        </is>
      </c>
      <c r="C6" s="30" t="inlineStr">
        <is>
          <t>Brand design / ads tone</t>
        </is>
      </c>
    </row>
    <row r="7">
      <c r="A7" s="30" t="inlineStr">
        <is>
          <t>Price_WTP</t>
        </is>
      </c>
      <c r="B7" s="30" t="inlineStr">
        <is>
          <t>Ideal-brand price ceilings (from Q1)</t>
        </is>
      </c>
      <c r="C7" s="30" t="inlineStr">
        <is>
          <t>Pricing frame vs WTP</t>
        </is>
      </c>
    </row>
    <row r="8">
      <c r="A8" s="30" t="inlineStr">
        <is>
          <t>Market_Potential</t>
        </is>
      </c>
      <c r="B8" s="30" t="inlineStr">
        <is>
          <t>12-mo units by city × segment (from Q1)</t>
        </is>
      </c>
      <c r="C8" s="30" t="inlineStr">
        <is>
          <t>Demand / city #2 / capacity</t>
        </is>
      </c>
    </row>
    <row r="9">
      <c r="A9" s="30" t="inlineStr">
        <is>
          <t>Sales_Channel</t>
        </is>
      </c>
      <c r="B9" s="30" t="inlineStr">
        <is>
          <t>Shop vs web posture — AMS + World web LIVE</t>
        </is>
      </c>
      <c r="C9" s="30" t="inlineStr">
        <is>
          <t>City #2 + staffing</t>
        </is>
      </c>
    </row>
    <row r="10">
      <c r="A10" s="30" t="inlineStr">
        <is>
          <t>Stores_Costs</t>
        </is>
      </c>
      <c r="B10" s="30" t="inlineStr">
        <is>
          <t>Store/web setup + lease — update open status</t>
        </is>
      </c>
      <c r="C10" s="30" t="inlineStr">
        <is>
          <t>Cash / lease burn</t>
        </is>
      </c>
    </row>
    <row r="11">
      <c r="A11" s="30" t="inlineStr">
        <is>
          <t>Manufacturing</t>
        </is>
      </c>
      <c r="B11" s="30" t="inlineStr">
        <is>
          <t>Fixed capacity live + OC / OT helpers</t>
        </is>
      </c>
      <c r="C11" s="30" t="inlineStr">
        <is>
          <t>Operating capacity ≤ 24/day</t>
        </is>
      </c>
    </row>
    <row r="12">
      <c r="A12" s="31" t="inlineStr">
        <is>
          <t>Production_Sim</t>
        </is>
      </c>
      <c r="B12" s="31" t="inlineStr">
        <is>
          <t>Produce/demand/stockouts/utilization + printer add summary</t>
        </is>
      </c>
      <c r="C12" s="31" t="inlineStr">
        <is>
          <t>Production simulation &amp; fixed capacity plan</t>
        </is>
      </c>
    </row>
    <row r="13">
      <c r="A13" s="46" t="inlineStr">
        <is>
          <t>Cost_of_Production</t>
        </is>
      </c>
      <c r="B13" s="31" t="inlineStr">
        <is>
          <t>Unit cost by volume (Workspace Q2)</t>
        </is>
      </c>
      <c r="C13" s="31" t="inlineStr">
        <is>
          <t>Price vs COGS; volume scenarios</t>
        </is>
      </c>
    </row>
    <row r="14">
      <c r="A14" s="45" t="inlineStr">
        <is>
          <t>Demand_Forecast</t>
        </is>
      </c>
      <c r="B14" s="32" t="inlineStr">
        <is>
          <t>Demand = units/SP × people; brand split; this Q + next Q</t>
        </is>
      </c>
      <c r="C14" s="32" t="inlineStr">
        <is>
          <t>OC schedule + printer planning + pricing volume</t>
        </is>
      </c>
    </row>
    <row r="15">
      <c r="A15" s="32" t="inlineStr">
        <is>
          <t>Pricing</t>
        </is>
      </c>
      <c r="B15" s="32" t="inlineStr">
        <is>
          <t>Brand list price decision (Hike Bike)</t>
        </is>
      </c>
      <c r="C15" s="32" t="inlineStr">
        <is>
          <t>Price vs WTP and unit cost</t>
        </is>
      </c>
    </row>
    <row r="16">
      <c r="A16" s="33" t="inlineStr">
        <is>
          <t>Media_Preference</t>
        </is>
      </c>
      <c r="B16" s="32" t="inlineStr">
        <is>
          <t>One-time media preference by segment + placement</t>
        </is>
      </c>
      <c r="C16" s="32" t="inlineStr">
        <is>
          <t>Major media buys</t>
        </is>
      </c>
    </row>
    <row r="17">
      <c r="A17" s="34" t="inlineStr">
        <is>
          <t>Web_SEO</t>
        </is>
      </c>
      <c r="B17" s="32" t="inlineStr">
        <is>
          <t>Organic SEM web pages from ads + segment keywords</t>
        </is>
      </c>
      <c r="C17" s="32" t="inlineStr">
        <is>
          <t>Website / organic search</t>
        </is>
      </c>
    </row>
    <row r="18">
      <c r="A18" s="32" t="inlineStr">
        <is>
          <t>Sales_Ops</t>
        </is>
      </c>
      <c r="B18" s="32" t="inlineStr">
        <is>
          <t>Store/web staffing, city #2, demand bridge</t>
        </is>
      </c>
      <c r="C18" s="32" t="inlineStr">
        <is>
          <t>Sales channel execution</t>
        </is>
      </c>
    </row>
    <row r="19">
      <c r="A19" s="47" t="inlineStr">
        <is>
          <t>Web_Productivity</t>
        </is>
      </c>
      <c r="B19" s="48" t="inlineStr">
        <is>
          <t>Purchase-probability tactics + budget curves</t>
        </is>
      </c>
      <c r="C19" s="48" t="inlineStr">
        <is>
          <t>Web conversion spend</t>
        </is>
      </c>
    </row>
    <row r="20">
      <c r="A20" s="48" t="inlineStr">
        <is>
          <t>Needs_Ranked</t>
        </is>
      </c>
      <c r="B20" s="48" t="inlineStr">
        <is>
          <t>Linked needs views</t>
        </is>
      </c>
      <c r="C20" s="48" t="inlineStr">
        <is>
          <t>Priority lists</t>
        </is>
      </c>
    </row>
    <row r="21">
      <c r="A21" t="inlineStr">
        <is>
          <t>Growth_Room</t>
        </is>
      </c>
      <c r="B21" t="inlineStr">
        <is>
          <t>Competitor gap scores</t>
        </is>
      </c>
      <c r="C21" t="inlineStr">
        <is>
          <t>Room for growth</t>
        </is>
      </c>
    </row>
    <row r="22">
      <c r="A22" t="inlineStr">
        <is>
          <t>Competitor_CI</t>
        </is>
      </c>
      <c r="B22" t="inlineStr">
        <is>
          <t>Classmate tracker + research buys</t>
        </is>
      </c>
      <c r="C22" t="inlineStr">
        <is>
          <t>CI priority</t>
        </is>
      </c>
    </row>
    <row r="23">
      <c r="A23" t="inlineStr">
        <is>
          <t>Comp_Industry</t>
        </is>
      </c>
      <c r="B23" t="inlineStr">
        <is>
          <t>Industry pay + interactive packages / productivity</t>
        </is>
      </c>
      <c r="C23" t="inlineStr">
        <is>
          <t>Pay &gt; avg; HR estimates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B11" zoomScale="114" zoomScaleNormal="85" workbookViewId="0">
      <selection activeCell="G47" sqref="G47"/>
    </sheetView>
  </sheetViews>
  <sheetFormatPr baseColWidth="8" defaultRowHeight="14.5"/>
  <cols>
    <col width="36" customWidth="1" style="146" min="1" max="1"/>
    <col width="12" customWidth="1" style="146" min="2" max="4"/>
    <col width="8" customWidth="1" style="146" min="5" max="5"/>
    <col width="12" customWidth="1" style="146" min="6" max="8"/>
    <col width="18" customWidth="1" style="146" min="9" max="9"/>
    <col width="40" customWidth="1" style="146" min="10" max="10"/>
  </cols>
  <sheetData>
    <row r="1" ht="18.5" customHeight="1" s="146">
      <c r="A1" s="4" t="inlineStr">
        <is>
          <t>Customer Needs — Importance by Segment</t>
        </is>
      </c>
    </row>
    <row r="2">
      <c r="A2" s="1" t="inlineStr">
        <is>
          <t>Rename labels to match Workspace. Yellow = inputs. Conditional formatting: green ≥110, red &lt;100.</t>
        </is>
      </c>
    </row>
    <row r="4" ht="29.5" customHeight="1" s="146" thickBot="1">
      <c r="A4" s="2" t="inlineStr">
        <is>
          <t>Need / Benefit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Competitor miss risk (H/M/L)</t>
        </is>
      </c>
      <c r="J4" s="2" t="inlineStr">
        <is>
          <t>Notes</t>
        </is>
      </c>
    </row>
    <row r="5" ht="15" customHeight="1" s="146" thickBot="1">
      <c r="A5" s="15" t="inlineStr">
        <is>
          <t>Colorful</t>
        </is>
      </c>
      <c r="B5" s="16" t="n">
        <v>116</v>
      </c>
      <c r="C5" s="16" t="n">
        <v>120</v>
      </c>
      <c r="D5" s="16" t="n">
        <v>109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Fits rider's personality</t>
        </is>
      </c>
      <c r="B6" s="18" t="n">
        <v>116</v>
      </c>
      <c r="C6" s="18" t="n">
        <v>113</v>
      </c>
      <c r="D6" s="18" t="n">
        <v>116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Simple to use</t>
        </is>
      </c>
      <c r="B7" s="20" t="n">
        <v>121</v>
      </c>
      <c r="C7" s="20" t="n">
        <v>102</v>
      </c>
      <c r="D7" s="20" t="n">
        <v>69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Safety</t>
        </is>
      </c>
      <c r="B8" s="18" t="n">
        <v>121</v>
      </c>
      <c r="C8" s="18" t="n">
        <v>112</v>
      </c>
      <c r="D8" s="18" t="n">
        <v>113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Low price point</t>
        </is>
      </c>
      <c r="B9" s="20" t="n">
        <v>117</v>
      </c>
      <c r="C9" s="20" t="n">
        <v>98</v>
      </c>
      <c r="D9" s="20" t="n">
        <v>70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Sleek</t>
        </is>
      </c>
      <c r="B10" s="18" t="n">
        <v>104</v>
      </c>
      <c r="C10" s="18" t="n">
        <v>83</v>
      </c>
      <c r="D10" s="18" t="n">
        <v>119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1" ht="15" customHeight="1" s="146" thickBot="1">
      <c r="A11" s="19" t="inlineStr">
        <is>
          <t>Stylish</t>
        </is>
      </c>
      <c r="B11" s="20" t="n">
        <v>111</v>
      </c>
      <c r="C11" s="20" t="n">
        <v>118</v>
      </c>
      <c r="D11" s="20" t="n">
        <v>116</v>
      </c>
      <c r="E11" s="7">
        <f>IF(COUNT(B11:D11)=0,"",MAX(B11:D11))</f>
        <v/>
      </c>
      <c r="F11" s="7">
        <f>IF(B11="","",IF(B11&gt;=110,"IMPORTANT",IF(B11&lt;100,"CAUTION","")))</f>
        <v/>
      </c>
      <c r="G11" s="7">
        <f>IF(C11="","",IF(C11&gt;=110,"IMPORTANT",IF(C11&lt;100,"CAUTION","")))</f>
        <v/>
      </c>
      <c r="H11" s="7">
        <f>IF(D11="","",IF(D11&gt;=110,"IMPORTANT",IF(D11&lt;100,"CAUTION","")))</f>
        <v/>
      </c>
      <c r="I11" s="6" t="n"/>
      <c r="J11" s="6" t="n"/>
    </row>
    <row r="12" ht="15" customHeight="1" s="146" thickBot="1">
      <c r="A12" s="17" t="inlineStr">
        <is>
          <t>Easy to ride</t>
        </is>
      </c>
      <c r="B12" s="18" t="n">
        <v>124</v>
      </c>
      <c r="C12" s="18" t="n">
        <v>100</v>
      </c>
      <c r="D12" s="18" t="n">
        <v>102</v>
      </c>
      <c r="E12" s="7">
        <f>IF(COUNT(B12:D12)=0,"",MAX(B12:D12))</f>
        <v/>
      </c>
      <c r="F12" s="7">
        <f>IF(B12="","",IF(B12&gt;=110,"IMPORTANT",IF(B12&lt;100,"CAUTION","")))</f>
        <v/>
      </c>
      <c r="G12" s="7">
        <f>IF(C12="","",IF(C12&gt;=110,"IMPORTANT",IF(C12&lt;100,"CAUTION","")))</f>
        <v/>
      </c>
      <c r="H12" s="7">
        <f>IF(D12="","",IF(D12&gt;=110,"IMPORTANT",IF(D12&lt;100,"CAUTION","")))</f>
        <v/>
      </c>
      <c r="I12" s="6" t="n"/>
      <c r="J12" s="6" t="n"/>
    </row>
    <row r="13" ht="15" customHeight="1" s="146" thickBot="1">
      <c r="A13" s="19" t="inlineStr">
        <is>
          <t>Comfortable</t>
        </is>
      </c>
      <c r="B13" s="20" t="n">
        <v>124</v>
      </c>
      <c r="C13" s="20" t="n">
        <v>95</v>
      </c>
      <c r="D13" s="20" t="n">
        <v>101</v>
      </c>
      <c r="E13" s="7">
        <f>IF(COUNT(B13:D13)=0,"",MAX(B13:D13))</f>
        <v/>
      </c>
      <c r="F13" s="7">
        <f>IF(B13="","",IF(B13&gt;=110,"IMPORTANT",IF(B13&lt;100,"CAUTION","")))</f>
        <v/>
      </c>
      <c r="G13" s="7">
        <f>IF(C13="","",IF(C13&gt;=110,"IMPORTANT",IF(C13&lt;100,"CAUTION","")))</f>
        <v/>
      </c>
      <c r="H13" s="7">
        <f>IF(D13="","",IF(D13&gt;=110,"IMPORTANT",IF(D13&lt;100,"CAUTION","")))</f>
        <v/>
      </c>
      <c r="I13" s="6" t="n"/>
      <c r="J13" s="6" t="n"/>
    </row>
    <row r="14" ht="15" customHeight="1" s="146" thickBot="1">
      <c r="A14" s="17" t="inlineStr">
        <is>
          <t>Soft ride</t>
        </is>
      </c>
      <c r="B14" s="18" t="n">
        <v>115</v>
      </c>
      <c r="C14" s="18" t="n">
        <v>89</v>
      </c>
      <c r="D14" s="18" t="n">
        <v>87</v>
      </c>
      <c r="E14" s="7">
        <f>IF(COUNT(B14:D14)=0,"",MAX(B14:D14))</f>
        <v/>
      </c>
      <c r="F14" s="7">
        <f>IF(B14="","",IF(B14&gt;=110,"IMPORTANT",IF(B14&lt;100,"CAUTION","")))</f>
        <v/>
      </c>
      <c r="G14" s="7">
        <f>IF(C14="","",IF(C14&gt;=110,"IMPORTANT",IF(C14&lt;100,"CAUTION","")))</f>
        <v/>
      </c>
      <c r="H14" s="7">
        <f>IF(D14="","",IF(D14&gt;=110,"IMPORTANT",IF(D14&lt;100,"CAUTION","")))</f>
        <v/>
      </c>
      <c r="I14" s="6" t="n"/>
      <c r="J14" s="6" t="n"/>
    </row>
    <row r="15" ht="15" customHeight="1" s="146" thickBot="1">
      <c r="A15" s="19" t="inlineStr">
        <is>
          <t>Repair, parts, support nearby</t>
        </is>
      </c>
      <c r="B15" s="20" t="n">
        <v>119</v>
      </c>
      <c r="C15" s="20" t="n">
        <v>121</v>
      </c>
      <c r="D15" s="20" t="n">
        <v>120</v>
      </c>
      <c r="E15" s="7">
        <f>IF(COUNT(B15:D15)=0,"",MAX(B15:D15))</f>
        <v/>
      </c>
      <c r="F15" s="7">
        <f>IF(B15="","",IF(B15&gt;=110,"IMPORTANT",IF(B15&lt;100,"CAUTION","")))</f>
        <v/>
      </c>
      <c r="G15" s="7">
        <f>IF(C15="","",IF(C15&gt;=110,"IMPORTANT",IF(C15&lt;100,"CAUTION","")))</f>
        <v/>
      </c>
      <c r="H15" s="7">
        <f>IF(D15="","",IF(D15&gt;=110,"IMPORTANT",IF(D15&lt;100,"CAUTION","")))</f>
        <v/>
      </c>
      <c r="I15" s="6" t="n"/>
      <c r="J15" s="6" t="n"/>
    </row>
    <row r="16" ht="15" customHeight="1" s="146" thickBot="1">
      <c r="A16" s="17" t="inlineStr">
        <is>
          <t>Can handle rough terrain</t>
        </is>
      </c>
      <c r="B16" s="18" t="n">
        <v>111</v>
      </c>
      <c r="C16" s="18" t="n">
        <v>128</v>
      </c>
      <c r="D16" s="18" t="n">
        <v>82</v>
      </c>
      <c r="E16" s="7">
        <f>IF(COUNT(B16:D16)=0,"",MAX(B16:D16))</f>
        <v/>
      </c>
      <c r="F16" s="7">
        <f>IF(B16="","",IF(B16&gt;=110,"IMPORTANT",IF(B16&lt;100,"CAUTION","")))</f>
        <v/>
      </c>
      <c r="G16" s="7">
        <f>IF(C16="","",IF(C16&gt;=110,"IMPORTANT",IF(C16&lt;100,"CAUTION","")))</f>
        <v/>
      </c>
      <c r="H16" s="7">
        <f>IF(D16="","",IF(D16&gt;=110,"IMPORTANT",IF(D16&lt;100,"CAUTION","")))</f>
        <v/>
      </c>
      <c r="I16" s="6" t="n"/>
      <c r="J16" s="6" t="n"/>
    </row>
    <row r="17" ht="15" customHeight="1" s="146" thickBot="1">
      <c r="A17" s="19" t="inlineStr">
        <is>
          <t>Can stop quickly</t>
        </is>
      </c>
      <c r="B17" s="20" t="n">
        <v>114</v>
      </c>
      <c r="C17" s="20" t="n">
        <v>123</v>
      </c>
      <c r="D17" s="20" t="n">
        <v>110</v>
      </c>
      <c r="E17" s="7">
        <f>IF(COUNT(B17:D17)=0,"",MAX(B17:D17))</f>
        <v/>
      </c>
      <c r="F17" s="7">
        <f>IF(B17="","",IF(B17&gt;=110,"IMPORTANT",IF(B17&lt;100,"CAUTION","")))</f>
        <v/>
      </c>
      <c r="G17" s="7">
        <f>IF(C17="","",IF(C17&gt;=110,"IMPORTANT",IF(C17&lt;100,"CAUTION","")))</f>
        <v/>
      </c>
      <c r="H17" s="7">
        <f>IF(D17="","",IF(D17&gt;=110,"IMPORTANT",IF(D17&lt;100,"CAUTION","")))</f>
        <v/>
      </c>
      <c r="I17" s="6" t="n"/>
      <c r="J17" s="6" t="n"/>
    </row>
    <row r="18" ht="15" customHeight="1" s="146" thickBot="1">
      <c r="A18" s="17" t="inlineStr">
        <is>
          <t>Precise speed control-turns, hills</t>
        </is>
      </c>
      <c r="B18" s="18" t="n">
        <v>103</v>
      </c>
      <c r="C18" s="18" t="n">
        <v>106</v>
      </c>
      <c r="D18" s="18" t="n">
        <v>117</v>
      </c>
      <c r="E18" s="7">
        <f>IF(COUNT(B18:D18)=0,"",MAX(B18:D18))</f>
        <v/>
      </c>
      <c r="F18" s="7">
        <f>IF(B18="","",IF(B18&gt;=110,"IMPORTANT",IF(B18&lt;100,"CAUTION","")))</f>
        <v/>
      </c>
      <c r="G18" s="7">
        <f>IF(C18="","",IF(C18&gt;=110,"IMPORTANT",IF(C18&lt;100,"CAUTION","")))</f>
        <v/>
      </c>
      <c r="H18" s="7">
        <f>IF(D18="","",IF(D18&gt;=110,"IMPORTANT",IF(D18&lt;100,"CAUTION","")))</f>
        <v/>
      </c>
      <c r="I18" s="6" t="n"/>
      <c r="J18" s="6" t="n"/>
    </row>
    <row r="19" ht="15" customHeight="1" s="146" thickBot="1">
      <c r="A19" s="19" t="inlineStr">
        <is>
          <t>On-road and off-road capabilities</t>
        </is>
      </c>
      <c r="B19" s="20" t="n">
        <v>114</v>
      </c>
      <c r="C19" s="20" t="n">
        <v>95</v>
      </c>
      <c r="D19" s="20" t="n">
        <v>69</v>
      </c>
      <c r="E19" s="7">
        <f>IF(COUNT(B19:D19)=0,"",MAX(B19:D19))</f>
        <v/>
      </c>
      <c r="F19" s="7">
        <f>IF(B19="","",IF(B19&gt;=110,"IMPORTANT",IF(B19&lt;100,"CAUTION","")))</f>
        <v/>
      </c>
      <c r="G19" s="7">
        <f>IF(C19="","",IF(C19&gt;=110,"IMPORTANT",IF(C19&lt;100,"CAUTION","")))</f>
        <v/>
      </c>
      <c r="H19" s="7">
        <f>IF(D19="","",IF(D19&gt;=110,"IMPORTANT",IF(D19&lt;100,"CAUTION","")))</f>
        <v/>
      </c>
      <c r="I19" s="6" t="n"/>
      <c r="J19" s="6" t="n"/>
    </row>
    <row r="20" ht="15" customHeight="1" s="146" thickBot="1">
      <c r="A20" s="17" t="inlineStr">
        <is>
          <t>Can carry things</t>
        </is>
      </c>
      <c r="B20" s="18" t="n">
        <v>117</v>
      </c>
      <c r="C20" s="18" t="n">
        <v>104</v>
      </c>
      <c r="D20" s="18" t="n">
        <v>69</v>
      </c>
      <c r="E20" s="7">
        <f>IF(COUNT(B20:D20)=0,"",MAX(B20:D20))</f>
        <v/>
      </c>
      <c r="F20" s="7">
        <f>IF(B20="","",IF(B20&gt;=110,"IMPORTANT",IF(B20&lt;100,"CAUTION","")))</f>
        <v/>
      </c>
      <c r="G20" s="7">
        <f>IF(C20="","",IF(C20&gt;=110,"IMPORTANT",IF(C20&lt;100,"CAUTION","")))</f>
        <v/>
      </c>
      <c r="H20" s="7">
        <f>IF(D20="","",IF(D20&gt;=110,"IMPORTANT",IF(D20&lt;100,"CAUTION","")))</f>
        <v/>
      </c>
      <c r="I20" s="6" t="n"/>
      <c r="J20" s="6" t="n"/>
    </row>
    <row r="21" ht="15" customHeight="1" s="146" thickBot="1">
      <c r="A21" s="19" t="inlineStr">
        <is>
          <t>Durable</t>
        </is>
      </c>
      <c r="B21" s="20" t="n">
        <v>108</v>
      </c>
      <c r="C21" s="20" t="n">
        <v>127</v>
      </c>
      <c r="D21" s="20" t="n">
        <v>117</v>
      </c>
      <c r="E21" s="7">
        <f>IF(COUNT(B21:D21)=0,"",MAX(B21:D21))</f>
        <v/>
      </c>
      <c r="F21" s="7">
        <f>IF(B21="","",IF(B21&gt;=110,"IMPORTANT",IF(B21&lt;100,"CAUTION","")))</f>
        <v/>
      </c>
      <c r="G21" s="7">
        <f>IF(C21="","",IF(C21&gt;=110,"IMPORTANT",IF(C21&lt;100,"CAUTION","")))</f>
        <v/>
      </c>
      <c r="H21" s="7">
        <f>IF(D21="","",IF(D21&gt;=110,"IMPORTANT",IF(D21&lt;100,"CAUTION","")))</f>
        <v/>
      </c>
      <c r="I21" s="6" t="n"/>
      <c r="J21" s="6" t="n"/>
    </row>
    <row r="22" ht="15" customHeight="1" s="146" thickBot="1">
      <c r="A22" s="17" t="inlineStr">
        <is>
          <t>Feel young at heart</t>
        </is>
      </c>
      <c r="B22" s="18" t="n">
        <v>120</v>
      </c>
      <c r="C22" s="18" t="n">
        <v>115</v>
      </c>
      <c r="D22" s="18" t="n">
        <v>117</v>
      </c>
      <c r="E22" s="7">
        <f>IF(COUNT(B22:D22)=0,"",MAX(B22:D22))</f>
        <v/>
      </c>
      <c r="F22" s="7">
        <f>IF(B22="","",IF(B22&gt;=110,"IMPORTANT",IF(B22&lt;100,"CAUTION","")))</f>
        <v/>
      </c>
      <c r="G22" s="7">
        <f>IF(C22="","",IF(C22&gt;=110,"IMPORTANT",IF(C22&lt;100,"CAUTION","")))</f>
        <v/>
      </c>
      <c r="H22" s="7">
        <f>IF(D22="","",IF(D22&gt;=110,"IMPORTANT",IF(D22&lt;100,"CAUTION","")))</f>
        <v/>
      </c>
      <c r="I22" s="6" t="n"/>
      <c r="J22" s="6" t="n"/>
    </row>
    <row r="23" ht="15" customHeight="1" s="146" thickBot="1">
      <c r="A23" s="19" t="inlineStr">
        <is>
          <t>Can turn sharply</t>
        </is>
      </c>
      <c r="B23" s="20" t="n">
        <v>113</v>
      </c>
      <c r="C23" s="20" t="n">
        <v>124</v>
      </c>
      <c r="D23" s="20" t="n">
        <v>115</v>
      </c>
      <c r="E23" s="7">
        <f>IF(COUNT(B23:D23)=0,"",MAX(B23:D23))</f>
        <v/>
      </c>
      <c r="F23" s="7">
        <f>IF(B23="","",IF(B23&gt;=110,"IMPORTANT",IF(B23&lt;100,"CAUTION","")))</f>
        <v/>
      </c>
      <c r="G23" s="7">
        <f>IF(C23="","",IF(C23&gt;=110,"IMPORTANT",IF(C23&lt;100,"CAUTION","")))</f>
        <v/>
      </c>
      <c r="H23" s="7">
        <f>IF(D23="","",IF(D23&gt;=110,"IMPORTANT",IF(D23&lt;100,"CAUTION","")))</f>
        <v/>
      </c>
      <c r="I23" s="6" t="n"/>
      <c r="J23" s="6" t="n"/>
    </row>
    <row r="24" ht="15" customHeight="1" s="146" thickBot="1">
      <c r="A24" s="17" t="inlineStr">
        <is>
          <t>Light weight</t>
        </is>
      </c>
      <c r="B24" s="18" t="n">
        <v>115</v>
      </c>
      <c r="C24" s="18" t="n">
        <v>121</v>
      </c>
      <c r="D24" s="18" t="n">
        <v>133</v>
      </c>
      <c r="E24" s="7">
        <f>IF(COUNT(B24:D24)=0,"",MAX(B24:D24))</f>
        <v/>
      </c>
      <c r="F24" s="7">
        <f>IF(B24="","",IF(B24&gt;=110,"IMPORTANT",IF(B24&lt;100,"CAUTION","")))</f>
        <v/>
      </c>
      <c r="G24" s="7">
        <f>IF(C24="","",IF(C24&gt;=110,"IMPORTANT",IF(C24&lt;100,"CAUTION","")))</f>
        <v/>
      </c>
      <c r="H24" s="7">
        <f>IF(D24="","",IF(D24&gt;=110,"IMPORTANT",IF(D24&lt;100,"CAUTION","")))</f>
        <v/>
      </c>
      <c r="I24" s="6" t="n"/>
      <c r="J24" s="6" t="n"/>
    </row>
    <row r="25" ht="15" customHeight="1" s="146" thickBot="1">
      <c r="A25" s="19" t="inlineStr">
        <is>
          <t>High visibility</t>
        </is>
      </c>
      <c r="B25" s="20" t="n">
        <v>117</v>
      </c>
      <c r="C25" s="20" t="n">
        <v>103</v>
      </c>
      <c r="D25" s="20" t="n">
        <v>119</v>
      </c>
      <c r="E25" s="7">
        <f>IF(COUNT(B25:D25)=0,"",MAX(B25:D25))</f>
        <v/>
      </c>
      <c r="F25" s="7">
        <f>IF(B25="","",IF(B25&gt;=110,"IMPORTANT",IF(B25&lt;100,"CAUTION","")))</f>
        <v/>
      </c>
      <c r="G25" s="7">
        <f>IF(C25="","",IF(C25&gt;=110,"IMPORTANT",IF(C25&lt;100,"CAUTION","")))</f>
        <v/>
      </c>
      <c r="H25" s="7">
        <f>IF(D25="","",IF(D25&gt;=110,"IMPORTANT",IF(D25&lt;100,"CAUTION","")))</f>
        <v/>
      </c>
      <c r="I25" s="6" t="n"/>
      <c r="J25" s="6" t="n"/>
    </row>
    <row r="26" ht="15" customHeight="1" s="146" thickBot="1">
      <c r="A26" s="17" t="inlineStr">
        <is>
          <t>Easily handles change in incline</t>
        </is>
      </c>
      <c r="B26" s="18" t="n">
        <v>107</v>
      </c>
      <c r="C26" s="18" t="n">
        <v>131</v>
      </c>
      <c r="D26" s="18" t="n">
        <v>113</v>
      </c>
      <c r="E26" s="7">
        <f>IF(COUNT(B26:D26)=0,"",MAX(B26:D26))</f>
        <v/>
      </c>
      <c r="F26" s="7">
        <f>IF(B26="","",IF(B26&gt;=110,"IMPORTANT",IF(B26&lt;100,"CAUTION","")))</f>
        <v/>
      </c>
      <c r="G26" s="7">
        <f>IF(C26="","",IF(C26&gt;=110,"IMPORTANT",IF(C26&lt;100,"CAUTION","")))</f>
        <v/>
      </c>
      <c r="H26" s="7">
        <f>IF(D26="","",IF(D26&gt;=110,"IMPORTANT",IF(D26&lt;100,"CAUTION","")))</f>
        <v/>
      </c>
      <c r="I26" s="6" t="n"/>
      <c r="J26" s="6" t="n"/>
    </row>
    <row r="27" ht="15" customHeight="1" s="146" thickBot="1">
      <c r="A27" s="19" t="inlineStr">
        <is>
          <t>Speed</t>
        </is>
      </c>
      <c r="B27" s="20" t="n">
        <v>110</v>
      </c>
      <c r="C27" s="20" t="n">
        <v>109</v>
      </c>
      <c r="D27" s="20" t="n">
        <v>134</v>
      </c>
      <c r="E27" s="7">
        <f>IF(COUNT(B27:D27)=0,"",MAX(B27:D27))</f>
        <v/>
      </c>
      <c r="F27" s="7">
        <f>IF(B27="","",IF(B27&gt;=110,"IMPORTANT",IF(B27&lt;100,"CAUTION","")))</f>
        <v/>
      </c>
      <c r="G27" s="7">
        <f>IF(C27="","",IF(C27&gt;=110,"IMPORTANT",IF(C27&lt;100,"CAUTION","")))</f>
        <v/>
      </c>
      <c r="H27" s="7">
        <f>IF(D27="","",IF(D27&gt;=110,"IMPORTANT",IF(D27&lt;100,"CAUTION","")))</f>
        <v/>
      </c>
      <c r="I27" s="6" t="n"/>
      <c r="J27" s="6" t="n"/>
    </row>
    <row r="28" ht="15" customHeight="1" s="146" thickBot="1">
      <c r="A28" s="17" t="inlineStr">
        <is>
          <t>Shifts smoothly</t>
        </is>
      </c>
      <c r="B28" s="18" t="n">
        <v>118</v>
      </c>
      <c r="C28" s="18" t="n">
        <v>118</v>
      </c>
      <c r="D28" s="18" t="n">
        <v>118</v>
      </c>
      <c r="E28" s="7">
        <f>IF(COUNT(B28:D28)=0,"",MAX(B28:D28))</f>
        <v/>
      </c>
      <c r="F28" s="7">
        <f>IF(B28="","",IF(B28&gt;=110,"IMPORTANT",IF(B28&lt;100,"CAUTION","")))</f>
        <v/>
      </c>
      <c r="G28" s="7">
        <f>IF(C28="","",IF(C28&gt;=110,"IMPORTANT",IF(C28&lt;100,"CAUTION","")))</f>
        <v/>
      </c>
      <c r="H28" s="7">
        <f>IF(D28="","",IF(D28&gt;=110,"IMPORTANT",IF(D28&lt;100,"CAUTION","")))</f>
        <v/>
      </c>
      <c r="I28" s="6" t="n"/>
      <c r="J28" s="6" t="n"/>
    </row>
    <row r="29" ht="15" customHeight="1" s="146" thickBot="1">
      <c r="A29" s="19" t="inlineStr">
        <is>
          <t>Provides competitive advantage</t>
        </is>
      </c>
      <c r="B29" s="20" t="n">
        <v>98</v>
      </c>
      <c r="C29" s="20" t="n">
        <v>117</v>
      </c>
      <c r="D29" s="20" t="n">
        <v>124</v>
      </c>
      <c r="E29" s="7">
        <f>IF(COUNT(B29:D29)=0,"",MAX(B29:D29))</f>
        <v/>
      </c>
      <c r="F29" s="7">
        <f>IF(B29="","",IF(B29&gt;=110,"IMPORTANT",IF(B29&lt;100,"CAUTION","")))</f>
        <v/>
      </c>
      <c r="G29" s="7">
        <f>IF(C29="","",IF(C29&gt;=110,"IMPORTANT",IF(C29&lt;100,"CAUTION","")))</f>
        <v/>
      </c>
      <c r="H29" s="7">
        <f>IF(D29="","",IF(D29&gt;=110,"IMPORTANT",IF(D29&lt;100,"CAUTION","")))</f>
        <v/>
      </c>
      <c r="I29" s="6" t="n"/>
      <c r="J29" s="6" t="n"/>
    </row>
    <row r="30" ht="15" customHeight="1" s="146" thickBot="1">
      <c r="A30" s="17" t="inlineStr">
        <is>
          <t>Aerodynamic</t>
        </is>
      </c>
      <c r="B30" s="18" t="n">
        <v>80</v>
      </c>
      <c r="C30" s="18" t="n">
        <v>88</v>
      </c>
      <c r="D30" s="18" t="n">
        <v>122</v>
      </c>
      <c r="E30" s="7">
        <f>IF(COUNT(B30:D30)=0,"",MAX(B30:D30))</f>
        <v/>
      </c>
      <c r="F30" s="7">
        <f>IF(B30="","",IF(B30&gt;=110,"IMPORTANT",IF(B30&lt;100,"CAUTION","")))</f>
        <v/>
      </c>
      <c r="G30" s="7">
        <f>IF(C30="","",IF(C30&gt;=110,"IMPORTANT",IF(C30&lt;100,"CAUTION","")))</f>
        <v/>
      </c>
      <c r="H30" s="7">
        <f>IF(D30="","",IF(D30&gt;=110,"IMPORTANT",IF(D30&lt;100,"CAUTION","")))</f>
        <v/>
      </c>
      <c r="I30" s="6" t="n"/>
      <c r="J30" s="6" t="n"/>
    </row>
    <row r="31" ht="15" customHeight="1" s="146" thickBot="1">
      <c r="A31" s="19" t="inlineStr">
        <is>
          <t>Rider expertise required</t>
        </is>
      </c>
      <c r="B31" s="20" t="n">
        <v>103</v>
      </c>
      <c r="C31" s="20" t="n">
        <v>123</v>
      </c>
      <c r="D31" s="20" t="n">
        <v>126</v>
      </c>
      <c r="E31" s="7">
        <f>IF(COUNT(B31:D31)=0,"",MAX(B31:D31))</f>
        <v/>
      </c>
      <c r="F31" s="7">
        <f>IF(B31="","",IF(B31&gt;=110,"IMPORTANT",IF(B31&lt;100,"CAUTION","")))</f>
        <v/>
      </c>
      <c r="G31" s="7">
        <f>IF(C31="","",IF(C31&gt;=110,"IMPORTANT",IF(C31&lt;100,"CAUTION","")))</f>
        <v/>
      </c>
      <c r="H31" s="7">
        <f>IF(D31="","",IF(D31&gt;=110,"IMPORTANT",IF(D31&lt;100,"CAUTION","")))</f>
        <v/>
      </c>
      <c r="I31" s="6" t="n"/>
      <c r="J31" s="6" t="n"/>
    </row>
    <row r="32" ht="15" customHeight="1" s="146" thickBot="1">
      <c r="A32" s="17" t="inlineStr">
        <is>
          <t>Status symbol/exclusivity</t>
        </is>
      </c>
      <c r="B32" s="18" t="n">
        <v>111</v>
      </c>
      <c r="C32" s="18" t="n">
        <v>121</v>
      </c>
      <c r="D32" s="18" t="n">
        <v>116</v>
      </c>
      <c r="E32" s="7">
        <f>IF(COUNT(B32:D32)=0,"",MAX(B32:D32))</f>
        <v/>
      </c>
      <c r="F32" s="7">
        <f>IF(B32="","",IF(B32&gt;=110,"IMPORTANT",IF(B32&lt;100,"CAUTION","")))</f>
        <v/>
      </c>
      <c r="G32" s="7">
        <f>IF(C32="","",IF(C32&gt;=110,"IMPORTANT",IF(C32&lt;100,"CAUTION","")))</f>
        <v/>
      </c>
      <c r="H32" s="7">
        <f>IF(D32="","",IF(D32&gt;=110,"IMPORTANT",IF(D32&lt;100,"CAUTION","")))</f>
        <v/>
      </c>
      <c r="I32" s="6" t="n"/>
      <c r="J32" s="6" t="n"/>
    </row>
    <row r="33" ht="15" customHeight="1" s="146" thickBot="1">
      <c r="A33" s="19" t="inlineStr">
        <is>
          <t>Navigation assistance</t>
        </is>
      </c>
      <c r="B33" s="20" t="n">
        <v>115</v>
      </c>
      <c r="C33" s="20" t="n">
        <v>117</v>
      </c>
      <c r="D33" s="20" t="n">
        <v>118</v>
      </c>
      <c r="E33" s="7">
        <f>IF(COUNT(B33:D33)=0,"",MAX(B33:D33))</f>
        <v/>
      </c>
      <c r="F33" s="7">
        <f>IF(B33="","",IF(B33&gt;=110,"IMPORTANT",IF(B33&lt;100,"CAUTION","")))</f>
        <v/>
      </c>
      <c r="G33" s="7">
        <f>IF(C33="","",IF(C33&gt;=110,"IMPORTANT",IF(C33&lt;100,"CAUTION","")))</f>
        <v/>
      </c>
      <c r="H33" s="7">
        <f>IF(D33="","",IF(D33&gt;=110,"IMPORTANT",IF(D33&lt;100,"CAUTION","")))</f>
        <v/>
      </c>
      <c r="I33" s="6" t="n"/>
      <c r="J33" s="6" t="n"/>
    </row>
    <row r="34" ht="15" customHeight="1" s="146" thickBot="1">
      <c r="A34" s="17" t="inlineStr">
        <is>
          <t>Soften the impact of rough terrain</t>
        </is>
      </c>
      <c r="B34" s="18" t="n">
        <v>116</v>
      </c>
      <c r="C34" s="18" t="n">
        <v>124</v>
      </c>
      <c r="D34" s="18" t="n">
        <v>90</v>
      </c>
      <c r="E34" s="7">
        <f>IF(COUNT(B34:D34)=0,"",MAX(B34:D34))</f>
        <v/>
      </c>
      <c r="F34" s="7">
        <f>IF(B34="","",IF(B34&gt;=110,"IMPORTANT",IF(B34&lt;100,"CAUTION","")))</f>
        <v/>
      </c>
      <c r="G34" s="7">
        <f>IF(C34="","",IF(C34&gt;=110,"IMPORTANT",IF(C34&lt;100,"CAUTION","")))</f>
        <v/>
      </c>
      <c r="H34" s="7">
        <f>IF(D34="","",IF(D34&gt;=110,"IMPORTANT",IF(D34&lt;100,"CAUTION","")))</f>
        <v/>
      </c>
      <c r="I34" s="6" t="n"/>
      <c r="J34" s="6" t="n"/>
    </row>
    <row r="35" ht="15" customHeight="1" s="146" thickBot="1">
      <c r="A35" s="21" t="inlineStr">
        <is>
          <t>Easy to navigate on web site</t>
        </is>
      </c>
      <c r="B35" s="22" t="n">
        <v>128</v>
      </c>
      <c r="C35" s="22" t="n">
        <v>118</v>
      </c>
      <c r="D35" s="22" t="n">
        <v>123</v>
      </c>
      <c r="E35" s="7">
        <f>IF(COUNT(B35:D35)=0,"",MAX(B35:D35))</f>
        <v/>
      </c>
      <c r="F35" s="7">
        <f>IF(B35="","",IF(B35&gt;=110,"IMPORTANT",IF(B35&lt;100,"CAUTION","")))</f>
        <v/>
      </c>
      <c r="G35" s="7">
        <f>IF(C35="","",IF(C35&gt;=110,"IMPORTANT",IF(C35&lt;100,"CAUTION","")))</f>
        <v/>
      </c>
      <c r="H35" s="7">
        <f>IF(D35="","",IF(D35&gt;=110,"IMPORTANT",IF(D35&lt;100,"CAUTION","")))</f>
        <v/>
      </c>
      <c r="I35" s="6" t="n"/>
      <c r="J35" s="6" t="inlineStr">
        <is>
          <t>Web focus</t>
        </is>
      </c>
    </row>
    <row r="36" ht="15" customHeight="1" s="146" thickBot="1">
      <c r="A36" s="17" t="inlineStr">
        <is>
          <t>Security of my credit card/identity</t>
        </is>
      </c>
      <c r="B36" s="18" t="n">
        <v>135</v>
      </c>
      <c r="C36" s="18" t="n">
        <v>123</v>
      </c>
      <c r="D36" s="18" t="n">
        <v>124</v>
      </c>
      <c r="E36" s="7">
        <f>IF(COUNT(B36:D36)=0,"",MAX(B36:D36))</f>
        <v/>
      </c>
      <c r="F36" s="7">
        <f>IF(B36="","",IF(B36&gt;=110,"IMPORTANT",IF(B36&lt;100,"CAUTION","")))</f>
        <v/>
      </c>
      <c r="G36" s="7">
        <f>IF(C36="","",IF(C36&gt;=110,"IMPORTANT",IF(C36&lt;100,"CAUTION","")))</f>
        <v/>
      </c>
      <c r="H36" s="7">
        <f>IF(D36="","",IF(D36&gt;=110,"IMPORTANT",IF(D36&lt;100,"CAUTION","")))</f>
        <v/>
      </c>
      <c r="I36" s="6" t="n"/>
      <c r="J36" s="6" t="inlineStr">
        <is>
          <t>Web focus</t>
        </is>
      </c>
    </row>
    <row r="37" ht="15" customHeight="1" s="146" thickBot="1">
      <c r="A37" s="21" t="inlineStr">
        <is>
          <t>Likes to buy on the web</t>
        </is>
      </c>
      <c r="B37" s="22" t="n">
        <v>121</v>
      </c>
      <c r="C37" s="22" t="n">
        <v>122</v>
      </c>
      <c r="D37" s="22" t="n">
        <v>114</v>
      </c>
      <c r="E37" s="7">
        <f>IF(COUNT(B37:D37)=0,"",MAX(B37:D37))</f>
        <v/>
      </c>
      <c r="F37" s="7">
        <f>IF(B37="","",IF(B37&gt;=110,"IMPORTANT",IF(B37&lt;100,"CAUTION","")))</f>
        <v/>
      </c>
      <c r="G37" s="7">
        <f>IF(C37="","",IF(C37&gt;=110,"IMPORTANT",IF(C37&lt;100,"CAUTION","")))</f>
        <v/>
      </c>
      <c r="H37" s="7">
        <f>IF(D37="","",IF(D37&gt;=110,"IMPORTANT",IF(D37&lt;100,"CAUTION","")))</f>
        <v/>
      </c>
      <c r="I37" s="6" t="n"/>
      <c r="J37" s="6" t="inlineStr">
        <is>
          <t>Web focus</t>
        </is>
      </c>
    </row>
    <row r="38" ht="15" customHeight="1" s="146" thickBot="1">
      <c r="A38" s="17" t="inlineStr">
        <is>
          <t>Wants human sales reps/support</t>
        </is>
      </c>
      <c r="B38" s="18" t="n">
        <v>133</v>
      </c>
      <c r="C38" s="18" t="n">
        <v>122</v>
      </c>
      <c r="D38" s="18" t="n">
        <v>118</v>
      </c>
      <c r="E38" s="7">
        <f>IF(COUNT(B38:D38)=0,"",MAX(B38:D38))</f>
        <v/>
      </c>
      <c r="F38" s="7">
        <f>IF(B38="","",IF(B38&gt;=110,"IMPORTANT",IF(B38&lt;100,"CAUTION","")))</f>
        <v/>
      </c>
      <c r="G38" s="7">
        <f>IF(C38="","",IF(C38&gt;=110,"IMPORTANT",IF(C38&lt;100,"CAUTION","")))</f>
        <v/>
      </c>
      <c r="H38" s="7">
        <f>IF(D38="","",IF(D38&gt;=110,"IMPORTANT",IF(D38&lt;100,"CAUTION","")))</f>
        <v/>
      </c>
      <c r="I38" s="6" t="n"/>
      <c r="J38" s="6" t="inlineStr">
        <is>
          <t>Web focus</t>
        </is>
      </c>
    </row>
    <row r="39" ht="15" customHeight="1" s="146" thickBot="1">
      <c r="A39" s="21" t="inlineStr">
        <is>
          <t>Able to track my purchase</t>
        </is>
      </c>
      <c r="B39" s="22" t="n">
        <v>119</v>
      </c>
      <c r="C39" s="22" t="n">
        <v>124</v>
      </c>
      <c r="D39" s="22" t="n">
        <v>115</v>
      </c>
      <c r="E39" s="7">
        <f>IF(COUNT(B39:D39)=0,"",MAX(B39:D39))</f>
        <v/>
      </c>
      <c r="F39" s="7">
        <f>IF(B39="","",IF(B39&gt;=110,"IMPORTANT",IF(B39&lt;100,"CAUTION","")))</f>
        <v/>
      </c>
      <c r="G39" s="7">
        <f>IF(C39="","",IF(C39&gt;=110,"IMPORTANT",IF(C39&lt;100,"CAUTION","")))</f>
        <v/>
      </c>
      <c r="H39" s="7">
        <f>IF(D39="","",IF(D39&gt;=110,"IMPORTANT",IF(D39&lt;100,"CAUTION","")))</f>
        <v/>
      </c>
      <c r="I39" s="6" t="n"/>
      <c r="J39" s="6" t="inlineStr">
        <is>
          <t>Web focus</t>
        </is>
      </c>
    </row>
    <row r="40" ht="15" customHeight="1" s="146" thickBot="1">
      <c r="A40" s="17" t="inlineStr">
        <is>
          <t>Easy to make purchase on web</t>
        </is>
      </c>
      <c r="B40" s="18" t="n">
        <v>127</v>
      </c>
      <c r="C40" s="18" t="n">
        <v>113</v>
      </c>
      <c r="D40" s="18" t="n">
        <v>119</v>
      </c>
      <c r="E40" s="7">
        <f>IF(COUNT(B40:D40)=0,"",MAX(B40:D40))</f>
        <v/>
      </c>
      <c r="F40" s="7">
        <f>IF(B40="","",IF(B40&gt;=110,"IMPORTANT",IF(B40&lt;100,"CAUTION","")))</f>
        <v/>
      </c>
      <c r="G40" s="7">
        <f>IF(C40="","",IF(C40&gt;=110,"IMPORTANT",IF(C40&lt;100,"CAUTION","")))</f>
        <v/>
      </c>
      <c r="H40" s="7">
        <f>IF(D40="","",IF(D40&gt;=110,"IMPORTANT",IF(D40&lt;100,"CAUTION","")))</f>
        <v/>
      </c>
      <c r="I40" s="6" t="n"/>
      <c r="J40" s="6" t="inlineStr">
        <is>
          <t>Web focus</t>
        </is>
      </c>
    </row>
    <row r="43">
      <c r="A43" t="inlineStr">
        <is>
          <t>Segment averages</t>
        </is>
      </c>
      <c r="B43" s="27">
        <f>_xlfn.FLOOR.MATH((IFERROR(AVERAGE(B5:B41),"")*1))</f>
        <v/>
      </c>
      <c r="C43">
        <f>_xlfn.FLOOR.MATH((IFERROR(AVERAGE(C5:C41),"")*1))</f>
        <v/>
      </c>
      <c r="D43">
        <f>_xlfn.FLOOR.MATH((IFERROR(AVERAGE(D5:D41),"")*1))</f>
        <v/>
      </c>
    </row>
    <row r="44">
      <c r="A44" t="inlineStr">
        <is>
          <t>Segment averages, excluding web</t>
        </is>
      </c>
      <c r="B44" s="27">
        <f>_xlfn.FLOOR.MATH(IFERROR(AVERAGE(B5:B34),""),1)</f>
        <v/>
      </c>
      <c r="C44">
        <f>_xlfn.FLOOR.MATH(IFERROR(AVERAGE(C5:C34),""),1)</f>
        <v/>
      </c>
      <c r="D44">
        <f>_xlfn.FLOOR.MATH(IFERROR(AVERAGE(D5:D34),""),1)</f>
        <v/>
      </c>
    </row>
    <row r="45">
      <c r="A45" t="inlineStr">
        <is>
          <t>Segment averages, only web</t>
        </is>
      </c>
      <c r="B45" s="27">
        <f>_xlfn.FLOOR.MATH(IFERROR(AVERAGE(B35:B40),""),1)</f>
        <v/>
      </c>
      <c r="C45">
        <f>_xlfn.FLOOR.MATH(IFERROR(AVERAGE(C35:C40),""),1)</f>
        <v/>
      </c>
      <c r="D45">
        <f>_xlfn.FLOOR.MATH(IFERROR(AVERAGE(D35:D40),""),1)</f>
        <v/>
      </c>
    </row>
  </sheetData>
  <conditionalFormatting sqref="B5:B40">
    <cfRule type="top10" rank="10" priority="3" dxfId="2"/>
  </conditionalFormatting>
  <conditionalFormatting sqref="C5:C40">
    <cfRule type="top10" rank="10" priority="1" dxfId="2"/>
  </conditionalFormatting>
  <conditionalFormatting sqref="D5:D40">
    <cfRule type="top10" rank="10" priority="2" dxfId="2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G14" sqref="G14"/>
    </sheetView>
  </sheetViews>
  <sheetFormatPr baseColWidth="8" defaultRowHeight="14.5"/>
  <cols>
    <col width="34" customWidth="1" style="146" min="1" max="1"/>
    <col width="12" customWidth="1" style="146" min="2" max="4"/>
    <col width="8" customWidth="1" style="146" min="5" max="5"/>
    <col width="12" customWidth="1" style="146" min="6" max="8"/>
    <col width="36" customWidth="1" style="146" min="9" max="9"/>
    <col width="14" customWidth="1" style="146" min="10" max="10"/>
  </cols>
  <sheetData>
    <row r="1" ht="18.5" customHeight="1" s="146">
      <c r="A1" s="4" t="inlineStr">
        <is>
          <t>Applications / Use Patterns — Importance by Segment</t>
        </is>
      </c>
    </row>
    <row r="2">
      <c r="A2" s="1" t="inlineStr">
        <is>
          <t>≥110 = must design for | &lt;100 = may hurt appeal if over-emphasized</t>
        </is>
      </c>
    </row>
    <row r="4" ht="15" customHeight="1" s="146" thickBot="1">
      <c r="A4" s="2" t="inlineStr">
        <is>
          <t>Application / Use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Component implications</t>
        </is>
      </c>
      <c r="J4" s="2" t="inlineStr">
        <is>
          <t>Peer miss risk</t>
        </is>
      </c>
    </row>
    <row r="5" ht="15" customHeight="1" s="146" thickBot="1">
      <c r="A5" s="15" t="inlineStr">
        <is>
          <t>Recreation</t>
        </is>
      </c>
      <c r="B5" s="16" t="n">
        <v>129</v>
      </c>
      <c r="C5" s="16" t="n">
        <v>115</v>
      </c>
      <c r="D5" s="16" t="n">
        <v>106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Exercise</t>
        </is>
      </c>
      <c r="B6" s="18" t="n">
        <v>115</v>
      </c>
      <c r="C6" s="18" t="n">
        <v>118</v>
      </c>
      <c r="D6" s="18" t="n">
        <v>121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Relaxation</t>
        </is>
      </c>
      <c r="B7" s="20" t="n">
        <v>122</v>
      </c>
      <c r="C7" s="20" t="n">
        <v>108</v>
      </c>
      <c r="D7" s="20" t="n">
        <v>102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Fun</t>
        </is>
      </c>
      <c r="B8" s="18" t="n">
        <v>123</v>
      </c>
      <c r="C8" s="18" t="n">
        <v>115</v>
      </c>
      <c r="D8" s="18" t="n">
        <v>102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Adventure</t>
        </is>
      </c>
      <c r="B9" s="20" t="n">
        <v>112</v>
      </c>
      <c r="C9" s="20" t="n">
        <v>129</v>
      </c>
      <c r="D9" s="20" t="n">
        <v>117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Sport</t>
        </is>
      </c>
      <c r="B10" s="18" t="n">
        <v>81</v>
      </c>
      <c r="C10" s="18" t="n">
        <v>115</v>
      </c>
      <c r="D10" s="18" t="n">
        <v>129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2">
      <c r="A12" t="inlineStr">
        <is>
          <t>Segment averages</t>
        </is>
      </c>
      <c r="B12">
        <f>_xlfn.FLOOR.MATH((IFERROR(AVERAGE(B5:B10),"")*1))</f>
        <v/>
      </c>
      <c r="C12">
        <f>_xlfn.FLOOR.MATH((IFERROR(AVERAGE(C5:C10),"")*1))</f>
        <v/>
      </c>
      <c r="D12">
        <f>_xlfn.FLOOR.MATH((IFERROR(AVERAGE(D5:D10),"")*1))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J2" sqref="J2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36" customWidth="1" style="146" min="5" max="5"/>
    <col width="18" customWidth="1" style="146" min="6" max="6"/>
    <col width="36" customWidth="1" style="146" min="7" max="7"/>
  </cols>
  <sheetData>
    <row r="1" ht="18.5" customHeight="1" s="146">
      <c r="A1" s="4" t="inlineStr">
        <is>
          <t>Price Willing to Pay (Ideal Brand Ceiling)</t>
        </is>
      </c>
    </row>
    <row r="2">
      <c r="A2" s="1" t="inlineStr">
        <is>
          <t>Treat as maximum for ideal brand. Above = fewer entrants. Elasticity unknown until test market.</t>
        </is>
      </c>
    </row>
    <row r="4" ht="29" customHeight="1" s="146">
      <c r="A4" s="2" t="inlineStr">
        <is>
          <t>Segment</t>
        </is>
      </c>
      <c r="B4" s="2" t="inlineStr">
        <is>
          <t>WTP (max)</t>
        </is>
      </c>
      <c r="C4" s="2" t="inlineStr">
        <is>
          <t>vs Rec</t>
        </is>
      </c>
      <c r="D4" s="2" t="inlineStr">
        <is>
          <t>vs Mountain</t>
        </is>
      </c>
      <c r="E4" s="2" t="inlineStr">
        <is>
          <t>Price sensitivity note</t>
        </is>
      </c>
      <c r="F4" s="2" t="inlineStr">
        <is>
          <t>Peer price-war risk (H/M/L)</t>
        </is>
      </c>
      <c r="G4" s="2" t="inlineStr">
        <is>
          <t>Margin opportunity note</t>
        </is>
      </c>
    </row>
    <row r="5">
      <c r="A5" s="3" t="inlineStr">
        <is>
          <t>Recreation</t>
        </is>
      </c>
      <c r="B5" s="6" t="n">
        <v>1100</v>
      </c>
      <c r="C5" s="7">
        <f>IF(OR($B$5="",B5=""),"",B5-$B$5)</f>
        <v/>
      </c>
      <c r="D5" s="7">
        <f>IF(OR($B$6="",B5=""),"",B5-$B$6)</f>
        <v/>
      </c>
      <c r="E5" s="6" t="inlineStr">
        <is>
          <t>Q1, we expect all target here</t>
        </is>
      </c>
      <c r="F5" s="6" t="inlineStr">
        <is>
          <t>H</t>
        </is>
      </c>
      <c r="G5" s="6" t="n"/>
    </row>
    <row r="6">
      <c r="A6" s="3" t="inlineStr">
        <is>
          <t>Mountain</t>
        </is>
      </c>
      <c r="B6" s="6" t="n">
        <v>1365</v>
      </c>
      <c r="C6" s="7">
        <f>IF(OR($B$5="",B6=""),"",B6-$B$5)</f>
        <v/>
      </c>
      <c r="D6" s="7">
        <f>IF(OR($B$6="",B6=""),"",B6-$B$6)</f>
        <v/>
      </c>
      <c r="E6" s="6" t="inlineStr">
        <is>
          <t>Someone might monopolize Q1</t>
        </is>
      </c>
      <c r="F6" s="6" t="inlineStr">
        <is>
          <t>M</t>
        </is>
      </c>
      <c r="G6" s="6" t="n"/>
    </row>
    <row r="7">
      <c r="A7" s="3" t="inlineStr">
        <is>
          <t>Speed</t>
        </is>
      </c>
      <c r="B7" s="6" t="n">
        <v>1580</v>
      </c>
      <c r="C7" s="7">
        <f>IF(OR($B$5="",B7=""),"",B7-$B$5)</f>
        <v/>
      </c>
      <c r="D7" s="7">
        <f>IF(OR($B$6="",B7=""),"",B7-$B$6)</f>
        <v/>
      </c>
      <c r="E7" s="6" t="inlineStr">
        <is>
          <t>Q1, we expect no target here</t>
        </is>
      </c>
      <c r="F7" s="6" t="inlineStr">
        <is>
          <t>L</t>
        </is>
      </c>
      <c r="G7" s="6" t="n"/>
    </row>
    <row r="9">
      <c r="A9" t="inlineStr">
        <is>
          <t>Optional: paste graph / Workspace notes below</t>
        </is>
      </c>
    </row>
    <row r="10">
      <c r="A10" s="142" t="n"/>
      <c r="B10" s="143" t="n"/>
      <c r="C10" s="143" t="n"/>
      <c r="D10" s="143" t="n"/>
      <c r="E10" s="143" t="n"/>
      <c r="F10" s="143" t="n"/>
      <c r="G10" s="144" t="n"/>
    </row>
    <row r="11">
      <c r="A11" s="145" t="n"/>
      <c r="G11" s="147" t="n"/>
    </row>
    <row r="12">
      <c r="A12" s="148" t="n"/>
      <c r="B12" s="149" t="n"/>
      <c r="C12" s="149" t="n"/>
      <c r="D12" s="149" t="n"/>
      <c r="E12" s="149" t="n"/>
      <c r="F12" s="149" t="n"/>
      <c r="G12" s="150" t="n"/>
    </row>
  </sheetData>
  <mergeCells count="1">
    <mergeCell ref="A10:G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zoomScale="115" zoomScaleNormal="115" workbookViewId="0">
      <selection activeCell="F20" sqref="F20"/>
    </sheetView>
  </sheetViews>
  <sheetFormatPr baseColWidth="8" defaultRowHeight="14.5"/>
  <cols>
    <col width="18" customWidth="1" style="146" min="1" max="1"/>
    <col width="12" customWidth="1" style="146" min="2" max="5"/>
    <col width="16" customWidth="1" style="146" min="6" max="6"/>
    <col width="18" customWidth="1" style="146" min="7" max="7"/>
    <col width="40" customWidth="1" style="146" min="8" max="8"/>
  </cols>
  <sheetData>
    <row r="1" ht="18.5" customHeight="1" s="146">
      <c r="A1" s="4" t="inlineStr">
        <is>
          <t>12-Month Market Potential (Units)</t>
        </is>
      </c>
    </row>
    <row r="2">
      <c r="A2" s="1" t="inlineStr">
        <is>
          <t>Potential = P(purchase) × units × # customers. Early quarterly demand usually &lt;&lt; annual/4.</t>
        </is>
      </c>
    </row>
    <row r="3">
      <c r="A3" s="35" t="inlineStr">
        <is>
          <t>See Sales_Channel sheet for shop vs web strategy (linked to these city sizes). First store LOCKED: Amsterdam.</t>
        </is>
      </c>
    </row>
    <row r="4" ht="29.5" customHeight="1" s="146" thickBot="1">
      <c r="A4" s="2" t="inlineStr">
        <is>
          <t>City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City Total</t>
        </is>
      </c>
      <c r="F4" s="2" t="inlineStr">
        <is>
          <t>Naive Qtr (Total/4)</t>
        </is>
      </c>
      <c r="G4" s="2" t="inlineStr">
        <is>
          <t>Likely peer crowding (H/M/L)</t>
        </is>
      </c>
      <c r="H4" s="2" t="inlineStr">
        <is>
          <t>Growth-room note</t>
        </is>
      </c>
    </row>
    <row r="5" ht="15" customHeight="1" s="146" thickBot="1">
      <c r="A5" s="19" t="inlineStr">
        <is>
          <t>New York City</t>
        </is>
      </c>
      <c r="B5" s="23" t="n">
        <v>5114</v>
      </c>
      <c r="C5" s="23" t="n">
        <v>4757</v>
      </c>
      <c r="D5" s="23" t="n">
        <v>3826</v>
      </c>
      <c r="E5" s="7">
        <f>IF(COUNT(B5:D5)=0,"",SUM(B5:D5))</f>
        <v/>
      </c>
      <c r="F5" s="7">
        <f>IF(E5="","",E5/4)</f>
        <v/>
      </c>
      <c r="G5" s="6" t="n"/>
      <c r="H5" s="6" t="n"/>
    </row>
    <row r="6" ht="15" customHeight="1" s="146" thickBot="1">
      <c r="A6" s="17" t="inlineStr">
        <is>
          <t>Rio de Janeiro</t>
        </is>
      </c>
      <c r="B6" s="24" t="n">
        <v>4194</v>
      </c>
      <c r="C6" s="24" t="n">
        <v>3177</v>
      </c>
      <c r="D6" s="24" t="n">
        <v>1942</v>
      </c>
      <c r="E6" s="7">
        <f>IF(COUNT(B6:D6)=0,"",SUM(B6:D6))</f>
        <v/>
      </c>
      <c r="F6" s="7">
        <f>IF(E6="","",E6/4)</f>
        <v/>
      </c>
      <c r="G6" s="6" t="n"/>
      <c r="H6" s="6" t="n"/>
    </row>
    <row r="7" ht="15" customHeight="1" s="146" thickBot="1">
      <c r="A7" s="19" t="inlineStr">
        <is>
          <t>Amsterdam</t>
        </is>
      </c>
      <c r="B7" s="23" t="n">
        <v>5468</v>
      </c>
      <c r="C7" s="23" t="n">
        <v>3447</v>
      </c>
      <c r="D7" s="23" t="n">
        <v>3659</v>
      </c>
      <c r="E7" s="7">
        <f>IF(COUNT(B7:D7)=0,"",SUM(B7:D7))</f>
        <v/>
      </c>
      <c r="F7" s="7">
        <f>IF(E7="","",E7/4)</f>
        <v/>
      </c>
      <c r="G7" s="6" t="n"/>
      <c r="H7" s="6" t="n"/>
    </row>
    <row r="8" ht="15" customHeight="1" s="146" thickBot="1">
      <c r="A8" s="15" t="inlineStr">
        <is>
          <t>Bangalore</t>
        </is>
      </c>
      <c r="B8" s="25" t="n">
        <v>3491</v>
      </c>
      <c r="C8" s="25" t="n">
        <v>2439</v>
      </c>
      <c r="D8" s="25" t="n">
        <v>2447</v>
      </c>
      <c r="E8" s="7">
        <f>IF(COUNT(B8:D8)=0,"",SUM(B8:D8))</f>
        <v/>
      </c>
      <c r="F8" s="7">
        <f>IF(E8="","",E8/4)</f>
        <v/>
      </c>
      <c r="G8" s="6" t="n"/>
      <c r="H8" s="6" t="n"/>
    </row>
    <row r="9">
      <c r="A9" s="8" t="inlineStr">
        <is>
          <t>Segment Total</t>
        </is>
      </c>
      <c r="B9" s="9">
        <f>IF(COUNT(B5:B8)=0,"",SUM(B5:B8))</f>
        <v/>
      </c>
      <c r="C9" s="9">
        <f>IF(COUNT(C5:C8)=0,"",SUM(C5:C8))</f>
        <v/>
      </c>
      <c r="D9" s="9">
        <f>IF(COUNT(D5:D8)=0,"",SUM(D5:D8))</f>
        <v/>
      </c>
      <c r="E9" s="9">
        <f>IF(COUNT(E5:E8)=0,"",SUM(E5:E8))</f>
        <v/>
      </c>
      <c r="F9" s="9">
        <f>IF(COUNT(F5:F8)=0,"",SUM(F5:F8))</f>
        <v/>
      </c>
      <c r="G9" s="9" t="n"/>
      <c r="H9" s="9" t="n"/>
    </row>
    <row r="11">
      <c r="A11" t="inlineStr">
        <is>
          <t>Segment share of total potential</t>
        </is>
      </c>
      <c r="B11" s="10">
        <f>IF(OR(B9="",E9="",E9=0),"",B9/E9)</f>
        <v/>
      </c>
      <c r="C11" s="10">
        <f>IF(OR(C9="",E9="",E9=0),"",C9/E9)</f>
        <v/>
      </c>
      <c r="D11" s="10">
        <f>IF(OR(D9="",E9="",E9=0),"",D9/E9)</f>
        <v/>
      </c>
    </row>
    <row r="13">
      <c r="A13" t="inlineStr">
        <is>
          <t>City rank by total potential (after fill):</t>
        </is>
      </c>
    </row>
    <row r="14">
      <c r="A14" t="inlineStr">
        <is>
          <t>1.</t>
        </is>
      </c>
      <c r="B14" s="11" t="n"/>
    </row>
    <row r="15">
      <c r="A15" t="inlineStr">
        <is>
          <t>2.</t>
        </is>
      </c>
      <c r="B15" s="11" t="n"/>
    </row>
    <row r="16">
      <c r="A16" t="inlineStr">
        <is>
          <t>3.</t>
        </is>
      </c>
      <c r="B16" s="11" t="n"/>
    </row>
    <row r="17">
      <c r="A17" t="inlineStr">
        <is>
          <t>4.</t>
        </is>
      </c>
      <c r="B17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G6" sqref="G6"/>
    </sheetView>
  </sheetViews>
  <sheetFormatPr baseColWidth="8" defaultRowHeight="14.5"/>
  <cols>
    <col width="48" customWidth="1" style="146" min="1" max="1"/>
    <col width="50" customWidth="1" style="146" min="2" max="2"/>
    <col width="42" customWidth="1" style="146" min="3" max="3"/>
    <col width="28" customWidth="1" style="146" min="4" max="4"/>
    <col width="12" customWidth="1" style="146" min="5" max="5"/>
    <col width="18" customWidth="1" style="146" min="6" max="6"/>
    <col width="40" customWidth="1" style="146" min="7" max="7"/>
  </cols>
  <sheetData>
    <row r="1" ht="18.5" customHeight="1" s="146">
      <c r="A1" s="36" t="inlineStr">
        <is>
          <t>Sales Channel Strategy — connects to Market_Potential</t>
        </is>
      </c>
    </row>
    <row r="2">
      <c r="A2" s="154" t="inlineStr">
        <is>
          <t>Company-operated shops + web. LIVE for test market: Amsterdam + World web. Schedule city #2 this quarter.</t>
        </is>
      </c>
    </row>
    <row r="4">
      <c r="A4" s="37" t="inlineStr">
        <is>
          <t>Market size for channel choice (linked to Market_Potential)</t>
        </is>
      </c>
    </row>
    <row r="5">
      <c r="A5" s="29" t="inlineStr">
        <is>
          <t>City</t>
        </is>
      </c>
      <c r="B5" s="29" t="inlineStr">
        <is>
          <t>Recreation</t>
        </is>
      </c>
      <c r="C5" s="29" t="inlineStr">
        <is>
          <t>Mountain</t>
        </is>
      </c>
      <c r="D5" s="29" t="inlineStr">
        <is>
          <t>Speed</t>
        </is>
      </c>
      <c r="E5" s="29" t="inlineStr">
        <is>
          <t>City Total</t>
        </is>
      </c>
      <c r="F5" s="29" t="inlineStr">
        <is>
          <t>Locked first store?</t>
        </is>
      </c>
      <c r="G5" s="29" t="inlineStr">
        <is>
          <t>Channel note</t>
        </is>
      </c>
    </row>
    <row r="6">
      <c r="A6" s="30" t="inlineStr">
        <is>
          <t>New York City</t>
        </is>
      </c>
      <c r="B6" s="38">
        <f>Market_Potential!B5</f>
        <v/>
      </c>
      <c r="C6" s="38">
        <f>Market_Potential!C5</f>
        <v/>
      </c>
      <c r="D6" s="38">
        <f>Market_Potential!D5</f>
        <v/>
      </c>
      <c r="E6" s="38">
        <f>SUM(B6:D6)</f>
        <v/>
      </c>
      <c r="F6" s="38" t="inlineStr">
        <is>
          <t>No</t>
        </is>
      </c>
      <c r="G6" s="38" t="inlineStr">
        <is>
          <t>Largest overall; likely peer crowding</t>
        </is>
      </c>
    </row>
    <row r="7">
      <c r="A7" s="30" t="inlineStr">
        <is>
          <t>Rio de Janeiro</t>
        </is>
      </c>
      <c r="B7" s="38">
        <f>Market_Potential!B6</f>
        <v/>
      </c>
      <c r="C7" s="38">
        <f>Market_Potential!C6</f>
        <v/>
      </c>
      <c r="D7" s="38">
        <f>Market_Potential!D6</f>
        <v/>
      </c>
      <c r="E7" s="38">
        <f>SUM(B7:D7)</f>
        <v/>
      </c>
      <c r="F7" s="38" t="inlineStr">
        <is>
          <t>No</t>
        </is>
      </c>
      <c r="G7" s="38" t="inlineStr">
        <is>
          <t>Smaller Speed pool</t>
        </is>
      </c>
    </row>
    <row r="8">
      <c r="A8" s="39" t="inlineStr">
        <is>
          <t>Amsterdam</t>
        </is>
      </c>
      <c r="B8" s="40">
        <f>Market_Potential!B7</f>
        <v/>
      </c>
      <c r="C8" s="40">
        <f>Market_Potential!C7</f>
        <v/>
      </c>
      <c r="D8" s="40">
        <f>Market_Potential!D7</f>
        <v/>
      </c>
      <c r="E8" s="40">
        <f>SUM(B8:D8)</f>
        <v/>
      </c>
      <c r="F8" s="40" t="inlineStr">
        <is>
          <t>YES — Q1 LOCKED</t>
        </is>
      </c>
      <c r="G8" s="40" t="inlineStr">
        <is>
          <t>Largest Recreation pool; team lock</t>
        </is>
      </c>
    </row>
    <row r="9">
      <c r="A9" s="30" t="inlineStr">
        <is>
          <t>Bangalore</t>
        </is>
      </c>
      <c r="B9" s="38">
        <f>Market_Potential!B8</f>
        <v/>
      </c>
      <c r="C9" s="38">
        <f>Market_Potential!C8</f>
        <v/>
      </c>
      <c r="D9" s="38">
        <f>Market_Potential!D8</f>
        <v/>
      </c>
      <c r="E9" s="38">
        <f>SUM(B9:D9)</f>
        <v/>
      </c>
      <c r="F9" s="38" t="inlineStr">
        <is>
          <t>No</t>
        </is>
      </c>
      <c r="G9" s="38" t="inlineStr">
        <is>
          <t>Smallest overall; cost may be lower</t>
        </is>
      </c>
    </row>
    <row r="11">
      <c r="A11" s="37" t="inlineStr">
        <is>
          <t>Brick-and-mortar vs Web</t>
        </is>
      </c>
    </row>
    <row r="12">
      <c r="A12" s="29" t="inlineStr">
        <is>
          <t>Channel</t>
        </is>
      </c>
      <c r="B12" s="29" t="inlineStr">
        <is>
          <t>Advantages</t>
        </is>
      </c>
      <c r="C12" s="29" t="inlineStr">
        <is>
          <t>Disadvantages</t>
        </is>
      </c>
      <c r="D12" s="29" t="inlineStr">
        <is>
          <t>Our Q1 posture</t>
        </is>
      </c>
    </row>
    <row r="13" ht="55" customHeight="1" s="146">
      <c r="A13" s="30" t="inlineStr">
        <is>
          <t>Brick-and-mortar bike shop</t>
        </is>
      </c>
      <c r="B13" s="30" t="inlineStr">
        <is>
          <t>Touch/feel/test ride; segment-specialist sales; custom fit; full control of brand/price/ads/sales; no independent-retailer surprises</t>
        </is>
      </c>
      <c r="C13" s="30" t="inlineStr">
        <is>
          <t>Expensive to open/run; many details; productivity drop if &gt;~15 display bikes or &gt;~15 salespeople</t>
        </is>
      </c>
      <c r="D13" s="41" t="inlineStr">
        <is>
          <t>LOCKED — Amsterdam Q1</t>
        </is>
      </c>
    </row>
    <row r="14" ht="55" customHeight="1" s="146">
      <c r="A14" s="30" t="inlineStr">
        <is>
          <t>Web sales center</t>
        </is>
      </c>
      <c r="B14" s="30" t="inlineStr">
        <is>
          <t>One site serves all geos; broader metro reach; multilingual staff; demand beyond one store footprint</t>
        </is>
      </c>
      <c r="C14" s="30" t="inlineStr">
        <is>
          <t>No touch/feel; harder phone vs in-person; must wait for customer to find you (ads/SEM); staff wait for calls</t>
        </is>
      </c>
      <c r="D14" s="41" t="inlineStr">
        <is>
          <t>LIVE — World Market</t>
        </is>
      </c>
    </row>
    <row r="16">
      <c r="A16" s="37" t="inlineStr">
        <is>
          <t>Sim decision tips</t>
        </is>
      </c>
    </row>
    <row r="17">
      <c r="A17" s="118" t="inlineStr">
        <is>
          <t>1. Both channels are expensive to start together — may open one first, then expand.</t>
        </is>
      </c>
    </row>
    <row r="18">
      <c r="A18" s="118" t="inlineStr">
        <is>
          <t>2. Web and stores cannibalize each other → lower productivity per channel; dual channels may still raise TOTAL demand.</t>
        </is>
      </c>
    </row>
    <row r="19">
      <c r="A19" s="118" t="inlineStr">
        <is>
          <t>3. Segment preferences differ for web vs store — Rec especially wants humans + web (see Needs).</t>
        </is>
      </c>
    </row>
    <row r="20">
      <c r="A20" s="118" t="inlineStr">
        <is>
          <t>4. Must schedule first channel in Q1 (takes a full quarter) to test in Q2.</t>
        </is>
      </c>
    </row>
    <row r="21">
      <c r="A21" s="118" t="inlineStr">
        <is>
          <t>5. Recommended: one store for test marketing; add more after learning.</t>
        </is>
      </c>
    </row>
    <row r="22">
      <c r="A22" s="118" t="inlineStr">
        <is>
          <t>6. Store ~3,200 sq ft / 300 m²: display ~50%, fitting ~20%, service ~15%, counter/office/storage ~15%. Middle-class area near major road.</t>
        </is>
      </c>
    </row>
    <row r="23">
      <c r="A23" s="118" t="inlineStr">
        <is>
          <t>7. POP displays + several bikes; fitting area for custom measurements.</t>
        </is>
      </c>
    </row>
    <row r="24">
      <c r="A24" s="118" t="inlineStr">
        <is>
          <t>8. Productivity risk if more than ~15 bikes OR ~15 salespeople in one store.</t>
        </is>
      </c>
    </row>
    <row r="26">
      <c r="A26" s="37" t="inlineStr">
        <is>
          <t>Web order fulfillment</t>
        </is>
      </c>
    </row>
    <row r="27">
      <c r="A27" s="118" t="inlineStr">
        <is>
          <t>1. Daily web orders (dimensions + preferences) → single fabrication facility.</t>
        </is>
      </c>
    </row>
    <row r="28">
      <c r="A28" s="118" t="inlineStr">
        <is>
          <t>2. 3D modeling software generates customized frame specs.</t>
        </is>
      </c>
    </row>
    <row r="29">
      <c r="A29" s="118" t="inlineStr">
        <is>
          <t>3. Next day: produce; end of day box, containerize, ship to each city.</t>
        </is>
      </c>
    </row>
    <row r="30">
      <c r="A30" s="118" t="inlineStr">
        <is>
          <t>4. If store in city: bikes to store for customer pickup.</t>
        </is>
      </c>
    </row>
    <row r="31">
      <c r="A31" s="118" t="inlineStr">
        <is>
          <t>5. If no store: break-bulk operator delivers to buyers.</t>
        </is>
      </c>
    </row>
    <row r="33">
      <c r="A33" s="37" t="inlineStr">
        <is>
          <t>Strategy worksheet (yellow = team inputs)</t>
        </is>
      </c>
    </row>
    <row r="34">
      <c r="A34" s="29" t="inlineStr">
        <is>
          <t>Question</t>
        </is>
      </c>
      <c r="B34" s="29" t="inlineStr">
        <is>
          <t>Team answer</t>
        </is>
      </c>
      <c r="C34" s="29" t="inlineStr">
        <is>
          <t>Data link</t>
        </is>
      </c>
    </row>
    <row r="35">
      <c r="A35" s="31" t="inlineStr">
        <is>
          <t>Primary channel for Q2 test?</t>
        </is>
      </c>
      <c r="B35" s="42" t="inlineStr">
        <is>
          <t>Amsterdam brick-and-mortar (LIVE)</t>
        </is>
      </c>
      <c r="C35" s="31" t="inlineStr">
        <is>
          <t>Market_Potential</t>
        </is>
      </c>
    </row>
    <row r="36">
      <c r="A36" s="31" t="inlineStr">
        <is>
          <t>Open web sales center in Q1?</t>
        </is>
      </c>
      <c r="B36" s="42" t="inlineStr">
        <is>
          <t>YES — LIVE (World Market)</t>
        </is>
      </c>
      <c r="C36" s="31" t="inlineStr">
        <is>
          <t>Needs web scores; cost + cannibalization tips</t>
        </is>
      </c>
    </row>
    <row r="37">
      <c r="A37" s="31" t="inlineStr">
        <is>
          <t>First-store segment specialist focus?</t>
        </is>
      </c>
      <c r="B37" s="42" t="inlineStr">
        <is>
          <t>Mountain primary (Hike Bike)</t>
        </is>
      </c>
      <c r="C37" s="31" t="inlineStr">
        <is>
          <t>decisions.md / Q2Data Pricing</t>
        </is>
      </c>
    </row>
    <row r="38">
      <c r="A38" s="31" t="inlineStr">
        <is>
          <t>Q2–Q4 city order?</t>
        </is>
      </c>
      <c r="B38" s="42" t="n"/>
      <c r="C38" s="31" t="inlineStr">
        <is>
          <t>NYC, Rio, Bangalore remaining</t>
        </is>
      </c>
    </row>
    <row r="39">
      <c r="A39" s="31" t="inlineStr">
        <is>
          <t>Dual-channel cannibalization plan?</t>
        </is>
      </c>
      <c r="B39" s="42" t="n"/>
      <c r="C39" s="31" t="inlineStr">
        <is>
          <t>Sim: total demand may still rise</t>
        </is>
      </c>
    </row>
    <row r="40">
      <c r="A40" s="31" t="inlineStr">
        <is>
          <t>Store productivity caps (# bikes / # sales)?</t>
        </is>
      </c>
      <c r="B40" s="42" t="n"/>
      <c r="C40" s="31" t="inlineStr">
        <is>
          <t>Sim guideline: avoid &gt;15 / &gt;15</t>
        </is>
      </c>
    </row>
  </sheetData>
  <mergeCells count="14">
    <mergeCell ref="A17:D17"/>
    <mergeCell ref="A18:D18"/>
    <mergeCell ref="A27:D27"/>
    <mergeCell ref="A31:D31"/>
    <mergeCell ref="A23:D23"/>
    <mergeCell ref="A22:D22"/>
    <mergeCell ref="A20:D20"/>
    <mergeCell ref="A21:D21"/>
    <mergeCell ref="A30:D30"/>
    <mergeCell ref="A29:D29"/>
    <mergeCell ref="A2:G2"/>
    <mergeCell ref="A24:D24"/>
    <mergeCell ref="A19:D19"/>
    <mergeCell ref="A28:D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K11" sqref="K11"/>
    </sheetView>
  </sheetViews>
  <sheetFormatPr baseColWidth="8" defaultRowHeight="14.5"/>
  <cols>
    <col width="28" customWidth="1" style="146" min="1" max="1"/>
    <col width="14" customWidth="1" style="146" min="2" max="5"/>
    <col width="18" customWidth="1" style="146" min="6" max="7"/>
    <col width="14" customWidth="1" style="146" min="8" max="8"/>
  </cols>
  <sheetData>
    <row r="1" ht="18.5" customHeight="1" s="146">
      <c r="A1" s="49" t="inlineStr">
        <is>
          <t>Sales outlets and web — setup and lease costs</t>
        </is>
      </c>
    </row>
    <row r="2">
      <c r="A2" s="50" t="inlineStr">
        <is>
          <t>Full quarter to open. LIVE: Amsterdam store + World web. City #2 undecided (NYC candidate).</t>
        </is>
      </c>
      <c r="B2" t="inlineStr">
        <is>
          <t>Full quarter to open. LIVE: Amsterdam + World web. City #2 LOCKED: Rio (schedule Q2 → live Q3).</t>
        </is>
      </c>
    </row>
    <row r="4">
      <c r="A4" t="inlineStr">
        <is>
          <t>Brick-and-mortar stores</t>
        </is>
      </c>
    </row>
    <row r="5" ht="29" customHeight="1" s="146">
      <c r="A5" s="51" t="inlineStr">
        <is>
          <t>City</t>
        </is>
      </c>
      <c r="B5" s="51" t="inlineStr">
        <is>
          <t>Status</t>
        </is>
      </c>
      <c r="C5" s="51" t="inlineStr">
        <is>
          <t>Setup/Close Cost</t>
        </is>
      </c>
      <c r="D5" s="51" t="inlineStr">
        <is>
          <t>Quarterly Lease</t>
        </is>
      </c>
      <c r="E5" s="51" t="inlineStr">
        <is>
          <t>12-mo Rec potential</t>
        </is>
      </c>
      <c r="F5" s="51" t="inlineStr">
        <is>
          <t>Notes</t>
        </is>
      </c>
    </row>
    <row r="6">
      <c r="A6" s="48" t="inlineStr">
        <is>
          <t>New York City</t>
        </is>
      </c>
      <c r="B6" s="48" t="inlineStr">
        <is>
          <t>closed</t>
        </is>
      </c>
      <c r="C6" s="48" t="n">
        <v>200000</v>
      </c>
      <c r="D6" s="48" t="n">
        <v>62000</v>
      </c>
      <c r="E6" s="48" t="n">
        <v>5114</v>
      </c>
      <c r="F6" s="48" t="inlineStr">
        <is>
          <t>Highest setup+lease</t>
        </is>
      </c>
    </row>
    <row r="7">
      <c r="A7" s="48" t="inlineStr">
        <is>
          <t>Rio de Janeiro</t>
        </is>
      </c>
      <c r="B7" s="162" t="inlineStr">
        <is>
          <t>SCHEDULED (Q2) → OPEN next Q</t>
        </is>
      </c>
      <c r="C7" s="48" t="n">
        <v>90000</v>
      </c>
      <c r="D7" s="48" t="n">
        <v>17000</v>
      </c>
      <c r="E7" s="48" t="n">
        <v>4194</v>
      </c>
      <c r="F7" s="48" t="inlineStr">
        <is>
          <t>LOCKED Q2 city #2 — setup $90k this Q; lease when live</t>
        </is>
      </c>
    </row>
    <row r="8">
      <c r="A8" s="52" t="inlineStr">
        <is>
          <t>Amsterdam</t>
        </is>
      </c>
      <c r="B8" s="52" t="inlineStr">
        <is>
          <t>OPEN (Q2 live)</t>
        </is>
      </c>
      <c r="C8" s="52" t="n">
        <v>136000</v>
      </c>
      <c r="D8" s="52" t="n">
        <v>44000</v>
      </c>
      <c r="E8" s="52" t="n">
        <v>5468</v>
      </c>
      <c r="F8" s="52" t="n"/>
    </row>
    <row r="9">
      <c r="A9" s="48" t="inlineStr">
        <is>
          <t>Bangalore</t>
        </is>
      </c>
      <c r="B9" s="48" t="inlineStr">
        <is>
          <t>closed</t>
        </is>
      </c>
      <c r="C9" s="48" t="n">
        <v>84000</v>
      </c>
      <c r="D9" s="48" t="n">
        <v>13000</v>
      </c>
      <c r="E9" s="48" t="n">
        <v>3491</v>
      </c>
      <c r="F9" s="48" t="inlineStr">
        <is>
          <t>Lowest store costs; also fab city</t>
        </is>
      </c>
    </row>
    <row r="11">
      <c r="A11" t="inlineStr">
        <is>
          <t>Web sales center</t>
        </is>
      </c>
    </row>
    <row r="12" ht="29" customHeight="1" s="146">
      <c r="A12" s="51" t="inlineStr">
        <is>
          <t>Region</t>
        </is>
      </c>
      <c r="B12" s="51" t="inlineStr">
        <is>
          <t>City</t>
        </is>
      </c>
      <c r="C12" s="51" t="inlineStr">
        <is>
          <t>Status</t>
        </is>
      </c>
      <c r="D12" s="51" t="inlineStr">
        <is>
          <t>Setup/Close Cost</t>
        </is>
      </c>
      <c r="E12" s="51" t="inlineStr">
        <is>
          <t>Quarterly Lease</t>
        </is>
      </c>
      <c r="F12" s="51" t="inlineStr">
        <is>
          <t>Notes</t>
        </is>
      </c>
    </row>
    <row r="13">
      <c r="A13" s="53" t="inlineStr">
        <is>
          <t>World Market</t>
        </is>
      </c>
      <c r="B13" s="53" t="inlineStr">
        <is>
          <t>OPEN (Q2 live)</t>
        </is>
      </c>
      <c r="C13" s="53" t="inlineStr">
        <is>
          <t>closed</t>
        </is>
      </c>
      <c r="D13" s="53" t="n">
        <v>150000</v>
      </c>
      <c r="E13" s="53" t="n">
        <v>60000</v>
      </c>
      <c r="F13" s="53" t="inlineStr">
        <is>
          <t>World Market web live; serves all geos</t>
        </is>
      </c>
    </row>
    <row r="15">
      <c r="A15" s="54" t="inlineStr">
        <is>
          <t>Q1 cash sketch (major outlays only)</t>
        </is>
      </c>
    </row>
    <row r="16" ht="29" customHeight="1" s="146">
      <c r="A16" s="51" t="inlineStr">
        <is>
          <t>Scenario</t>
        </is>
      </c>
      <c r="B16" s="51" t="inlineStr">
        <is>
          <t>Printers</t>
        </is>
      </c>
      <c r="C16" s="51" t="inlineStr">
        <is>
          <t>Printer $</t>
        </is>
      </c>
      <c r="D16" s="51" t="inlineStr">
        <is>
          <t>AMS setup</t>
        </is>
      </c>
      <c r="E16" s="51" t="inlineStr">
        <is>
          <t>Web setup</t>
        </is>
      </c>
      <c r="F16" s="51" t="inlineStr">
        <is>
          <t>Total major outlay</t>
        </is>
      </c>
      <c r="G16" s="51" t="inlineStr">
        <is>
          <t>Cash left from $1.5M</t>
        </is>
      </c>
      <c r="H16" s="51" t="inlineStr">
        <is>
          <t>&gt;= $300k floor?</t>
        </is>
      </c>
    </row>
    <row r="17">
      <c r="A17" s="48" t="inlineStr">
        <is>
          <t>AMS only + 2 printers</t>
        </is>
      </c>
      <c r="B17" s="48" t="n">
        <v>2</v>
      </c>
      <c r="C17" s="48" t="n">
        <v>480000</v>
      </c>
      <c r="D17" s="48" t="n">
        <v>136000</v>
      </c>
      <c r="E17" s="48" t="n">
        <v>0</v>
      </c>
      <c r="F17" s="48" t="n">
        <v>616000</v>
      </c>
      <c r="G17" s="48" t="n">
        <v>884000</v>
      </c>
      <c r="H17" s="52" t="inlineStr">
        <is>
          <t>YES</t>
        </is>
      </c>
    </row>
    <row r="18">
      <c r="A18" s="48" t="inlineStr">
        <is>
          <t>AMS only + 3 printers</t>
        </is>
      </c>
      <c r="B18" s="48" t="n">
        <v>3</v>
      </c>
      <c r="C18" s="48" t="n">
        <v>720000</v>
      </c>
      <c r="D18" s="48" t="n">
        <v>136000</v>
      </c>
      <c r="E18" s="48" t="n">
        <v>0</v>
      </c>
      <c r="F18" s="48" t="n">
        <v>856000</v>
      </c>
      <c r="G18" s="48" t="n">
        <v>644000</v>
      </c>
      <c r="H18" s="52" t="inlineStr">
        <is>
          <t>YES</t>
        </is>
      </c>
    </row>
    <row r="19">
      <c r="A19" s="63" t="inlineStr">
        <is>
          <t>AMS + web + 2 printers</t>
        </is>
      </c>
      <c r="B19" s="63" t="n">
        <v>2</v>
      </c>
      <c r="C19" s="63" t="n">
        <v>480000</v>
      </c>
      <c r="D19" s="63" t="n">
        <v>136000</v>
      </c>
      <c r="E19" s="63" t="n">
        <v>150000</v>
      </c>
      <c r="F19" s="63" t="n">
        <v>766000</v>
      </c>
      <c r="G19" s="63" t="n">
        <v>734000</v>
      </c>
      <c r="H19" s="52" t="inlineStr">
        <is>
          <t>YES</t>
        </is>
      </c>
    </row>
    <row r="20">
      <c r="A20" s="48" t="inlineStr">
        <is>
          <t>AMS + web + 3 printers</t>
        </is>
      </c>
      <c r="B20" s="48" t="n">
        <v>3</v>
      </c>
      <c r="C20" s="48" t="n">
        <v>720000</v>
      </c>
      <c r="D20" s="48" t="n">
        <v>136000</v>
      </c>
      <c r="E20" s="48" t="n">
        <v>150000</v>
      </c>
      <c r="F20" s="48" t="n">
        <v>1006000</v>
      </c>
      <c r="G20" s="48" t="n">
        <v>494000</v>
      </c>
      <c r="H20" s="52" t="inlineStr">
        <is>
          <t>YES</t>
        </is>
      </c>
    </row>
    <row r="21">
      <c r="A21" s="48" t="inlineStr">
        <is>
          <t>AMS only + 5 printers</t>
        </is>
      </c>
      <c r="B21" s="48" t="n">
        <v>5</v>
      </c>
      <c r="C21" s="48" t="n">
        <v>1200000</v>
      </c>
      <c r="D21" s="48" t="n">
        <v>136000</v>
      </c>
      <c r="E21" s="48" t="n">
        <v>0</v>
      </c>
      <c r="F21" s="48" t="n">
        <v>1336000</v>
      </c>
      <c r="G21" s="48" t="n">
        <v>164000</v>
      </c>
      <c r="H21" s="55" t="inlineStr">
        <is>
          <t>NO</t>
        </is>
      </c>
    </row>
    <row r="22">
      <c r="A22" s="48" t="inlineStr">
        <is>
          <t>AMS + web + 1 printer</t>
        </is>
      </c>
      <c r="B22" s="48" t="n">
        <v>1</v>
      </c>
      <c r="C22" s="48" t="n">
        <v>240000</v>
      </c>
      <c r="D22" s="48" t="n">
        <v>136000</v>
      </c>
      <c r="E22" s="48" t="n">
        <v>150000</v>
      </c>
      <c r="F22" s="48" t="n">
        <v>526000</v>
      </c>
      <c r="G22" s="48" t="n">
        <v>974000</v>
      </c>
      <c r="H22" s="52" t="inlineStr">
        <is>
          <t>YES</t>
        </is>
      </c>
    </row>
    <row r="25">
      <c r="A25" s="50" t="inlineStr">
        <is>
          <t>Ongoing leases once open: AMS $44k/qtr, web $60k/qtr, NYC $62k, Rio $17k, Bangalore store $13k. Confirm in-sim whether lease hits opening quarter or first operating quarter.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7"/>
  <sheetViews>
    <sheetView topLeftCell="A18" zoomScaleNormal="100" workbookViewId="0">
      <selection activeCell="E43" sqref="E43"/>
    </sheetView>
  </sheetViews>
  <sheetFormatPr baseColWidth="8" defaultRowHeight="14.5"/>
  <cols>
    <col width="58" customWidth="1" style="146" min="1" max="1"/>
    <col width="14" customWidth="1" style="146" min="2" max="2"/>
    <col width="16" customWidth="1" style="146" min="3" max="3"/>
    <col width="48" customWidth="1" style="146" min="4" max="6"/>
    <col width="36" customWidth="1" style="146" min="7" max="7"/>
  </cols>
  <sheetData>
    <row r="1" ht="18.5" customHeight="1" s="146">
      <c r="A1" s="49" t="inlineStr">
        <is>
          <t>Manufacturing — Bangalore production facility</t>
        </is>
      </c>
    </row>
    <row r="2">
      <c r="A2" s="155" t="inlineStr">
        <is>
          <t>Location fixed for all firms: Bangalore (gov incentives). Cannot relocate or add facilities later; can add printers. Airfreight; no inventory; same-quarter fulfillment; shipping cost to firm.</t>
        </is>
      </c>
    </row>
    <row r="4">
      <c r="A4" s="54" t="inlineStr">
        <is>
          <t>Production math</t>
        </is>
      </c>
    </row>
    <row r="5">
      <c r="A5" t="inlineStr">
        <is>
          <t>1 frame/hour x 8 hrs/day x 5 days/week x 13 weeks/quarter = 520 units/printer/quarter (normal hours)</t>
        </is>
      </c>
    </row>
    <row r="6">
      <c r="A6" t="inlineStr">
        <is>
          <t>Operating capacity &lt;= fixed capacity. Turn printers on/off to set operating capacity and staffing.</t>
        </is>
      </c>
    </row>
    <row r="8">
      <c r="A8" t="inlineStr">
        <is>
          <t>Fixed capacity options</t>
        </is>
      </c>
    </row>
    <row r="9">
      <c r="A9" s="51" t="inlineStr">
        <is>
          <t>3D Printers</t>
        </is>
      </c>
      <c r="B9" s="51" t="inlineStr">
        <is>
          <t>Units/Day</t>
        </is>
      </c>
      <c r="C9" s="51" t="inlineStr">
        <is>
          <t>Units/Quarter</t>
        </is>
      </c>
      <c r="D9" s="51" t="inlineStr">
        <is>
          <t>Capital Investment</t>
        </is>
      </c>
      <c r="E9" s="51" t="inlineStr">
        <is>
          <t>Cash after printers*</t>
        </is>
      </c>
      <c r="F9" s="51" t="inlineStr">
        <is>
          <t>+ Amsterdam $136k</t>
        </is>
      </c>
      <c r="G9" s="51" t="inlineStr">
        <is>
          <t>Notes</t>
        </is>
      </c>
    </row>
    <row r="10">
      <c r="A10" s="56" t="n">
        <v>0</v>
      </c>
      <c r="B10" s="56" t="n">
        <v>0</v>
      </c>
      <c r="C10" s="56" t="n">
        <v>0</v>
      </c>
      <c r="D10" s="56" t="n">
        <v>0</v>
      </c>
      <c r="E10" s="56" t="n">
        <v>1500000</v>
      </c>
      <c r="F10" s="56" t="n">
        <v>1364000</v>
      </c>
      <c r="G10" s="57" t="n"/>
    </row>
    <row r="11">
      <c r="A11" s="56" t="n">
        <v>1</v>
      </c>
      <c r="B11" s="56" t="n">
        <v>8</v>
      </c>
      <c r="C11" s="56" t="n">
        <v>520</v>
      </c>
      <c r="D11" s="56" t="n">
        <v>240000</v>
      </c>
      <c r="E11" s="56" t="n">
        <v>1260000</v>
      </c>
      <c r="F11" s="56" t="n">
        <v>1124000</v>
      </c>
      <c r="G11" s="57" t="n"/>
    </row>
    <row r="12">
      <c r="A12" s="58" t="n">
        <v>2</v>
      </c>
      <c r="B12" s="58" t="n">
        <v>16</v>
      </c>
      <c r="C12" s="58" t="n">
        <v>1040</v>
      </c>
      <c r="D12" s="58" t="n">
        <v>480000</v>
      </c>
      <c r="E12" s="58" t="n">
        <v>1020000</v>
      </c>
      <c r="F12" s="58" t="n">
        <v>884000</v>
      </c>
      <c r="G12" s="59" t="inlineStr">
        <is>
          <t>Common early-test range</t>
        </is>
      </c>
      <c r="H12" t="inlineStr">
        <is>
          <t>This gives us a conservative approach without additional inventory</t>
        </is>
      </c>
    </row>
    <row r="13">
      <c r="A13" s="58" t="n">
        <v>3</v>
      </c>
      <c r="B13" s="58" t="n">
        <v>24</v>
      </c>
      <c r="C13" s="58" t="n">
        <v>1560</v>
      </c>
      <c r="D13" s="58" t="n">
        <v>720000</v>
      </c>
      <c r="E13" s="58" t="n">
        <v>780000</v>
      </c>
      <c r="F13" s="58" t="n">
        <v>644000</v>
      </c>
      <c r="G13" s="59" t="inlineStr">
        <is>
          <t>Common early-test range</t>
        </is>
      </c>
      <c r="H13" t="inlineStr">
        <is>
          <t>This covers our goals for having extra capacity</t>
        </is>
      </c>
    </row>
    <row r="14">
      <c r="A14" s="56" t="n">
        <v>4</v>
      </c>
      <c r="B14" s="56" t="n">
        <v>32</v>
      </c>
      <c r="C14" s="56" t="n">
        <v>2080</v>
      </c>
      <c r="D14" s="56" t="n">
        <v>960000</v>
      </c>
      <c r="E14" s="56" t="n">
        <v>540000</v>
      </c>
      <c r="F14" s="56" t="n">
        <v>404000</v>
      </c>
      <c r="G14" s="57" t="inlineStr">
        <is>
          <t>Tight vs $300k floor</t>
        </is>
      </c>
    </row>
    <row r="15">
      <c r="A15" s="60" t="n">
        <v>5</v>
      </c>
      <c r="B15" s="60" t="n">
        <v>40</v>
      </c>
      <c r="C15" s="60" t="n">
        <v>2600</v>
      </c>
      <c r="D15" s="60" t="n">
        <v>1200000</v>
      </c>
      <c r="E15" s="60" t="n">
        <v>300000</v>
      </c>
      <c r="F15" s="60" t="n">
        <v>164000</v>
      </c>
      <c r="G15" s="61" t="inlineStr">
        <is>
          <t>BREACHES $300k floor with AMS only</t>
        </is>
      </c>
    </row>
    <row r="16">
      <c r="A16" s="60" t="n">
        <v>7</v>
      </c>
      <c r="B16" s="60" t="n">
        <v>56</v>
      </c>
      <c r="C16" s="60" t="n">
        <v>3640</v>
      </c>
      <c r="D16" s="60" t="n">
        <v>1680000</v>
      </c>
      <c r="E16" s="60" t="n">
        <v>-180000</v>
      </c>
      <c r="F16" s="60" t="n">
        <v>-316000</v>
      </c>
      <c r="G16" s="61" t="inlineStr">
        <is>
          <t>BREACHES $300k floor with AMS only</t>
        </is>
      </c>
    </row>
    <row r="17">
      <c r="A17" s="60" t="n">
        <v>10</v>
      </c>
      <c r="B17" s="60" t="n">
        <v>80</v>
      </c>
      <c r="C17" s="60" t="n">
        <v>5200</v>
      </c>
      <c r="D17" s="60" t="n">
        <v>2400000</v>
      </c>
      <c r="E17" s="60" t="n">
        <v>-900000</v>
      </c>
      <c r="F17" s="60" t="n">
        <v>-1036000</v>
      </c>
      <c r="G17" s="61" t="inlineStr">
        <is>
          <t>BREACHES $300k floor with AMS only</t>
        </is>
      </c>
    </row>
    <row r="20">
      <c r="A20" s="50" t="inlineStr">
        <is>
          <t>*Assumes Q1 start cash $1,500,000; ignores other Q1 costs. Required floor: Cash+CD &gt;= $300,000.</t>
        </is>
      </c>
    </row>
    <row r="21">
      <c r="A21" s="62" t="inlineStr">
        <is>
          <t>MARGIN NOTE: We do NOT have sim COGS/contribution margins yet. Earlier 'high margin segment' language used Price Willing to Pay ceilings (Rec $1100 / Mtn $1365 / Speed $1580) as a price-ladder proxy only — NOT proven unit profit.</t>
        </is>
      </c>
    </row>
    <row r="22">
      <c r="A22" t="inlineStr">
        <is>
          <t>Process: daily orders with custom specs -&gt; fab -&gt; box/ship airfreight -&gt; store pickup or break-bulk. No inventory at plant; transit &lt;= 2 days.</t>
        </is>
      </c>
    </row>
    <row r="24" ht="18.5" customHeight="1" s="146">
      <c r="A24" s="104" t="inlineStr">
        <is>
          <t>Operating Capacity (Workspace — Q2)</t>
        </is>
      </c>
      <c r="B24" s="151" t="n"/>
      <c r="C24" s="151" t="n"/>
      <c r="D24" s="151" t="n"/>
      <c r="E24" s="151" t="n"/>
      <c r="F24" s="151" t="n"/>
      <c r="G24" s="151" t="n"/>
      <c r="H24" s="151" t="n"/>
      <c r="I24" s="151" t="n"/>
      <c r="J24" s="151" t="n"/>
      <c r="K24" s="151" t="n"/>
    </row>
    <row r="25">
      <c r="A25" s="151" t="inlineStr">
        <is>
          <t>Fixed capacity available THIS quarter</t>
        </is>
      </c>
      <c r="B25" s="151" t="n">
        <v>24</v>
      </c>
      <c r="C25" s="151" t="inlineStr">
        <is>
          <t>units/day</t>
        </is>
      </c>
      <c r="D25" s="151" t="n"/>
      <c r="E25" s="151" t="n"/>
      <c r="F25" s="151" t="n"/>
      <c r="G25" s="151" t="n"/>
      <c r="H25" s="151" t="n"/>
      <c r="I25" s="151" t="n"/>
      <c r="J25" s="151" t="n"/>
      <c r="K25" s="151" t="n"/>
    </row>
    <row r="26">
      <c r="A26" s="151" t="inlineStr">
        <is>
          <t>Quarterly fixed capacity (×65)</t>
        </is>
      </c>
      <c r="B26" s="151">
        <f>B25*65</f>
        <v/>
      </c>
      <c r="C26" s="151" t="inlineStr">
        <is>
          <t>1,560 at full fixed</t>
        </is>
      </c>
      <c r="D26" s="151" t="n"/>
      <c r="E26" s="151" t="n"/>
      <c r="F26" s="151" t="n"/>
      <c r="G26" s="151" t="n"/>
      <c r="H26" s="151" t="n"/>
      <c r="I26" s="151" t="n"/>
      <c r="J26" s="151" t="n"/>
      <c r="K26" s="151" t="n"/>
    </row>
    <row r="27">
      <c r="A27" s="151" t="n"/>
      <c r="B27" s="151" t="n"/>
      <c r="C27" s="151" t="n"/>
      <c r="D27" s="151" t="n"/>
      <c r="E27" s="151" t="n"/>
      <c r="F27" s="151" t="n"/>
      <c r="G27" s="151" t="n"/>
      <c r="H27" s="151" t="n"/>
      <c r="I27" s="151" t="n"/>
      <c r="J27" s="151" t="n"/>
      <c r="K27" s="151" t="n"/>
    </row>
    <row r="28">
      <c r="A28" s="87" t="inlineStr">
        <is>
          <t>Demand &amp; productivity inputs</t>
        </is>
      </c>
      <c r="B28" s="151" t="n"/>
      <c r="C28" s="151" t="n"/>
      <c r="D28" s="151" t="n"/>
      <c r="E28" s="151" t="n"/>
      <c r="F28" s="151" t="n"/>
      <c r="G28" s="151" t="n"/>
      <c r="H28" s="151" t="n"/>
      <c r="I28" s="151" t="n"/>
      <c r="J28" s="151" t="n"/>
      <c r="K28" s="151" t="n"/>
    </row>
    <row r="29">
      <c r="A29" s="151" t="inlineStr">
        <is>
          <t>Total forecasted demand (all brands)</t>
        </is>
      </c>
      <c r="B29" s="90">
        <f>IF(Demand_Forecast!B12="","",Demand_Forecast!B12)</f>
        <v/>
      </c>
      <c r="C29" s="151" t="inlineStr">
        <is>
          <t>from Demand_Forecast</t>
        </is>
      </c>
      <c r="D29" s="151" t="n"/>
      <c r="E29" s="151" t="n"/>
      <c r="F29" s="151" t="n"/>
      <c r="G29" s="151" t="n"/>
      <c r="H29" s="151" t="n"/>
      <c r="I29" s="151" t="n"/>
      <c r="J29" s="151" t="n"/>
      <c r="K29" s="151" t="n"/>
    </row>
    <row r="30">
      <c r="A30" s="87" t="inlineStr">
        <is>
          <t>Worker productivity (HR)</t>
        </is>
      </c>
      <c r="B30" s="156" t="n">
        <v>0.85</v>
      </c>
      <c r="C30" s="151" t="inlineStr">
        <is>
          <t>LOCKED Q2 — production productivity 85%</t>
        </is>
      </c>
      <c r="D30" s="151" t="n"/>
      <c r="E30" s="151" t="n"/>
      <c r="F30" s="151" t="n"/>
      <c r="G30" s="151" t="n"/>
      <c r="H30" s="151" t="n"/>
      <c r="I30" s="151" t="n"/>
      <c r="J30" s="151" t="n"/>
      <c r="K30" s="151" t="n"/>
    </row>
    <row r="31">
      <c r="A31" s="151" t="inlineStr">
        <is>
          <t>(alias) demand</t>
        </is>
      </c>
      <c r="B31" s="151">
        <f>B29</f>
        <v/>
      </c>
      <c r="C31" s="151" t="n"/>
      <c r="D31" s="151" t="n"/>
      <c r="E31" s="151" t="n"/>
      <c r="F31" s="151" t="n"/>
      <c r="G31" s="151" t="n"/>
      <c r="H31" s="151" t="n"/>
      <c r="I31" s="151" t="n"/>
      <c r="J31" s="151" t="n"/>
      <c r="K31" s="151" t="n"/>
    </row>
    <row r="32">
      <c r="A32" s="151" t="inlineStr">
        <is>
          <t>(alias) productivity</t>
        </is>
      </c>
      <c r="B32" s="106">
        <f>B30</f>
        <v/>
      </c>
      <c r="C32" s="151" t="n"/>
      <c r="D32" s="151" t="n"/>
      <c r="E32" s="151" t="n"/>
      <c r="F32" s="151" t="n"/>
      <c r="G32" s="151" t="n"/>
      <c r="H32" s="151" t="n"/>
      <c r="I32" s="151" t="n"/>
      <c r="J32" s="151" t="n"/>
      <c r="K32" s="151" t="n"/>
    </row>
    <row r="33">
      <c r="A33" s="151" t="inlineStr">
        <is>
          <t>Productivity loss pad</t>
        </is>
      </c>
      <c r="B33" s="151">
        <f>IF(B30="","",1+(1-B30))</f>
        <v/>
      </c>
      <c r="C33" s="151" t="inlineStr">
        <is>
          <t>e.g. 70% → ×1.30</t>
        </is>
      </c>
      <c r="D33" s="151" t="n"/>
      <c r="E33" s="151" t="n"/>
      <c r="F33" s="151" t="n"/>
      <c r="G33" s="151" t="n"/>
      <c r="H33" s="151" t="n"/>
      <c r="I33" s="151" t="n"/>
      <c r="J33" s="151" t="n"/>
      <c r="K33" s="151" t="n"/>
    </row>
    <row r="34">
      <c r="A34" s="87" t="inlineStr">
        <is>
          <t>Operating Capacity — Workspace table</t>
        </is>
      </c>
      <c r="B34" s="151" t="n"/>
      <c r="C34" s="151" t="n"/>
      <c r="D34" s="151" t="n"/>
      <c r="E34" s="151" t="n"/>
      <c r="F34" s="151" t="n"/>
      <c r="G34" s="151" t="n"/>
      <c r="H34" s="151" t="n"/>
      <c r="I34" s="151" t="n"/>
      <c r="J34" s="151" t="n"/>
      <c r="K34" s="151" t="n"/>
    </row>
    <row r="35">
      <c r="A35" s="68" t="inlineStr">
        <is>
          <t>Metric</t>
        </is>
      </c>
      <c r="B35" s="68" t="inlineStr">
        <is>
          <t>Units per Day</t>
        </is>
      </c>
      <c r="C35" s="68" t="inlineStr">
        <is>
          <t>Units per Quarter</t>
        </is>
      </c>
      <c r="D35" s="68" t="inlineStr">
        <is>
          <t>Notes</t>
        </is>
      </c>
      <c r="E35" s="151" t="n"/>
      <c r="F35" s="151" t="n"/>
      <c r="G35" s="151" t="n"/>
      <c r="H35" s="151" t="n"/>
      <c r="I35" s="151" t="n"/>
      <c r="J35" s="151" t="n"/>
      <c r="K35" s="151" t="n"/>
    </row>
    <row r="36">
      <c r="A36" s="75" t="inlineStr">
        <is>
          <t>Fixed capacity (previous quarter)</t>
        </is>
      </c>
      <c r="B36" s="86" t="n">
        <v>0</v>
      </c>
      <c r="C36" s="86" t="n">
        <v>0</v>
      </c>
      <c r="D36" s="75" t="inlineStr">
        <is>
          <t>Q1: printers not yet online</t>
        </is>
      </c>
      <c r="E36" s="151" t="n"/>
      <c r="F36" s="151" t="n"/>
      <c r="G36" s="151" t="n"/>
      <c r="H36" s="151" t="n"/>
      <c r="I36" s="151" t="n"/>
      <c r="J36" s="151" t="n"/>
      <c r="K36" s="151" t="n"/>
    </row>
    <row r="37">
      <c r="A37" s="75" t="inlineStr">
        <is>
          <t>Operating capacity (previous quarter)</t>
        </is>
      </c>
      <c r="B37" s="86" t="n">
        <v>0</v>
      </c>
      <c r="C37" s="86" t="n">
        <v>0</v>
      </c>
      <c r="D37" s="75" t="inlineStr">
        <is>
          <t>Q1: no production</t>
        </is>
      </c>
      <c r="E37" s="151" t="n"/>
      <c r="F37" s="151" t="n"/>
      <c r="G37" s="151" t="n"/>
      <c r="H37" s="151" t="n"/>
      <c r="I37" s="151" t="n"/>
      <c r="J37" s="151" t="n"/>
      <c r="K37" s="151" t="n"/>
    </row>
    <row r="38">
      <c r="A38" s="75" t="inlineStr">
        <is>
          <t>Fixed capacity</t>
        </is>
      </c>
      <c r="B38" s="86">
        <f>B25</f>
        <v/>
      </c>
      <c r="C38" s="96">
        <f>B25*65</f>
        <v/>
      </c>
      <c r="D38" s="75" t="inlineStr">
        <is>
          <t>24 / day · 1,560 / quarter</t>
        </is>
      </c>
    </row>
    <row r="39">
      <c r="A39" s="99" t="inlineStr">
        <is>
          <t>Operating capacity  ← CHANGEABLE</t>
        </is>
      </c>
      <c r="B39" s="163" t="n">
        <v>20</v>
      </c>
      <c r="C39" s="96">
        <f>IF(B39="","",B39*65)</f>
        <v/>
      </c>
      <c r="D39" s="75" t="inlineStr">
        <is>
          <t>LOCKED Q2 — 20/day · 1,300/qtr scheduled; effective ~17/day · ~1,105/qtr @ 85%</t>
        </is>
      </c>
    </row>
    <row r="40">
      <c r="A40" s="75" t="inlineStr">
        <is>
          <t>Effective OC after adjustment for worker productivity</t>
        </is>
      </c>
      <c r="B40" s="107">
        <f>IF(OR(B39="",B30=""),"",B39*B30)</f>
        <v/>
      </c>
      <c r="C40" s="96">
        <f>IF(B40="","",B40*65)</f>
        <v/>
      </c>
      <c r="D40" s="75" t="inlineStr">
        <is>
          <t>Scheduled OC × productivity % (e.g. 10×0.70=7)</t>
        </is>
      </c>
    </row>
    <row r="41">
      <c r="A41" s="75" t="inlineStr">
        <is>
          <t>Effective OC needed for demand projection</t>
        </is>
      </c>
      <c r="B41" s="107">
        <f>IF(OR(B29="",B30=""),"",(B29/65)*(1+(1-B30)))</f>
        <v/>
      </c>
      <c r="C41" s="96">
        <f>IF(OR(B29="",B30=""),"",B29*(1+(1-B30)))</f>
        <v/>
      </c>
      <c r="D41" s="75" t="inlineStr">
        <is>
          <t>Demand/65 × (1 + productivity loss)</t>
        </is>
      </c>
    </row>
    <row r="42">
      <c r="A42" s="75" t="inlineStr">
        <is>
          <t>Projected worker productivity [%]</t>
        </is>
      </c>
      <c r="B42" s="101">
        <f>B30</f>
        <v/>
      </c>
      <c r="C42" s="75" t="n"/>
      <c r="D42" s="75" t="inlineStr">
        <is>
          <t>Same as B30</t>
        </is>
      </c>
    </row>
    <row r="43">
      <c r="A43" s="75" t="inlineStr">
        <is>
          <t>New direct labor cost/unit of operating capacity</t>
        </is>
      </c>
      <c r="B43" s="108" t="n">
        <v>110</v>
      </c>
      <c r="D43" s="75" t="inlineStr">
        <is>
          <t>Approx from Workspace cost curve</t>
        </is>
      </c>
    </row>
    <row r="44">
      <c r="A44" s="75" t="inlineStr">
        <is>
          <t>New overhead cost/unit of operating capacity</t>
        </is>
      </c>
      <c r="B44" s="108" t="n">
        <v>48</v>
      </c>
      <c r="D44" s="75" t="inlineStr">
        <is>
          <t>Falls then flats ~$45–50</t>
        </is>
      </c>
    </row>
    <row r="45">
      <c r="A45" s="75" t="inlineStr">
        <is>
          <t>Expense to change operating capacity (add to overhead)</t>
        </is>
      </c>
      <c r="B45" s="73" t="n">
        <v>0</v>
      </c>
      <c r="D45" s="75" t="inlineStr">
        <is>
          <t>Paste from Workspace if non-zero</t>
        </is>
      </c>
    </row>
    <row r="46">
      <c r="A46" s="75" t="inlineStr">
        <is>
          <t>Labor + overhead $/unit at scheduled OC</t>
        </is>
      </c>
      <c r="B46" s="109">
        <f>IF(OR(B43="",B44=""),"",B43+B44)</f>
        <v/>
      </c>
    </row>
    <row r="47">
      <c r="A47" t="inlineStr">
        <is>
          <t>Scheduled vs needed</t>
        </is>
      </c>
      <c r="B47">
        <f>IF(OR(B39="",B41=""),"",IF(B39+0.001&gt;=B41,"OC ≥ needed","SHORT — raise OC or use OT"))</f>
        <v/>
      </c>
    </row>
    <row r="48">
      <c r="A48" t="inlineStr">
        <is>
          <t>Near fixed max (labor rising)?</t>
        </is>
      </c>
      <c r="B48">
        <f>IF(B39="","",IF(B39&gt;=23,"YES — labor U-curve rising; consider ~18–22","OK"))</f>
        <v/>
      </c>
    </row>
    <row r="50">
      <c r="A50" s="64" t="inlineStr">
        <is>
          <t>Helpers</t>
        </is>
      </c>
    </row>
    <row r="51">
      <c r="A51" t="inlineStr">
        <is>
          <t>Min daily OC (padded) alias</t>
        </is>
      </c>
      <c r="B51">
        <f>B41</f>
        <v/>
      </c>
    </row>
    <row r="52">
      <c r="A52" t="inlineStr">
        <is>
          <t>Scheduled daily OC alias</t>
        </is>
      </c>
      <c r="B52">
        <f>B39</f>
        <v/>
      </c>
    </row>
    <row r="53">
      <c r="A53" t="inlineStr">
        <is>
          <t>Max overtime hours/day authorized</t>
        </is>
      </c>
      <c r="B53" s="163" t="n">
        <v>0</v>
      </c>
      <c r="C53" t="inlineStr">
        <is>
          <t>LOCKED Q2 — no overtime</t>
        </is>
      </c>
    </row>
    <row r="55">
      <c r="A55" s="64" t="inlineStr">
        <is>
          <t>Operating Capacity Costs per Unit (approx Workspace chart)</t>
        </is>
      </c>
    </row>
    <row r="56">
      <c r="A56" s="68" t="inlineStr">
        <is>
          <t>OC units/day</t>
        </is>
      </c>
      <c r="B56" s="68" t="inlineStr">
        <is>
          <t>Labor $/unit</t>
        </is>
      </c>
      <c r="C56" s="68" t="inlineStr">
        <is>
          <t>Overhead $/unit</t>
        </is>
      </c>
      <c r="D56" s="68" t="inlineStr">
        <is>
          <t>Labor+OH</t>
        </is>
      </c>
    </row>
    <row r="57">
      <c r="A57" s="75" t="n">
        <v>1</v>
      </c>
      <c r="B57" s="70" t="n">
        <v>1200</v>
      </c>
      <c r="C57" s="70" t="n">
        <v>1400</v>
      </c>
      <c r="D57" s="70">
        <f>B57+C57</f>
        <v/>
      </c>
    </row>
    <row r="58">
      <c r="A58" s="75" t="n">
        <v>2</v>
      </c>
      <c r="B58" s="70" t="n">
        <v>380</v>
      </c>
      <c r="C58" s="70" t="n">
        <v>350</v>
      </c>
      <c r="D58" s="70">
        <f>B58+C58</f>
        <v/>
      </c>
    </row>
    <row r="59">
      <c r="A59" s="75" t="n">
        <v>4</v>
      </c>
      <c r="B59" s="70" t="n">
        <v>220</v>
      </c>
      <c r="C59" s="70" t="n">
        <v>180</v>
      </c>
      <c r="D59" s="70">
        <f>B59+C59</f>
        <v/>
      </c>
    </row>
    <row r="60">
      <c r="A60" s="75" t="n">
        <v>6</v>
      </c>
      <c r="B60" s="70" t="n">
        <v>190</v>
      </c>
      <c r="C60" s="70" t="n">
        <v>130</v>
      </c>
      <c r="D60" s="70">
        <f>B60+C60</f>
        <v/>
      </c>
    </row>
    <row r="61">
      <c r="A61" s="75" t="n">
        <v>8</v>
      </c>
      <c r="B61" s="70" t="n">
        <v>170</v>
      </c>
      <c r="C61" s="70" t="n">
        <v>95</v>
      </c>
      <c r="D61" s="70">
        <f>B61+C61</f>
        <v/>
      </c>
    </row>
    <row r="62">
      <c r="A62" s="75" t="n">
        <v>10</v>
      </c>
      <c r="B62" s="70" t="n">
        <v>155</v>
      </c>
      <c r="C62" s="70" t="n">
        <v>80</v>
      </c>
      <c r="D62" s="70">
        <f>B62+C62</f>
        <v/>
      </c>
    </row>
    <row r="63">
      <c r="A63" s="75" t="n">
        <v>12</v>
      </c>
      <c r="B63" s="70" t="n">
        <v>145</v>
      </c>
      <c r="C63" s="70" t="n">
        <v>70</v>
      </c>
      <c r="D63" s="70">
        <f>B63+C63</f>
        <v/>
      </c>
    </row>
    <row r="64">
      <c r="A64" s="75" t="n">
        <v>14</v>
      </c>
      <c r="B64" s="70" t="n">
        <v>135</v>
      </c>
      <c r="C64" s="70" t="n">
        <v>60</v>
      </c>
      <c r="D64" s="70">
        <f>B64+C64</f>
        <v/>
      </c>
    </row>
    <row r="65">
      <c r="A65" s="75" t="n">
        <v>16</v>
      </c>
      <c r="B65" s="70" t="n">
        <v>125</v>
      </c>
      <c r="C65" s="70" t="n">
        <v>55</v>
      </c>
      <c r="D65" s="70">
        <f>B65+C65</f>
        <v/>
      </c>
    </row>
    <row r="66">
      <c r="A66" s="75" t="n">
        <v>18</v>
      </c>
      <c r="B66" s="70" t="n">
        <v>115</v>
      </c>
      <c r="C66" s="70" t="n">
        <v>50</v>
      </c>
      <c r="D66" s="70">
        <f>B66+C66</f>
        <v/>
      </c>
    </row>
    <row r="67">
      <c r="A67" s="75" t="n">
        <v>20</v>
      </c>
      <c r="B67" s="70" t="n">
        <v>110</v>
      </c>
      <c r="C67" s="70" t="n">
        <v>48</v>
      </c>
      <c r="D67" s="70">
        <f>B67+C67</f>
        <v/>
      </c>
    </row>
    <row r="68">
      <c r="A68" s="75" t="n">
        <v>22</v>
      </c>
      <c r="B68" s="70" t="n">
        <v>120</v>
      </c>
      <c r="C68" s="70" t="n">
        <v>45</v>
      </c>
      <c r="D68" s="70">
        <f>B68+C68</f>
        <v/>
      </c>
    </row>
    <row r="69">
      <c r="A69" s="75" t="n">
        <v>24</v>
      </c>
      <c r="B69" s="70" t="n">
        <v>190</v>
      </c>
      <c r="C69" s="70" t="n">
        <v>45</v>
      </c>
      <c r="D69" s="70">
        <f>B69+C69</f>
        <v/>
      </c>
    </row>
    <row r="70">
      <c r="A70" s="75" t="n">
        <v>25</v>
      </c>
      <c r="B70" s="70" t="n">
        <v>300</v>
      </c>
      <c r="C70" s="70" t="n">
        <v>45</v>
      </c>
      <c r="D70" s="70">
        <f>B70+C70</f>
        <v/>
      </c>
    </row>
    <row r="71">
      <c r="A71" s="75" t="n">
        <v>26</v>
      </c>
      <c r="B71" s="70" t="n">
        <v>400</v>
      </c>
      <c r="C71" s="70" t="n">
        <v>45</v>
      </c>
      <c r="D71" s="70">
        <f>B71+C71</f>
        <v/>
      </c>
    </row>
    <row r="74">
      <c r="A74" t="inlineStr">
        <is>
          <t>Planning takeaway</t>
        </is>
      </c>
      <c r="B74" t="inlineStr">
        <is>
          <t>Sweet spot ~18–22 units/day (labor trough ~$110–120). At fixed max 24, labor rises (~$190). Overhead already low by ~16+. Trade revenue vs unit cost; OT can cover spikes without always running at 24.</t>
        </is>
      </c>
    </row>
    <row r="75">
      <c r="A75" t="inlineStr">
        <is>
          <t>Next-quarter fixed capacity add (printers) — prefer Production_Sim!B62</t>
        </is>
      </c>
      <c r="B75" s="72">
        <f>Production_Sim!B62</f>
        <v/>
      </c>
      <c r="C75" t="inlineStr">
        <is>
          <t>arrives NEXT quarter</t>
        </is>
      </c>
    </row>
    <row r="76">
      <c r="A76" t="inlineStr">
        <is>
          <t>Printers online</t>
        </is>
      </c>
      <c r="B76" t="n">
        <v>3</v>
      </c>
    </row>
    <row r="78">
      <c r="A78" t="inlineStr">
        <is>
          <t>Source</t>
        </is>
      </c>
      <c r="B78" t="inlineStr">
        <is>
          <t>Workspace Operating Capacity + cost curve chart (Q2)</t>
        </is>
      </c>
    </row>
    <row r="80">
      <c r="A80" t="inlineStr">
        <is>
          <t>Compat aliases (do not edit)</t>
        </is>
      </c>
    </row>
    <row r="81">
      <c r="A81" t="inlineStr">
        <is>
          <t>Min daily OC (legacy B34)</t>
        </is>
      </c>
      <c r="B81">
        <f>B41</f>
        <v/>
      </c>
    </row>
    <row r="82">
      <c r="A82" t="inlineStr">
        <is>
          <t>Scheduled OC (legacy B35)</t>
        </is>
      </c>
      <c r="B82">
        <f>B39</f>
        <v/>
      </c>
    </row>
    <row r="84">
      <c r="A84" s="64" t="inlineStr">
        <is>
          <t>Maximum Overtime per Day (Workspace)</t>
        </is>
      </c>
    </row>
    <row r="85">
      <c r="A85" s="68" t="inlineStr">
        <is>
          <t>Overtime</t>
        </is>
      </c>
      <c r="B85" s="68" t="inlineStr">
        <is>
          <t>Units per Quarter (add'l capacity)</t>
        </is>
      </c>
      <c r="C85" s="68" t="inlineStr">
        <is>
          <t>Productivity</t>
        </is>
      </c>
      <c r="D85" s="68" t="inlineStr">
        <is>
          <t>Average Labor Cost/Unit</t>
        </is>
      </c>
    </row>
    <row r="86">
      <c r="A86" s="75" t="inlineStr">
        <is>
          <t>No overtime</t>
        </is>
      </c>
      <c r="B86" s="70">
        <f>IF(OR($B$25="",$B$39=""),0,$B$25*(0/8)*65)</f>
        <v/>
      </c>
      <c r="C86" s="95" t="n">
        <v>0.7</v>
      </c>
      <c r="D86" s="108">
        <f>IF($B$39="","",IF($B$43="",0,$B$43))</f>
        <v/>
      </c>
    </row>
    <row r="87">
      <c r="A87" s="75" t="inlineStr">
        <is>
          <t>1 hour</t>
        </is>
      </c>
      <c r="B87" s="70">
        <f>IF(OR($B$25="",$B$39=""),0,$B$25*(1/8)*65)</f>
        <v/>
      </c>
      <c r="C87" s="95" t="n">
        <v>0.6929999999999999</v>
      </c>
      <c r="D87" s="108">
        <f>IF($B$39="","",IF($B$43="","", $B$43*(1+(1/8))))</f>
        <v/>
      </c>
    </row>
    <row r="88">
      <c r="A88" s="75" t="inlineStr">
        <is>
          <t>2 hours</t>
        </is>
      </c>
      <c r="B88" s="70">
        <f>IF(OR($B$25="",$B$39=""),0,$B$25*(2/8)*65)</f>
        <v/>
      </c>
      <c r="C88" s="95" t="n">
        <v>0.68</v>
      </c>
      <c r="D88" s="108">
        <f>IF($B$39="","",IF($B$43="","", $B$43*(1+(2/8))))</f>
        <v/>
      </c>
    </row>
    <row r="89">
      <c r="A89" s="75" t="inlineStr">
        <is>
          <t>3 hours</t>
        </is>
      </c>
      <c r="B89" s="70">
        <f>IF(OR($B$25="",$B$39=""),0,$B$25*(3/8)*65)</f>
        <v/>
      </c>
      <c r="C89" s="95" t="n">
        <v>0.664</v>
      </c>
      <c r="D89" s="108">
        <f>IF($B$39="","",IF($B$43="","", $B$43*(1+(3/8))))</f>
        <v/>
      </c>
    </row>
    <row r="90">
      <c r="A90" s="75" t="inlineStr">
        <is>
          <t>4 hours</t>
        </is>
      </c>
      <c r="B90" s="70">
        <f>IF(OR($B$25="",$B$39=""),0,$B$25*(4/8)*65)</f>
        <v/>
      </c>
      <c r="C90" s="95" t="n">
        <v>0.644</v>
      </c>
      <c r="D90" s="108">
        <f>IF($B$39="","",IF($B$43="","", $B$43*(1+(4/8))))</f>
        <v/>
      </c>
    </row>
    <row r="92">
      <c r="A92" s="64" t="inlineStr">
        <is>
          <t>Effect of Using Maximum Overtime</t>
        </is>
      </c>
    </row>
    <row r="93">
      <c r="A93" t="inlineStr">
        <is>
          <t>Maximum hours of overtime per day  ← CHANGEABLE</t>
        </is>
      </c>
      <c r="B93" s="72">
        <f>B53</f>
        <v/>
      </c>
      <c r="C93" t="inlineStr">
        <is>
          <t>Edit B53 (0–4); this mirrors it</t>
        </is>
      </c>
    </row>
    <row r="94">
      <c r="A94" t="inlineStr">
        <is>
          <t>Effective operating capacity addition (units/quarter)</t>
        </is>
      </c>
      <c r="B94" s="84">
        <f>IF(OR(B53="",B25=""),0,B25*(B53/8)*65)</f>
        <v/>
      </c>
    </row>
    <row r="95">
      <c r="A95" t="inlineStr">
        <is>
          <t>Loss of productivity</t>
        </is>
      </c>
      <c r="B95" s="110">
        <f>IF(B53="","",IF(B53=0,0,IF(B53=1,0.7-0.693,IF(B53=2,0.7-0.68,IF(B53=3,0.7-0.664,IF(B53=4,0.7-0.644,0))))))</f>
        <v/>
      </c>
    </row>
    <row r="96">
      <c r="A96" t="inlineStr">
        <is>
          <t>Increase in average labor cost/unit (approx)</t>
        </is>
      </c>
      <c r="B96" s="111">
        <f>IF(OR(B53="",B43=""),"",IF(B53=0,0,B43*(B53/8)))</f>
        <v/>
      </c>
      <c r="C96" t="inlineStr">
        <is>
          <t>Rough OT premium model — replace with Workspace figure when shown</t>
        </is>
      </c>
    </row>
    <row r="97">
      <c r="A97" t="inlineStr">
        <is>
          <t>Productivity with selected max OT</t>
        </is>
      </c>
      <c r="B97" s="110">
        <f>IF(B53="","",IF(B53=0,0.7,IF(B53=1,0.693,IF(B53=2,0.68,IF(B53=3,0.664,IF(B53=4,0.644,0.7))))))</f>
        <v/>
      </c>
    </row>
    <row r="99">
      <c r="A99" s="64" t="inlineStr">
        <is>
          <t>Projected Change in Worker Productivity (OT curve)</t>
        </is>
      </c>
    </row>
    <row r="100">
      <c r="A100" s="68" t="inlineStr">
        <is>
          <t>Overtime Hours</t>
        </is>
      </c>
      <c r="B100" s="68" t="inlineStr">
        <is>
          <t>Productivity %</t>
        </is>
      </c>
    </row>
    <row r="101">
      <c r="A101" s="75" t="n">
        <v>0</v>
      </c>
      <c r="B101" s="95" t="n">
        <v>0.7</v>
      </c>
    </row>
    <row r="102">
      <c r="A102" s="75" t="n">
        <v>1</v>
      </c>
      <c r="B102" s="95" t="n">
        <v>0.6929999999999999</v>
      </c>
    </row>
    <row r="103">
      <c r="A103" s="75" t="n">
        <v>2</v>
      </c>
      <c r="B103" s="95" t="n">
        <v>0.68</v>
      </c>
    </row>
    <row r="104">
      <c r="A104" s="75" t="n">
        <v>3</v>
      </c>
      <c r="B104" s="95" t="n">
        <v>0.664</v>
      </c>
    </row>
    <row r="105">
      <c r="A105" s="75" t="n">
        <v>4</v>
      </c>
      <c r="B105" s="95" t="n">
        <v>0.644</v>
      </c>
    </row>
    <row r="107">
      <c r="A107" t="inlineStr">
        <is>
          <t>Source</t>
        </is>
      </c>
      <c r="B107" t="inlineStr">
        <is>
          <t>Workspace Maximum Overtime + productivity chart (Q2)</t>
        </is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9"/>
  <sheetViews>
    <sheetView topLeftCell="A54" workbookViewId="0">
      <selection activeCell="G21" sqref="G21"/>
    </sheetView>
  </sheetViews>
  <sheetFormatPr baseColWidth="8" defaultRowHeight="14.5"/>
  <cols>
    <col width="48" customWidth="1" style="146" min="1" max="1"/>
    <col width="16" customWidth="1" style="146" min="2" max="3"/>
    <col width="18" customWidth="1" style="146" min="4" max="4"/>
    <col width="16" customWidth="1" style="146" min="5" max="5"/>
    <col width="14" customWidth="1" style="146" min="6" max="6"/>
    <col width="16" customWidth="1" style="146" min="7" max="7"/>
  </cols>
  <sheetData>
    <row r="1" ht="18.5" customHeight="1" s="146">
      <c r="A1" s="67" t="inlineStr">
        <is>
          <t>Production Simulation (Workspace — Q2)</t>
        </is>
      </c>
    </row>
    <row r="2">
      <c r="A2" t="inlineStr">
        <is>
          <t>Reflects linked decisions: Demand_Forecast, Manufacturing OC/OT, Pricing, Cost_of_Production. Yellow = overrides. Re-paste Workspace when live numbers differ. Detail: manufacturing-background.md</t>
        </is>
      </c>
    </row>
    <row r="3">
      <c r="A3" t="inlineStr">
        <is>
          <t>Percent of forecasted demand (scenario)</t>
        </is>
      </c>
      <c r="B3" s="112" t="n">
        <v>1</v>
      </c>
      <c r="C3" t="inlineStr">
        <is>
          <t>100% = use Demand_Forecast; try 50% / 150% scenarios</t>
        </is>
      </c>
    </row>
    <row r="5">
      <c r="A5" s="64" t="inlineStr">
        <is>
          <t>Brand — Produce / Demand / Price</t>
        </is>
      </c>
    </row>
    <row r="6">
      <c r="A6" s="68" t="inlineStr">
        <is>
          <t>Brand</t>
        </is>
      </c>
      <c r="B6" s="68" t="inlineStr">
        <is>
          <t>Produce (Y/N)</t>
        </is>
      </c>
      <c r="C6" s="68" t="inlineStr">
        <is>
          <t>Previous Demand</t>
        </is>
      </c>
      <c r="D6" s="68" t="inlineStr">
        <is>
          <t>Projected Demand</t>
        </is>
      </c>
      <c r="E6" s="68" t="inlineStr">
        <is>
          <t>Average Cost</t>
        </is>
      </c>
      <c r="F6" s="68" t="inlineStr">
        <is>
          <t>Selling Price</t>
        </is>
      </c>
      <c r="G6" s="68" t="inlineStr">
        <is>
          <t>Unit Contribution</t>
        </is>
      </c>
    </row>
    <row r="7">
      <c r="A7" s="75" t="inlineStr">
        <is>
          <t>Hike Bike</t>
        </is>
      </c>
      <c r="B7" s="72" t="inlineStr">
        <is>
          <t>Y</t>
        </is>
      </c>
      <c r="C7" s="75" t="n">
        <v>0</v>
      </c>
      <c r="D7" s="96">
        <f>IF(OR(UPPER(B7)="N",UPPER(B7)="NO"),0,IF(Demand_Forecast!D17="","",Demand_Forecast!D17*$B$3))</f>
        <v/>
      </c>
      <c r="E7" s="96">
        <f>IF(Cost_of_Production!B15="","",Cost_of_Production!B15)</f>
        <v/>
      </c>
      <c r="F7" s="73">
        <f>IF(Pricing!F5="","",Pricing!F5)</f>
        <v/>
      </c>
      <c r="G7" s="113">
        <f>IF(OR(F7="",E7=""),"",F7-E7)</f>
        <v/>
      </c>
    </row>
    <row r="9">
      <c r="A9" s="64" t="inlineStr">
        <is>
          <t>Capacity (linked to Manufacturing)</t>
        </is>
      </c>
    </row>
    <row r="10">
      <c r="A10" s="68" t="inlineStr">
        <is>
          <t>Metric</t>
        </is>
      </c>
      <c r="B10" s="68" t="inlineStr">
        <is>
          <t>Units/Day</t>
        </is>
      </c>
      <c r="C10" s="68" t="inlineStr">
        <is>
          <t>Units/Quarter</t>
        </is>
      </c>
    </row>
    <row r="11">
      <c r="A11" s="75" t="inlineStr">
        <is>
          <t>Fixed capacity</t>
        </is>
      </c>
      <c r="B11" s="107">
        <f>Manufacturing!B25</f>
        <v/>
      </c>
      <c r="C11" s="96">
        <f>Manufacturing!B25*65</f>
        <v/>
      </c>
    </row>
    <row r="12">
      <c r="A12" s="75" t="inlineStr">
        <is>
          <t>Operating capacity</t>
        </is>
      </c>
      <c r="B12" s="107">
        <f>Manufacturing!B39</f>
        <v/>
      </c>
      <c r="C12" s="96">
        <f>IF(Manufacturing!B39="","",Manufacturing!B39*65)</f>
        <v/>
      </c>
    </row>
    <row r="13">
      <c r="A13" s="75" t="inlineStr">
        <is>
          <t>Effective OC after productivity (no OT)</t>
        </is>
      </c>
      <c r="B13" s="107">
        <f>Manufacturing!B40</f>
        <v/>
      </c>
      <c r="C13" s="96">
        <f>Manufacturing!C40</f>
        <v/>
      </c>
    </row>
    <row r="14">
      <c r="A14" s="75" t="inlineStr">
        <is>
          <t>Effective OC needed for demand projection</t>
        </is>
      </c>
      <c r="B14" s="107">
        <f>Manufacturing!B41</f>
        <v/>
      </c>
      <c r="C14" s="96">
        <f>Manufacturing!C41</f>
        <v/>
      </c>
    </row>
    <row r="15">
      <c r="A15" t="inlineStr">
        <is>
          <t>Maximum hours of overtime per day</t>
        </is>
      </c>
      <c r="B15" s="85">
        <f>Manufacturing!B53</f>
        <v/>
      </c>
    </row>
    <row r="16">
      <c r="A16" t="inlineStr">
        <is>
          <t>Projected worker productivity [%] (base / with OT)</t>
        </is>
      </c>
      <c r="B16" s="10">
        <f>Manufacturing!B30</f>
        <v/>
      </c>
      <c r="C16" s="10">
        <f>Manufacturing!B97</f>
        <v/>
      </c>
    </row>
    <row r="18">
      <c r="A18" s="64" t="inlineStr">
        <is>
          <t>Number of Units</t>
        </is>
      </c>
    </row>
    <row r="19">
      <c r="A19" s="68" t="inlineStr">
        <is>
          <t>Brand</t>
        </is>
      </c>
      <c r="B19" s="68" t="inlineStr">
        <is>
          <t>Units Produced</t>
        </is>
      </c>
      <c r="C19" s="68" t="inlineStr">
        <is>
          <t>Net Demand</t>
        </is>
      </c>
      <c r="D19" s="68" t="inlineStr">
        <is>
          <t>Lost Sales Due to Stock-Outs</t>
        </is>
      </c>
    </row>
    <row r="20">
      <c r="A20" s="75" t="inlineStr">
        <is>
          <t>Hike Bike</t>
        </is>
      </c>
      <c r="B20" s="96">
        <f>IF(OR(D7="",Manufacturing!B39=""),0,MIN(D7,Manufacturing!B39*IF(Manufacturing!B53=0,Manufacturing!B30,Manufacturing!B97)*65+Manufacturing!B25*(IF(Manufacturing!B53="",0,Manufacturing!B53)/8)*65))</f>
        <v/>
      </c>
      <c r="C20" s="70">
        <f>D7</f>
        <v/>
      </c>
      <c r="D20" s="96">
        <f>IF(OR(C20="",B20=""),0,MAX(0,C20-B20))</f>
        <v/>
      </c>
    </row>
    <row r="21">
      <c r="A21" s="86" t="inlineStr">
        <is>
          <t>Total</t>
        </is>
      </c>
      <c r="B21" s="96">
        <f>B20</f>
        <v/>
      </c>
      <c r="C21" s="96">
        <f>C20</f>
        <v/>
      </c>
      <c r="D21" s="96">
        <f>D20</f>
        <v/>
      </c>
    </row>
    <row r="22">
      <c r="A22" t="inlineStr">
        <is>
          <t>Unmet demand %</t>
        </is>
      </c>
      <c r="B22" s="10">
        <f>IF(OR(C21="",C21=0),"",D21/C21)</f>
        <v/>
      </c>
    </row>
    <row r="23">
      <c r="A23" t="inlineStr">
        <is>
          <t>Next-Q ill-will penalty % (½ unmet)</t>
        </is>
      </c>
      <c r="B23" s="114">
        <f>IF(B22="","",B22/2)</f>
        <v/>
      </c>
    </row>
    <row r="25">
      <c r="A25" s="64" t="inlineStr">
        <is>
          <t>Production Costs per Unit</t>
        </is>
      </c>
    </row>
    <row r="26">
      <c r="A26" s="68" t="inlineStr">
        <is>
          <t>Brand</t>
        </is>
      </c>
      <c r="B26" s="68" t="inlineStr">
        <is>
          <t>Units Produced</t>
        </is>
      </c>
      <c r="C26" s="68" t="inlineStr">
        <is>
          <t>Direct Materials</t>
        </is>
      </c>
      <c r="D26" s="68" t="inlineStr">
        <is>
          <t>+ Direct Labor</t>
        </is>
      </c>
      <c r="E26" s="68" t="inlineStr">
        <is>
          <t>+ Total Overhead</t>
        </is>
      </c>
      <c r="F26" s="68">
        <f>"= Production Average"</f>
        <v/>
      </c>
    </row>
    <row r="27">
      <c r="A27" s="75" t="inlineStr">
        <is>
          <t>Hike Bike</t>
        </is>
      </c>
      <c r="B27" s="71">
        <f>B20</f>
        <v/>
      </c>
      <c r="C27" s="73" t="n">
        <v>337</v>
      </c>
      <c r="D27" s="108">
        <f>IF(Manufacturing!B43="","",Manufacturing!B43+IF(Manufacturing!B96="",0,Manufacturing!B96))</f>
        <v/>
      </c>
      <c r="E27" s="108">
        <f>IF(Manufacturing!B44="","",Manufacturing!B44+IF(Manufacturing!B45="",0,Manufacturing!B45))</f>
        <v/>
      </c>
      <c r="F27" s="109">
        <f>IF(COUNT(C27:E27)&lt;1,"",SUM(C27:E27))</f>
        <v/>
      </c>
      <c r="G27" t="inlineStr">
        <is>
          <t>Materials default ~$337 parts (brand-mountain); replace with Workspace</t>
        </is>
      </c>
    </row>
    <row r="28">
      <c r="A28" t="inlineStr">
        <is>
          <t>vs Cost_of_Production table</t>
        </is>
      </c>
      <c r="B28">
        <f>IF(Cost_of_Production!B15="","",Cost_of_Production!B15)</f>
        <v/>
      </c>
      <c r="C28" t="inlineStr">
        <is>
          <t>Reconcile F27 vs Workspace volume cost table</t>
        </is>
      </c>
    </row>
    <row r="30">
      <c r="A30" s="64" t="inlineStr">
        <is>
          <t>Operating Capacity Utilization</t>
        </is>
      </c>
    </row>
    <row r="31">
      <c r="A31" s="81" t="inlineStr">
        <is>
          <t>Overtime</t>
        </is>
      </c>
    </row>
    <row r="32">
      <c r="A32" t="inlineStr">
        <is>
          <t>Overtime hours used</t>
        </is>
      </c>
      <c r="B32" s="115">
        <f>IF(OR(C20="",Manufacturing!B39=""),0,IF(C20&lt;=Manufacturing!B39*Manufacturing!B30*65,0,MIN(IF(Manufacturing!B53="",0,Manufacturing!B53),(C20-Manufacturing!B39*Manufacturing!B30*65)/(Manufacturing!B25*65/8))))</f>
        <v/>
      </c>
      <c r="C32" t="inlineStr">
        <is>
          <t>Approx hours needed; capped by max authorized</t>
        </is>
      </c>
    </row>
    <row r="33">
      <c r="A33" t="inlineStr">
        <is>
          <t>Overtime capacity (units/quarter add'l)</t>
        </is>
      </c>
      <c r="B33" s="71">
        <f>Manufacturing!B94</f>
        <v/>
      </c>
    </row>
    <row r="34">
      <c r="A34" t="inlineStr">
        <is>
          <t>Production worker productivity without overtime</t>
        </is>
      </c>
      <c r="B34" s="10">
        <f>Manufacturing!B30</f>
        <v/>
      </c>
    </row>
    <row r="35">
      <c r="A35" t="inlineStr">
        <is>
          <t>Production worker productivity with overtime</t>
        </is>
      </c>
      <c r="B35">
        <f>IF(OR(Manufacturing!B53="",Manufacturing!B53=0),"N/A",Manufacturing!B97)</f>
        <v/>
      </c>
    </row>
    <row r="36">
      <c r="A36" t="inlineStr">
        <is>
          <t>Increase in average direct labor cost/unit due to overtime</t>
        </is>
      </c>
      <c r="B36" s="116">
        <f>Manufacturing!B96</f>
        <v/>
      </c>
    </row>
    <row r="38">
      <c r="A38" s="81" t="inlineStr">
        <is>
          <t>Operating Capacity</t>
        </is>
      </c>
    </row>
    <row r="39">
      <c r="A39" t="inlineStr">
        <is>
          <t>Planned operating capacity (units/quarter)</t>
        </is>
      </c>
      <c r="B39" s="71">
        <f>IF(Manufacturing!B39="","",Manufacturing!B39*65)</f>
        <v/>
      </c>
    </row>
    <row r="40">
      <c r="A40" t="inlineStr">
        <is>
          <t>Planned operating capacity including overtime</t>
        </is>
      </c>
      <c r="B40" s="71">
        <f>IF(B39="","",B39+IF(B33="",0,B33))</f>
        <v/>
      </c>
    </row>
    <row r="41">
      <c r="A41" t="inlineStr">
        <is>
          <t>Production worker productivity (effective)</t>
        </is>
      </c>
      <c r="B41" s="10">
        <f>IF(OR(Manufacturing!B53="",Manufacturing!B53=0),Manufacturing!B30,Manufacturing!B97)</f>
        <v/>
      </c>
    </row>
    <row r="42">
      <c r="A42" t="inlineStr">
        <is>
          <t>Effective operating capacity (units/quarter)</t>
        </is>
      </c>
      <c r="B42" s="84">
        <f>IF(Manufacturing!B39="","",Manufacturing!B39*IF(Manufacturing!B53=0,Manufacturing!B30,Manufacturing!B97)*65+Manufacturing!B25*(IF(Manufacturing!B53="",0,Manufacturing!B53)/8)*65*IF(Manufacturing!B53=0,1,Manufacturing!B97))</f>
        <v/>
      </c>
    </row>
    <row r="43">
      <c r="A43" t="inlineStr">
        <is>
          <t>Effective operating capacity utilized</t>
        </is>
      </c>
      <c r="B43" s="71">
        <f>B20</f>
        <v/>
      </c>
    </row>
    <row r="44">
      <c r="A44" t="inlineStr">
        <is>
          <t>Effective operating capacity utilization</t>
        </is>
      </c>
      <c r="B44" s="10">
        <f>IF(OR(B42="",B42=0),"",B43/B42)</f>
        <v/>
      </c>
    </row>
    <row r="46">
      <c r="A46" s="81" t="inlineStr">
        <is>
          <t>Excess Capacity</t>
        </is>
      </c>
    </row>
    <row r="47">
      <c r="A47" t="inlineStr">
        <is>
          <t>Unused operating capacity</t>
        </is>
      </c>
      <c r="B47" s="71">
        <f>IF(OR(B42="",B43=""),0,MAX(0,B42-B43))</f>
        <v/>
      </c>
    </row>
    <row r="48">
      <c r="A48" t="inlineStr">
        <is>
          <t>Excess operating capacity %</t>
        </is>
      </c>
      <c r="B48" s="10">
        <f>IF(OR(B42="",B42=0),"",B47/B42)</f>
        <v/>
      </c>
    </row>
    <row r="49">
      <c r="A49" t="inlineStr">
        <is>
          <t>Overhead+labor charged to excess OC (approx)</t>
        </is>
      </c>
      <c r="B49" s="71">
        <f>IF(OR(B47="",Manufacturing!B46=""),0,B47*Manufacturing!B46)</f>
        <v/>
      </c>
      <c r="C49" t="inlineStr">
        <is>
          <t>Rough: unused units × (labor+OH)/unit — refine in Workspace</t>
        </is>
      </c>
    </row>
    <row r="51">
      <c r="A51" s="64" t="inlineStr">
        <is>
          <t>Fixed Capacity Increase (order this Q → available next Q)</t>
        </is>
      </c>
    </row>
    <row r="52">
      <c r="A52" s="68" t="inlineStr">
        <is>
          <t>3D Printers</t>
        </is>
      </c>
      <c r="B52" s="68" t="inlineStr">
        <is>
          <t>Units/Day</t>
        </is>
      </c>
      <c r="C52" s="68" t="inlineStr">
        <is>
          <t>Units/Quarter</t>
        </is>
      </c>
      <c r="D52" s="68" t="inlineStr">
        <is>
          <t>Capital Investment</t>
        </is>
      </c>
      <c r="E52" s="68" t="inlineStr">
        <is>
          <t>Select?</t>
        </is>
      </c>
    </row>
    <row r="53">
      <c r="A53" s="75" t="n">
        <v>0</v>
      </c>
      <c r="B53" s="75" t="n">
        <v>0</v>
      </c>
      <c r="C53" s="70" t="n">
        <v>0</v>
      </c>
      <c r="D53" s="70" t="n">
        <v>0</v>
      </c>
      <c r="E53" s="72" t="n"/>
    </row>
    <row r="54">
      <c r="A54" s="75" t="n">
        <v>1</v>
      </c>
      <c r="B54" s="75" t="n">
        <v>8</v>
      </c>
      <c r="C54" s="70" t="n">
        <v>520</v>
      </c>
      <c r="D54" s="70" t="n">
        <v>240000</v>
      </c>
      <c r="E54" s="72" t="n"/>
    </row>
    <row r="55">
      <c r="A55" s="75" t="n">
        <v>2</v>
      </c>
      <c r="B55" s="75" t="n">
        <v>16</v>
      </c>
      <c r="C55" s="70" t="n">
        <v>1040</v>
      </c>
      <c r="D55" s="70" t="n">
        <v>480000</v>
      </c>
      <c r="E55" s="72" t="n"/>
    </row>
    <row r="56">
      <c r="A56" s="75" t="n">
        <v>3</v>
      </c>
      <c r="B56" s="75" t="n">
        <v>24</v>
      </c>
      <c r="C56" s="70" t="n">
        <v>1560</v>
      </c>
      <c r="D56" s="70" t="n">
        <v>720000</v>
      </c>
      <c r="E56" s="72" t="n"/>
    </row>
    <row r="57">
      <c r="A57" s="75" t="n">
        <v>4</v>
      </c>
      <c r="B57" s="75" t="n">
        <v>32</v>
      </c>
      <c r="C57" s="70" t="n">
        <v>2080</v>
      </c>
      <c r="D57" s="70" t="n">
        <v>960000</v>
      </c>
      <c r="E57" s="72" t="n"/>
    </row>
    <row r="58">
      <c r="A58" s="75" t="n">
        <v>5</v>
      </c>
      <c r="B58" s="75" t="n">
        <v>40</v>
      </c>
      <c r="C58" s="70" t="n">
        <v>2600</v>
      </c>
      <c r="D58" s="70" t="n">
        <v>1200000</v>
      </c>
      <c r="E58" s="72" t="n"/>
    </row>
    <row r="59">
      <c r="A59" s="75" t="n">
        <v>7</v>
      </c>
      <c r="B59" s="75" t="n">
        <v>56</v>
      </c>
      <c r="C59" s="70" t="n">
        <v>3640</v>
      </c>
      <c r="D59" s="70" t="n">
        <v>1680000</v>
      </c>
      <c r="E59" s="72" t="n"/>
    </row>
    <row r="60">
      <c r="A60" s="75" t="n">
        <v>10</v>
      </c>
      <c r="B60" s="75" t="n">
        <v>80</v>
      </c>
      <c r="C60" s="70" t="n">
        <v>5200</v>
      </c>
      <c r="D60" s="70" t="n">
        <v>2400000</v>
      </c>
      <c r="E60" s="72" t="n"/>
    </row>
    <row r="62">
      <c r="A62" t="inlineStr">
        <is>
          <t>Printers to add (count)</t>
        </is>
      </c>
      <c r="B62" s="72" t="n">
        <v>0</v>
      </c>
      <c r="C62" t="inlineStr">
        <is>
          <t>Or mark Select? column; B62 drives summary (0–10)</t>
        </is>
      </c>
    </row>
    <row r="63">
      <c r="A63" t="inlineStr">
        <is>
          <t>Capital for selected add</t>
        </is>
      </c>
      <c r="B63" s="84">
        <f>IF(B62=0,0,IF(B62=1,240000,IF(B62=2,480000,IF(B62=3,720000,IF(B62=4,960000,IF(B62=5,1200000,IF(B62=7,1680000,IF(B62=10,2400000,"check"))))))))</f>
        <v/>
      </c>
    </row>
    <row r="64">
      <c r="A64" t="inlineStr">
        <is>
          <t>Sync Manufacturing!B75</t>
        </is>
      </c>
      <c r="B64">
        <f>B62</f>
        <v/>
      </c>
      <c r="C64" t="inlineStr">
        <is>
          <t>Keep Manufacturing next-Q add in sync</t>
        </is>
      </c>
    </row>
    <row r="66">
      <c r="A66" s="64" t="inlineStr">
        <is>
          <t>Summary</t>
        </is>
      </c>
    </row>
    <row r="67">
      <c r="A67" s="68" t="inlineStr">
        <is>
          <t>Metric</t>
        </is>
      </c>
      <c r="B67" s="68" t="inlineStr">
        <is>
          <t>Units/Day</t>
        </is>
      </c>
      <c r="C67" s="68" t="inlineStr">
        <is>
          <t>Units/Quarter</t>
        </is>
      </c>
    </row>
    <row r="68">
      <c r="A68" s="75" t="inlineStr">
        <is>
          <t>Fixed capacity available in current quarter</t>
        </is>
      </c>
      <c r="B68" s="96" t="n">
        <v>24</v>
      </c>
      <c r="C68" s="96" t="n">
        <v>1560</v>
      </c>
    </row>
    <row r="69">
      <c r="A69" s="75" t="inlineStr">
        <is>
          <t>Planned increase in fixed capacity</t>
        </is>
      </c>
      <c r="B69" s="96">
        <f>IF(B62=0,0,IF(B62=1,8,IF(B62=2,16,IF(B62=3,24,IF(B62=4,32,IF(B62=5,40,IF(B62=7,56,IF(B62=10,80,0))))))))</f>
        <v/>
      </c>
      <c r="C69" s="96">
        <f>B69*65</f>
        <v/>
      </c>
    </row>
    <row r="70">
      <c r="A70" s="75" t="inlineStr">
        <is>
          <t>Fixed capacity available in next quarter</t>
        </is>
      </c>
      <c r="B70" s="96">
        <f>B68+B69</f>
        <v/>
      </c>
      <c r="C70" s="96">
        <f>C68+C69</f>
        <v/>
      </c>
    </row>
    <row r="72">
      <c r="A72" t="inlineStr">
        <is>
          <t>Next Q demand vs next Q fixed (check)</t>
        </is>
      </c>
      <c r="B72">
        <f>IF(Demand_Forecast!I34="","",Demand_Forecast!I34)</f>
        <v/>
      </c>
      <c r="C72">
        <f>IF(OR(B72="",C70=""),"",IF(C70&gt;=B72*(1+(1-Manufacturing!B30)),"Capacity OK for padded demand","May need more printers or OT"))</f>
        <v/>
      </c>
    </row>
    <row r="74">
      <c r="A74" s="64" t="inlineStr">
        <is>
          <t>Optimization reminders</t>
        </is>
      </c>
    </row>
    <row r="75">
      <c r="A75" t="inlineStr">
        <is>
          <t>1. Set Demand_Forecast + Sales_Ops headcount first</t>
        </is>
      </c>
    </row>
    <row r="76">
      <c r="A76" t="inlineStr">
        <is>
          <t>2. Set Manufacturing B39 OC near needed (labor sweet spot ~18–22 if demand allows)</t>
        </is>
      </c>
    </row>
    <row r="77">
      <c r="A77" t="inlineStr">
        <is>
          <t>3. Use B53 OT as safety net — productivity falls 70%→64.4% at 4h; labor cost rises</t>
        </is>
      </c>
    </row>
    <row r="78">
      <c r="A78" t="inlineStr">
        <is>
          <t>4. Avoid stock-outs (ill-will = ½ unmet % next Q) and excess capacity (idle labor+OH)</t>
        </is>
      </c>
    </row>
    <row r="79">
      <c r="A79" t="inlineStr">
        <is>
          <t>5. Order printers (B62) only if next-Q demand needs &gt; current 24/day after OT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4.5"/>
  <cols>
    <col width="22" customWidth="1" style="146" min="1" max="1"/>
    <col width="12" customWidth="1" style="146" min="2" max="4"/>
    <col width="14" customWidth="1" style="146" min="5" max="7"/>
  </cols>
  <sheetData>
    <row r="1" ht="18.5" customHeight="1" s="146">
      <c r="A1" s="67" t="inlineStr">
        <is>
          <t>Cost of Production Estimate</t>
        </is>
      </c>
    </row>
    <row r="2">
      <c r="A2" t="inlineStr">
        <is>
          <t>Report reflects company decisions in Quarter 2 (Workspace). Look under the column for total units you expect to sell across ALL brands.</t>
        </is>
      </c>
    </row>
    <row r="3">
      <c r="A3" t="inlineStr">
        <is>
          <t>Ask Sales for the demand forecast. Unit cost falls with volume until crowding near fixed capacity.</t>
        </is>
      </c>
    </row>
    <row r="5">
      <c r="A5" s="68" t="inlineStr">
        <is>
          <t>Brand</t>
        </is>
      </c>
      <c r="B5" s="68" t="inlineStr">
        <is>
          <t>100 units</t>
        </is>
      </c>
      <c r="C5" s="68" t="inlineStr">
        <is>
          <t>250 units</t>
        </is>
      </c>
      <c r="D5" s="68" t="inlineStr">
        <is>
          <t>500 units</t>
        </is>
      </c>
      <c r="E5" s="68" t="inlineStr">
        <is>
          <t>1,000 units</t>
        </is>
      </c>
      <c r="F5" s="68" t="inlineStr">
        <is>
          <t>5,000 units</t>
        </is>
      </c>
      <c r="G5" s="68" t="inlineStr">
        <is>
          <t>10,000 units</t>
        </is>
      </c>
    </row>
    <row r="6">
      <c r="A6" s="69" t="inlineStr">
        <is>
          <t>Hike Bike</t>
        </is>
      </c>
      <c r="B6" s="70" t="n">
        <v>924</v>
      </c>
      <c r="C6" s="70" t="n">
        <v>675</v>
      </c>
      <c r="D6" s="70" t="n">
        <v>550</v>
      </c>
      <c r="E6" s="70" t="n">
        <v>495</v>
      </c>
      <c r="F6" s="70" t="n">
        <v>405</v>
      </c>
      <c r="G6" s="70" t="n">
        <v>363</v>
      </c>
    </row>
    <row r="8">
      <c r="A8" t="inlineStr">
        <is>
          <t>Volume columns (units across all brands)</t>
        </is>
      </c>
      <c r="B8" t="n">
        <v>100</v>
      </c>
      <c r="C8" t="n">
        <v>250</v>
      </c>
      <c r="D8" t="n">
        <v>500</v>
      </c>
      <c r="E8" t="n">
        <v>1000</v>
      </c>
      <c r="F8" t="n">
        <v>5000</v>
      </c>
      <c r="G8" t="n">
        <v>10000</v>
      </c>
    </row>
    <row r="9">
      <c r="A9" t="inlineStr">
        <is>
          <t>Source</t>
        </is>
      </c>
      <c r="B9" t="inlineStr">
        <is>
          <t>Workspace — Cost of Production Estimate (Q2)</t>
        </is>
      </c>
    </row>
    <row r="10">
      <c r="A10" t="inlineStr">
        <is>
          <t>As-of</t>
        </is>
      </c>
      <c r="B10" s="65" t="inlineStr">
        <is>
          <t>Q2 current decisions</t>
        </is>
      </c>
    </row>
    <row r="12">
      <c r="A12" s="64" t="inlineStr">
        <is>
          <t>Lookup helper (yellow = expected total units)</t>
        </is>
      </c>
    </row>
    <row r="13">
      <c r="A13" t="inlineStr">
        <is>
          <t>Expected total units (all brands)</t>
        </is>
      </c>
      <c r="B13" s="65">
        <f>IF(Demand_Forecast!B12="","",Demand_Forecast!B12)</f>
        <v/>
      </c>
      <c r="C13" t="inlineStr">
        <is>
          <t>linked to Demand_Forecast total (override yellow if needed)</t>
        </is>
      </c>
    </row>
    <row r="14">
      <c r="A14" t="inlineStr">
        <is>
          <t>Nearest column volume</t>
        </is>
      </c>
      <c r="B14">
        <f>IF(B13="","",IF(B13&lt;=175,100,IF(B13&lt;=375,250,IF(B13&lt;=750,500,IF(B13&lt;=3000,1000,IF(B13&lt;=7500,5000,10000))))))</f>
        <v/>
      </c>
    </row>
    <row r="15">
      <c r="A15" t="inlineStr">
        <is>
          <t>Est. unit production cost (Hike Bike)</t>
        </is>
      </c>
      <c r="B15" s="71">
        <f>IF(B13="","",IF(B14=100,B6,IF(B14=250,C6,IF(B14=500,D6,IF(B14=1000,E6,IF(B14=5000,F6,G6))))))</f>
        <v/>
      </c>
    </row>
    <row r="16">
      <c r="A16" t="inlineStr">
        <is>
          <t>Note</t>
        </is>
      </c>
      <c r="B16" t="inlineStr">
        <is>
          <t>Interpolation not applied — uses nearest published column. Re-paste table if Workspace updates.</t>
        </is>
      </c>
    </row>
    <row r="18">
      <c r="A18" s="64" t="inlineStr">
        <is>
          <t>Room for additional brands (paste when priced)</t>
        </is>
      </c>
    </row>
    <row r="19">
      <c r="A19" s="68" t="inlineStr">
        <is>
          <t>Brand</t>
        </is>
      </c>
      <c r="B19" s="68" t="inlineStr">
        <is>
          <t>100</t>
        </is>
      </c>
      <c r="C19" s="68" t="inlineStr">
        <is>
          <t>250</t>
        </is>
      </c>
      <c r="D19" s="68" t="inlineStr">
        <is>
          <t>500</t>
        </is>
      </c>
      <c r="E19" s="68" t="inlineStr">
        <is>
          <t>1000</t>
        </is>
      </c>
      <c r="F19" s="68" t="inlineStr">
        <is>
          <t>5000</t>
        </is>
      </c>
      <c r="G19" s="68" t="inlineStr">
        <is>
          <t>10000</t>
        </is>
      </c>
    </row>
    <row r="20">
      <c r="A20" s="72" t="n"/>
      <c r="B20" s="72" t="n"/>
      <c r="C20" s="72" t="n"/>
      <c r="D20" s="72" t="n"/>
      <c r="E20" s="72" t="n"/>
      <c r="F20" s="72" t="n"/>
      <c r="G20" s="72" t="n"/>
    </row>
    <row r="21">
      <c r="A21" s="72" t="n"/>
      <c r="B21" s="72" t="n"/>
      <c r="C21" s="72" t="n"/>
      <c r="D21" s="72" t="n"/>
      <c r="E21" s="72" t="n"/>
      <c r="F21" s="72" t="n"/>
      <c r="G21" s="72" t="n"/>
    </row>
    <row r="22">
      <c r="A22" s="72" t="n"/>
      <c r="B22" s="72" t="n"/>
      <c r="C22" s="72" t="n"/>
      <c r="D22" s="72" t="n"/>
      <c r="E22" s="72" t="n"/>
      <c r="F22" s="72" t="n"/>
      <c r="G22" s="72" t="n"/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4.5"/>
  <cols>
    <col width="42" customWidth="1" style="146" min="1" max="1"/>
    <col width="14" customWidth="1" style="146" min="2" max="9"/>
  </cols>
  <sheetData>
    <row r="1" ht="18.5" customHeight="1" s="146">
      <c r="A1" s="67" t="inlineStr">
        <is>
          <t>Demand Projection — Current &amp; Next Quarter</t>
        </is>
      </c>
    </row>
    <row r="2">
      <c r="A2" t="inlineStr">
        <is>
          <t>Formula: Demand = units per salesperson × # sales people. Feeds Manufacturing OC / Pricing / Cost_of_Production. Detail: demand-projection-background.md · Yellow = changeable.</t>
        </is>
      </c>
    </row>
    <row r="3">
      <c r="A3" t="inlineStr">
        <is>
          <t>Q2 tip: conservative — ~30–70 units/SP; safe ~40. Q3 tip: ~40–80 units/SP; start ~60. Stock-out ill-will: next Q demand cut by half of unmet %.</t>
        </is>
      </c>
    </row>
    <row r="5">
      <c r="A5" s="64" t="inlineStr">
        <is>
          <t>This Quarter (Projected) vs Last Quarter (Actual)</t>
        </is>
      </c>
    </row>
    <row r="6">
      <c r="A6" s="68" t="inlineStr">
        <is>
          <t>Channel</t>
        </is>
      </c>
      <c r="B6" s="68" t="inlineStr">
        <is>
          <t>Last Q — Sales People</t>
        </is>
      </c>
      <c r="C6" s="68" t="inlineStr">
        <is>
          <t>Last Q — Demand/SP</t>
        </is>
      </c>
      <c r="D6" s="68" t="inlineStr">
        <is>
          <t>Last Q — Total Demand</t>
        </is>
      </c>
      <c r="E6" s="68" t="inlineStr">
        <is>
          <t>This Q — Sales People</t>
        </is>
      </c>
      <c r="F6" s="68" t="inlineStr">
        <is>
          <t>This Q — Demand/SP</t>
        </is>
      </c>
      <c r="G6" s="68" t="inlineStr">
        <is>
          <t>This Q — Total Demand</t>
        </is>
      </c>
    </row>
    <row r="7">
      <c r="A7" s="75" t="inlineStr">
        <is>
          <t>Stores</t>
        </is>
      </c>
      <c r="B7" s="75" t="n">
        <v>0</v>
      </c>
      <c r="C7" s="75" t="n">
        <v>0</v>
      </c>
      <c r="D7" s="75" t="n">
        <v>0</v>
      </c>
      <c r="E7" s="72">
        <f>IF(Sales_Ops!C19="","",Sales_Ops!C19)</f>
        <v/>
      </c>
      <c r="F7" s="164" t="n">
        <v>40</v>
      </c>
      <c r="G7" s="96">
        <f>IF(OR(E7="",F7=""),"",E7*F7)</f>
        <v/>
      </c>
    </row>
    <row r="8">
      <c r="A8" s="75" t="inlineStr">
        <is>
          <t>Web Sales Center</t>
        </is>
      </c>
      <c r="B8" s="75" t="n">
        <v>0</v>
      </c>
      <c r="C8" s="75" t="n">
        <v>0</v>
      </c>
      <c r="D8" s="75" t="n">
        <v>0</v>
      </c>
      <c r="E8" s="72">
        <f>IF(Sales_Ops!E55="","",Sales_Ops!E55)</f>
        <v/>
      </c>
      <c r="F8" s="164" t="n">
        <v>40</v>
      </c>
      <c r="G8" s="96">
        <f>IF(OR(E8="",F8=""),"",E8*F8)</f>
        <v/>
      </c>
    </row>
    <row r="9">
      <c r="A9" s="99" t="inlineStr">
        <is>
          <t>Total</t>
        </is>
      </c>
      <c r="B9" s="86">
        <f>B7+B8</f>
        <v/>
      </c>
      <c r="C9" s="86" t="n"/>
      <c r="D9" s="86">
        <f>D7+D8</f>
        <v/>
      </c>
      <c r="E9" s="86">
        <f>IF(COUNT(E7:E8)=0,"",SUM(E7:E8))</f>
        <v/>
      </c>
      <c r="F9" s="86" t="n"/>
      <c r="G9" s="100">
        <f>IF(COUNT(G7:G8)=0,"",SUM(G7:G8))</f>
        <v/>
      </c>
    </row>
    <row r="10">
      <c r="A10" t="inlineStr">
        <is>
          <t>Scenario multiplier (lean stress-test)</t>
        </is>
      </c>
      <c r="B10" s="98" t="n">
        <v>1</v>
      </c>
      <c r="C10" t="inlineStr">
        <is>
          <t>1.0 = base; 0.5 = half; 1.5 = +50%</t>
        </is>
      </c>
    </row>
    <row r="11">
      <c r="A11" t="inlineStr">
        <is>
          <t>Total forecasted demand (adjusted) — Manufacturing link</t>
        </is>
      </c>
    </row>
    <row r="12">
      <c r="A12" t="inlineStr">
        <is>
          <t>Total forecasted demand (adjusted)</t>
        </is>
      </c>
      <c r="B12" s="97">
        <f>IF(G9="","",G9*B10)</f>
        <v/>
      </c>
      <c r="C12" t="inlineStr">
        <is>
          <t>← Manufacturing!B31 and Cost_of_Production lookup use this cell</t>
        </is>
      </c>
    </row>
    <row r="13">
      <c r="A13" t="inlineStr">
        <is>
          <t>Changeable this Q: E7/E8 people (linked; override OK) · F7/F8 demand per SP · brand demands below · B10 multiplier</t>
        </is>
      </c>
    </row>
    <row r="15">
      <c r="A15" s="64" t="inlineStr">
        <is>
          <t>Brand Demand Projections</t>
        </is>
      </c>
    </row>
    <row r="16">
      <c r="A16" s="68" t="inlineStr">
        <is>
          <t>Brand</t>
        </is>
      </c>
      <c r="B16" s="68" t="inlineStr">
        <is>
          <t>Last Q Demand</t>
        </is>
      </c>
      <c r="C16" s="68" t="inlineStr">
        <is>
          <t>Last Q %</t>
        </is>
      </c>
      <c r="D16" s="68" t="inlineStr">
        <is>
          <t>This Q Demand</t>
        </is>
      </c>
      <c r="E16" s="68" t="inlineStr">
        <is>
          <t>This Q %</t>
        </is>
      </c>
      <c r="F16" s="68" t="inlineStr">
        <is>
          <t>Capacity Required (units)</t>
        </is>
      </c>
      <c r="G16" s="68" t="inlineStr">
        <is>
          <t>Segment</t>
        </is>
      </c>
      <c r="H16" s="68" t="inlineStr">
        <is>
          <t>Notes</t>
        </is>
      </c>
    </row>
    <row r="17">
      <c r="A17" s="75" t="inlineStr">
        <is>
          <t>Hike Bike</t>
        </is>
      </c>
      <c r="B17" s="75" t="inlineStr">
        <is>
          <t>n/a</t>
        </is>
      </c>
      <c r="C17" s="75" t="inlineStr">
        <is>
          <t>LOCKED hiring → ~400 total @ 40/SP (AMS 5 + web 5); 100% Hike Bike</t>
        </is>
      </c>
      <c r="D17" s="73">
        <f>IF($B$12="","",$B$12)</f>
        <v/>
      </c>
      <c r="E17" s="95">
        <f>IF(OR($B$12="",D17="",$B$12=0),"",D17/$B$12)</f>
        <v/>
      </c>
      <c r="F17" s="70">
        <f>D17</f>
        <v/>
      </c>
      <c r="G17" s="75" t="inlineStr">
        <is>
          <t>Mountain</t>
        </is>
      </c>
      <c r="H17" s="75" t="inlineStr">
        <is>
          <t>Primary; replace D17 formula with fixed units if splitting brands</t>
        </is>
      </c>
    </row>
    <row r="18">
      <c r="A18" s="72" t="n"/>
      <c r="B18" s="75" t="n"/>
      <c r="C18" s="75" t="n"/>
      <c r="D18" s="73" t="n"/>
      <c r="E18" s="95">
        <f>IF(OR($B$12="",D18="",$B$12=0),"",D18/$B$12)</f>
        <v/>
      </c>
      <c r="F18" s="70">
        <f>D18</f>
        <v/>
      </c>
      <c r="G18" s="72" t="n"/>
      <c r="H18" s="75" t="inlineStr">
        <is>
          <t>Optional brand 2</t>
        </is>
      </c>
    </row>
    <row r="19">
      <c r="A19" s="72" t="n"/>
      <c r="B19" s="75" t="n"/>
      <c r="C19" s="75" t="n"/>
      <c r="D19" s="73" t="n"/>
      <c r="E19" s="95">
        <f>IF(OR($B$12="",D19="",$B$12=0),"",D19/$B$12)</f>
        <v/>
      </c>
      <c r="F19" s="70">
        <f>D19</f>
        <v/>
      </c>
      <c r="G19" s="72" t="n"/>
      <c r="H19" s="75" t="inlineStr">
        <is>
          <t>Optional brand 3</t>
        </is>
      </c>
    </row>
    <row r="20">
      <c r="A20" s="86" t="inlineStr">
        <is>
          <t>Total</t>
        </is>
      </c>
      <c r="B20" s="86" t="n"/>
      <c r="C20" s="86" t="n"/>
      <c r="D20" s="96">
        <f>IF(COUNT(D17:D19)=0,"",SUM(D17:D19))</f>
        <v/>
      </c>
      <c r="E20" s="101">
        <f>IF(OR($B$12="",D20=""),"",D20/$B$12)</f>
        <v/>
      </c>
      <c r="F20" s="86">
        <f>D20</f>
        <v/>
      </c>
      <c r="G20" s="86" t="n"/>
      <c r="H20" s="86" t="inlineStr">
        <is>
          <t>Should equal 100% of B12</t>
        </is>
      </c>
    </row>
    <row r="21">
      <c r="A21" t="inlineStr">
        <is>
          <t>Brand sum matches total?</t>
        </is>
      </c>
      <c r="B21">
        <f>IF(OR(B12="",D20=""),"",IF(ABS(D20-B12)&lt;0.5,"YES","NO — adjust brand demands"))</f>
        <v/>
      </c>
    </row>
    <row r="23">
      <c r="A23" s="64" t="inlineStr">
        <is>
          <t>Operating capacity required to satisfy projected demand</t>
        </is>
      </c>
    </row>
    <row r="24">
      <c r="A24" s="68" t="n"/>
      <c r="B24" s="68" t="inlineStr">
        <is>
          <t>Units / Quarter</t>
        </is>
      </c>
      <c r="C24" s="68" t="inlineStr">
        <is>
          <t>Units / Day</t>
        </is>
      </c>
    </row>
    <row r="25">
      <c r="A25" t="inlineStr">
        <is>
          <t>Operating capacity required (raw demand)</t>
        </is>
      </c>
      <c r="B25" s="71">
        <f>IF(B12="","",B12)</f>
        <v/>
      </c>
      <c r="C25" s="102">
        <f>IF(B12="","",B12/65)</f>
        <v/>
      </c>
      <c r="D25" t="inlineStr">
        <is>
          <t>Workspace-style: demand ÷ 65 workdays</t>
        </is>
      </c>
    </row>
    <row r="26">
      <c r="A26" t="inlineStr">
        <is>
          <t>Min daily OC with productivity pad</t>
        </is>
      </c>
      <c r="B26">
        <f>IF(OR(B12="",Manufacturing!B32=""),"",B12)</f>
        <v/>
      </c>
      <c r="C26" s="102">
        <f>IF(OR(B12="",Manufacturing!B32=""),"",B12/65*(1+(1-Manufacturing!B32)))</f>
        <v/>
      </c>
      <c r="D26" t="inlineStr">
        <is>
          <t>Use this when scheduling OC (Manufacturing lecture)</t>
        </is>
      </c>
    </row>
    <row r="27">
      <c r="A27" t="inlineStr">
        <is>
          <t>Fixed capacity / day available</t>
        </is>
      </c>
      <c r="C27">
        <f>Manufacturing!B25</f>
        <v/>
      </c>
    </row>
    <row r="28">
      <c r="A28" t="inlineStr">
        <is>
          <t>Headroom (fixed − padded daily OC)</t>
        </is>
      </c>
      <c r="C28">
        <f>IF(OR(C26="",C27=""),"",C27-C26)</f>
        <v/>
      </c>
    </row>
    <row r="30">
      <c r="A30" s="64" t="inlineStr">
        <is>
          <t>Demand Projection — Next Quarter (for fixed capacity / printers)</t>
        </is>
      </c>
    </row>
    <row r="31">
      <c r="A31" s="68" t="inlineStr">
        <is>
          <t>Channel</t>
        </is>
      </c>
      <c r="B31" s="68" t="inlineStr">
        <is>
          <t>This Q — Outlets</t>
        </is>
      </c>
      <c r="C31" s="68" t="inlineStr">
        <is>
          <t>This Q — People</t>
        </is>
      </c>
      <c r="D31" s="68" t="inlineStr">
        <is>
          <t>This Q — Demand/SP</t>
        </is>
      </c>
      <c r="E31" s="68" t="inlineStr">
        <is>
          <t>This Q — Total</t>
        </is>
      </c>
      <c r="F31" s="68" t="inlineStr">
        <is>
          <t>Next Q — Outlets</t>
        </is>
      </c>
      <c r="G31" s="68" t="inlineStr">
        <is>
          <t>Next Q — People</t>
        </is>
      </c>
      <c r="H31" s="68" t="inlineStr">
        <is>
          <t>Next Q — Demand/SP</t>
        </is>
      </c>
      <c r="I31" s="68" t="inlineStr">
        <is>
          <t>Next Q — Total</t>
        </is>
      </c>
    </row>
    <row r="32">
      <c r="A32" s="75" t="inlineStr">
        <is>
          <t>Stores</t>
        </is>
      </c>
      <c r="B32" s="75" t="n">
        <v>1</v>
      </c>
      <c r="C32" s="75">
        <f>E7</f>
        <v/>
      </c>
      <c r="D32" s="75">
        <f>F7</f>
        <v/>
      </c>
      <c r="E32" s="75">
        <f>G7</f>
        <v/>
      </c>
      <c r="F32" s="72" t="n">
        <v>1</v>
      </c>
      <c r="G32" s="72" t="n"/>
      <c r="H32" s="98" t="n">
        <v>60</v>
      </c>
      <c r="I32" s="96">
        <f>IF(OR(G32="",H32=""),"",G32*H32)</f>
        <v/>
      </c>
    </row>
    <row r="33">
      <c r="A33" s="75" t="inlineStr">
        <is>
          <t>Web Sales Center</t>
        </is>
      </c>
      <c r="B33" s="75" t="n">
        <v>1</v>
      </c>
      <c r="C33" s="75">
        <f>E8</f>
        <v/>
      </c>
      <c r="D33" s="75">
        <f>F8</f>
        <v/>
      </c>
      <c r="E33" s="75">
        <f>G8</f>
        <v/>
      </c>
      <c r="F33" s="72" t="n">
        <v>1</v>
      </c>
      <c r="G33" s="72" t="n"/>
      <c r="H33" s="98" t="n">
        <v>60</v>
      </c>
      <c r="I33" s="96">
        <f>IF(OR(G33="",H33=""),"",G33*H33)</f>
        <v/>
      </c>
    </row>
    <row r="34">
      <c r="A34" s="103" t="inlineStr">
        <is>
          <t>Total</t>
        </is>
      </c>
      <c r="B34" s="86">
        <f>B32+B33</f>
        <v/>
      </c>
      <c r="C34" s="86">
        <f>IF(COUNT(C32:C33)=0,"",SUM(C32:C33))</f>
        <v/>
      </c>
      <c r="D34" s="86" t="n"/>
      <c r="E34" s="86">
        <f>IF(COUNT(E32:E33)=0,"",SUM(E32:E33))</f>
        <v/>
      </c>
      <c r="F34" s="86">
        <f>F32+F33</f>
        <v/>
      </c>
      <c r="G34" s="86">
        <f>IF(COUNT(G32:G33)=0,"",SUM(G32:G33))</f>
        <v/>
      </c>
      <c r="H34" s="86" t="n"/>
      <c r="I34" s="100">
        <f>IF(COUNT(I32:I33)=0,"",SUM(I32:I33))</f>
        <v/>
      </c>
    </row>
    <row r="36">
      <c r="A36" t="inlineStr">
        <is>
          <t>Next Q total demand (for printer planning)</t>
        </is>
      </c>
      <c r="B36" s="83">
        <f>I34</f>
        <v/>
      </c>
      <c r="C36" t="inlineStr">
        <is>
          <t>Link hint: also paste into Sales_Ops Q3 demand / Manufacturing capacity add</t>
        </is>
      </c>
    </row>
    <row r="37">
      <c r="A37" t="inlineStr">
        <is>
          <t>Next Q min daily OC (w/ productivity pad)</t>
        </is>
      </c>
      <c r="B37" s="102">
        <f>IF(OR(I34="",Manufacturing!B32=""),"",I34/65*(1+(1-Manufacturing!B32)))</f>
        <v/>
      </c>
      <c r="C37" t="inlineStr">
        <is>
          <t>If &gt; fixed 24/day, order printers this Q</t>
        </is>
      </c>
    </row>
    <row r="38">
      <c r="A38" t="inlineStr">
        <is>
          <t>Changeable next Q: F32/F33 outlets · G32/G33 people · H32/H33 demand per SP</t>
        </is>
      </c>
    </row>
    <row r="40">
      <c r="A40" t="inlineStr">
        <is>
          <t>Ill-will reminder</t>
        </is>
      </c>
      <c r="B40" t="inlineStr">
        <is>
          <t>Unmet demand % this Q → next Q demand reduced by half that %. Prefer slight OC buffer / overtime safety net over chronic stock-outs.</t>
        </is>
      </c>
    </row>
    <row r="41">
      <c r="A41" t="inlineStr">
        <is>
          <t>Source</t>
        </is>
      </c>
      <c r="B41" t="inlineStr">
        <is>
          <t>Workspace — Demand Projection (current + next quarter)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16" customWidth="1" style="146" min="5" max="6"/>
    <col width="10" customWidth="1" style="146" min="7" max="7"/>
    <col width="16" customWidth="1" style="146" min="8" max="8"/>
    <col width="12" customWidth="1" style="146" min="9" max="9"/>
    <col width="22" customWidth="1" style="146" min="10" max="10"/>
  </cols>
  <sheetData>
    <row r="1" ht="18.5" customHeight="1" s="146">
      <c r="A1" s="67" t="inlineStr">
        <is>
          <t>Brand Pricing — Q2</t>
        </is>
      </c>
    </row>
    <row r="2">
      <c r="A2" t="inlineStr">
        <is>
          <t>Decide list price for each brand on sale. Compare to WTP ceiling and estimated unit production cost at expected volume.</t>
        </is>
      </c>
    </row>
    <row r="4">
      <c r="A4" s="68" t="inlineStr">
        <is>
          <t>Brand</t>
        </is>
      </c>
      <c r="B4" s="68" t="inlineStr">
        <is>
          <t>Segment</t>
        </is>
      </c>
      <c r="C4" s="68" t="inlineStr">
        <is>
          <t>Priority</t>
        </is>
      </c>
      <c r="D4" s="68" t="inlineStr">
        <is>
          <t>WTP ceiling</t>
        </is>
      </c>
      <c r="E4" s="68" t="inlineStr">
        <is>
          <t>Est. unit prod. cost</t>
        </is>
      </c>
      <c r="F4" s="68" t="inlineStr">
        <is>
          <t>List price (decision)</t>
        </is>
      </c>
      <c r="G4" s="68" t="inlineStr">
        <is>
          <t>vs WTP</t>
        </is>
      </c>
      <c r="H4" s="68" t="inlineStr">
        <is>
          <t>Gross vs prod. cost</t>
        </is>
      </c>
      <c r="I4" s="68" t="inlineStr">
        <is>
          <t>Gross margin %</t>
        </is>
      </c>
      <c r="J4" s="68" t="inlineStr">
        <is>
          <t>Status</t>
        </is>
      </c>
    </row>
    <row r="5">
      <c r="A5" t="inlineStr">
        <is>
          <t>Hike Bike</t>
        </is>
      </c>
      <c r="B5" t="inlineStr">
        <is>
          <t>Mountain</t>
        </is>
      </c>
      <c r="C5" t="n">
        <v>1</v>
      </c>
      <c r="D5" s="71">
        <f>Price_WTP!B6</f>
        <v/>
      </c>
      <c r="E5" s="71">
        <f>Cost_of_Production!B15</f>
        <v/>
      </c>
      <c r="F5" s="73" t="n"/>
      <c r="G5" s="71">
        <f>IF(OR(F5="",D5=""),"",F5-D5)</f>
        <v/>
      </c>
      <c r="H5" s="71">
        <f>IF(OR(F5="",E5=""),"",F5-E5)</f>
        <v/>
      </c>
      <c r="I5" s="10">
        <f>IF(OR(F5="",E5="",F5=0),"",H5/F5)</f>
        <v/>
      </c>
      <c r="J5" t="inlineStr">
        <is>
          <t>OPEN — set list price</t>
        </is>
      </c>
    </row>
    <row r="7">
      <c r="A7" s="64" t="inlineStr">
        <is>
          <t>Pricing notes</t>
        </is>
      </c>
    </row>
    <row r="8">
      <c r="A8" t="inlineStr">
        <is>
          <t>Mountain WTP ceiling (ideal brand)</t>
        </is>
      </c>
      <c r="B8" s="71">
        <f>Price_WTP!B6</f>
        <v/>
      </c>
    </row>
    <row r="9">
      <c r="A9" t="inlineStr">
        <is>
          <t>Alumni ballpark (advisory only)</t>
        </is>
      </c>
      <c r="B9" t="inlineStr">
        <is>
          <t>~$1,260–$1,500</t>
        </is>
      </c>
    </row>
    <row r="10">
      <c r="A10" t="inlineStr">
        <is>
          <t>At 100 units, COGS ≈ $924 → price must clear this + other opex</t>
        </is>
      </c>
    </row>
    <row r="11">
      <c r="A11" t="inlineStr">
        <is>
          <t>At 250 units, COGS ≈ $675; at 500 ≈ $550 — volume drops unit cost sharply</t>
        </is>
      </c>
    </row>
    <row r="12">
      <c r="A12" t="inlineStr">
        <is>
          <t>Decision tip: price near WTP if Brand/Ad Judgment lead; slightly under if fighting for share</t>
        </is>
      </c>
    </row>
    <row r="13">
      <c r="A13" t="inlineStr">
        <is>
          <t>Team decision (yellow F5). Do not lock until majority vote.</t>
        </is>
      </c>
    </row>
    <row r="15">
      <c r="A15" s="64" t="inlineStr">
        <is>
          <t>Scenario scratch (optional)</t>
        </is>
      </c>
    </row>
    <row r="16">
      <c r="A16" t="inlineStr">
        <is>
          <t>Trial price</t>
        </is>
      </c>
      <c r="B16" s="74" t="n"/>
    </row>
    <row r="17">
      <c r="A17" t="inlineStr">
        <is>
          <t>Assumed volume</t>
        </is>
      </c>
      <c r="B17" s="65" t="n"/>
    </row>
    <row r="18">
      <c r="A18" t="inlineStr">
        <is>
          <t>Nearest cost column</t>
        </is>
      </c>
      <c r="B18">
        <f>IF(B17="","",IF(B17&lt;=175,100,IF(B17&lt;=375,250,IF(B17&lt;=750,500,IF(B17&lt;=3000,1000,IF(B17&lt;=7500,5000,10000))))))</f>
        <v/>
      </c>
    </row>
    <row r="19">
      <c r="A19" t="inlineStr">
        <is>
          <t>Unit cost at trial volume</t>
        </is>
      </c>
      <c r="B19" s="71">
        <f>IF(B17="","",IF(B18=100,Cost_of_Production!B6,IF(B18=250,Cost_of_Production!C6,IF(B18=500,Cost_of_Production!D6,IF(B18=1000,Cost_of_Production!E6,IF(B18=5000,Cost_of_Production!F6,Cost_of_Production!G6))))))</f>
        <v/>
      </c>
    </row>
    <row r="20">
      <c r="A20" t="inlineStr">
        <is>
          <t>Unit contribution (price − cost)</t>
        </is>
      </c>
      <c r="B20" s="71">
        <f>IF(OR(B16="",B19=""),"",B16-B19)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9"/>
  <sheetViews>
    <sheetView topLeftCell="A8" workbookViewId="0">
      <selection activeCell="G21" sqref="G21"/>
    </sheetView>
  </sheetViews>
  <sheetFormatPr baseColWidth="8" defaultRowHeight="14.5"/>
  <cols>
    <col width="28" customWidth="1" style="146" min="1" max="1"/>
    <col width="22" customWidth="1" style="146" min="2" max="2"/>
    <col width="14" customWidth="1" style="146" min="3" max="3"/>
    <col width="22" customWidth="1" style="146" min="4" max="4"/>
    <col width="14" customWidth="1" style="146" min="5" max="5"/>
    <col width="22" customWidth="1" style="146" min="6" max="6"/>
    <col width="12" customWidth="1" style="146" min="7" max="7"/>
  </cols>
  <sheetData>
    <row r="1" ht="18.5" customHeight="1" s="146">
      <c r="A1" s="67" t="inlineStr">
        <is>
          <t>Media Preference</t>
        </is>
      </c>
    </row>
    <row r="2">
      <c r="A2" t="inlineStr">
        <is>
          <t>One-time report prepared for your company (Workspace). Higher score = stronger preference for that medium in the segment.</t>
        </is>
      </c>
    </row>
    <row r="3">
      <c r="A3" t="inlineStr">
        <is>
          <t>Use to prioritize major media placement for Mountain (primary), then Speed / Rec. Yellow = placement decisions (not locked).</t>
        </is>
      </c>
    </row>
    <row r="5">
      <c r="A5" s="68" t="inlineStr">
        <is>
          <t>Medium</t>
        </is>
      </c>
      <c r="B5" s="68" t="inlineStr">
        <is>
          <t>Recreation</t>
        </is>
      </c>
      <c r="C5" s="68" t="inlineStr">
        <is>
          <t>Mountain</t>
        </is>
      </c>
      <c r="D5" s="68" t="inlineStr">
        <is>
          <t>Speed</t>
        </is>
      </c>
      <c r="E5" s="68" t="inlineStr">
        <is>
          <t>Max</t>
        </is>
      </c>
      <c r="F5" s="68" t="inlineStr">
        <is>
          <t>Mtn rank</t>
        </is>
      </c>
      <c r="G5" s="68" t="inlineStr">
        <is>
          <t>Notes</t>
        </is>
      </c>
    </row>
    <row r="6">
      <c r="A6" s="75" t="inlineStr">
        <is>
          <t>Leisure &amp; Entertainment</t>
        </is>
      </c>
      <c r="B6" s="76" t="n">
        <v>143</v>
      </c>
      <c r="C6" s="75" t="n">
        <v>60</v>
      </c>
      <c r="D6" s="75" t="n">
        <v>51</v>
      </c>
      <c r="E6" s="75">
        <f>IF(COUNT(B6:D6)=0,"",MAX(B6:D6))</f>
        <v/>
      </c>
      <c r="F6" s="75">
        <f>IF(C6="","",RANK(C6,$C$6:$C$12,0))</f>
        <v/>
      </c>
      <c r="G6" s="72" t="n"/>
    </row>
    <row r="7">
      <c r="A7" s="75" t="inlineStr">
        <is>
          <t>Health &amp; Fitness Magazines</t>
        </is>
      </c>
      <c r="B7" s="76" t="n">
        <v>127</v>
      </c>
      <c r="C7" s="75" t="n">
        <v>104</v>
      </c>
      <c r="D7" s="75" t="n">
        <v>100</v>
      </c>
      <c r="E7" s="75">
        <f>IF(COUNT(B7:D7)=0,"",MAX(B7:D7))</f>
        <v/>
      </c>
      <c r="F7" s="75">
        <f>IF(C7="","",RANK(C7,$C$6:$C$12,0))</f>
        <v/>
      </c>
      <c r="G7" s="72" t="n"/>
    </row>
    <row r="8">
      <c r="A8" s="75" t="inlineStr">
        <is>
          <t>Biking Magazines</t>
        </is>
      </c>
      <c r="B8" s="75" t="n">
        <v>51</v>
      </c>
      <c r="C8" s="76" t="n">
        <v>134</v>
      </c>
      <c r="D8" s="76" t="n">
        <v>133</v>
      </c>
      <c r="E8" s="75">
        <f>IF(COUNT(B8:D8)=0,"",MAX(B8:D8))</f>
        <v/>
      </c>
      <c r="F8" s="75">
        <f>IF(C8="","",RANK(C8,$C$6:$C$12,0))</f>
        <v/>
      </c>
      <c r="G8" s="72" t="n"/>
    </row>
    <row r="9">
      <c r="A9" s="75" t="inlineStr">
        <is>
          <t>Sport Magazines</t>
        </is>
      </c>
      <c r="B9" s="75" t="n">
        <v>84</v>
      </c>
      <c r="C9" s="76" t="n">
        <v>123</v>
      </c>
      <c r="D9" s="76" t="n">
        <v>117</v>
      </c>
      <c r="E9" s="75">
        <f>IF(COUNT(B9:D9)=0,"",MAX(B9:D9))</f>
        <v/>
      </c>
      <c r="F9" s="75">
        <f>IF(C9="","",RANK(C9,$C$6:$C$12,0))</f>
        <v/>
      </c>
      <c r="G9" s="72" t="n"/>
    </row>
    <row r="10">
      <c r="A10" s="75" t="inlineStr">
        <is>
          <t>Business Magazines</t>
        </is>
      </c>
      <c r="B10" s="75" t="n">
        <v>90</v>
      </c>
      <c r="C10" s="75" t="n">
        <v>93</v>
      </c>
      <c r="D10" s="76" t="n">
        <v>125</v>
      </c>
      <c r="E10" s="75">
        <f>IF(COUNT(B10:D10)=0,"",MAX(B10:D10))</f>
        <v/>
      </c>
      <c r="F10" s="75">
        <f>IF(C10="","",RANK(C10,$C$6:$C$12,0))</f>
        <v/>
      </c>
      <c r="G10" s="72" t="n"/>
    </row>
    <row r="11">
      <c r="A11" s="75" t="inlineStr">
        <is>
          <t>New Venture Magazines</t>
        </is>
      </c>
      <c r="B11" s="75" t="n">
        <v>81</v>
      </c>
      <c r="C11" s="75" t="n">
        <v>94</v>
      </c>
      <c r="D11" s="76" t="n">
        <v>114</v>
      </c>
      <c r="E11" s="75">
        <f>IF(COUNT(B11:D11)=0,"",MAX(B11:D11))</f>
        <v/>
      </c>
      <c r="F11" s="75">
        <f>IF(C11="","",RANK(C11,$C$6:$C$12,0))</f>
        <v/>
      </c>
      <c r="G11" s="72" t="n"/>
    </row>
    <row r="12">
      <c r="A12" s="75" t="inlineStr">
        <is>
          <t>General News Magazines</t>
        </is>
      </c>
      <c r="B12" s="76" t="n">
        <v>111</v>
      </c>
      <c r="C12" s="76" t="n">
        <v>122</v>
      </c>
      <c r="D12" s="76" t="n">
        <v>113</v>
      </c>
      <c r="E12" s="75">
        <f>IF(COUNT(B12:D12)=0,"",MAX(B12:D12))</f>
        <v/>
      </c>
      <c r="F12" s="75">
        <f>IF(C12="","",RANK(C12,$C$6:$C$12,0))</f>
        <v/>
      </c>
      <c r="G12" s="72" t="n"/>
    </row>
    <row r="14">
      <c r="A14" s="64" t="inlineStr">
        <is>
          <t>Mountain priority (by score)</t>
        </is>
      </c>
    </row>
    <row r="15">
      <c r="A15" t="inlineStr">
        <is>
          <t>1st</t>
        </is>
      </c>
      <c r="B15" t="inlineStr">
        <is>
          <t>Biking Magazines (134)</t>
        </is>
      </c>
    </row>
    <row r="16">
      <c r="A16" t="inlineStr">
        <is>
          <t>2nd</t>
        </is>
      </c>
      <c r="B16" t="inlineStr">
        <is>
          <t>Sport Magazines (123)</t>
        </is>
      </c>
    </row>
    <row r="17">
      <c r="A17" t="inlineStr">
        <is>
          <t>3rd</t>
        </is>
      </c>
      <c r="B17" t="inlineStr">
        <is>
          <t>General News Magazines (122)</t>
        </is>
      </c>
    </row>
    <row r="18">
      <c r="A18" t="inlineStr">
        <is>
          <t>Avoid / low for Mountain</t>
        </is>
      </c>
      <c r="B18" t="inlineStr">
        <is>
          <t>Leisure &amp; Entertainment (60) — Rec-skewed</t>
        </is>
      </c>
    </row>
    <row r="20">
      <c r="A20" s="64" t="inlineStr">
        <is>
          <t>Speed priority (by score)</t>
        </is>
      </c>
    </row>
    <row r="21">
      <c r="A21" t="inlineStr">
        <is>
          <t>1st</t>
        </is>
      </c>
      <c r="B21" t="inlineStr">
        <is>
          <t>Biking Magazines (133)</t>
        </is>
      </c>
    </row>
    <row r="22">
      <c r="A22" t="inlineStr">
        <is>
          <t>2nd</t>
        </is>
      </c>
      <c r="B22" t="inlineStr">
        <is>
          <t>Business Magazines (125)</t>
        </is>
      </c>
    </row>
    <row r="23">
      <c r="A23" t="inlineStr">
        <is>
          <t>3rd</t>
        </is>
      </c>
      <c r="B23" t="inlineStr">
        <is>
          <t>Sport Magazines (117)</t>
        </is>
      </c>
    </row>
    <row r="25">
      <c r="A25" s="64" t="inlineStr">
        <is>
          <t>Recreation priority (by score)</t>
        </is>
      </c>
    </row>
    <row r="26">
      <c r="A26" t="inlineStr">
        <is>
          <t>1st</t>
        </is>
      </c>
      <c r="B26" t="inlineStr">
        <is>
          <t>Leisure &amp; Entertainment (143)</t>
        </is>
      </c>
    </row>
    <row r="27">
      <c r="A27" t="inlineStr">
        <is>
          <t>2nd</t>
        </is>
      </c>
      <c r="B27" t="inlineStr">
        <is>
          <t>Health &amp; Fitness Magazines (127)</t>
        </is>
      </c>
    </row>
    <row r="28">
      <c r="A28" t="inlineStr">
        <is>
          <t>3rd</t>
        </is>
      </c>
      <c r="B28" t="inlineStr">
        <is>
          <t>General News Magazines (111)</t>
        </is>
      </c>
    </row>
    <row r="30">
      <c r="A30" s="64" t="inlineStr">
        <is>
          <t>Major media placement (OPEN — team decision)</t>
        </is>
      </c>
    </row>
    <row r="31">
      <c r="A31" s="68" t="inlineStr">
        <is>
          <t>Ad name / focus</t>
        </is>
      </c>
      <c r="B31" s="68" t="inlineStr">
        <is>
          <t>Primary medium</t>
        </is>
      </c>
      <c r="C31" s="68" t="inlineStr">
        <is>
          <t>Inserts / spend</t>
        </is>
      </c>
      <c r="D31" s="68" t="inlineStr">
        <is>
          <t>Secondary medium</t>
        </is>
      </c>
      <c r="E31" s="68" t="inlineStr">
        <is>
          <t>Inserts / spend</t>
        </is>
      </c>
      <c r="F31" s="68" t="inlineStr">
        <is>
          <t>Geo / notes</t>
        </is>
      </c>
      <c r="G31" s="68" t="inlineStr">
        <is>
          <t>Status</t>
        </is>
      </c>
    </row>
    <row r="32">
      <c r="A32" s="75" t="inlineStr">
        <is>
          <t>HikeBike1 — Mountain primary</t>
        </is>
      </c>
      <c r="B32" s="163" t="inlineStr">
        <is>
          <t>Web + World Market magazines</t>
        </is>
      </c>
      <c r="C32" s="163" t="n">
        <v>1000</v>
      </c>
      <c r="D32" s="72" t="inlineStr">
        <is>
          <t>Biking</t>
        </is>
      </c>
      <c r="E32" s="163" t="n">
        <v>12</v>
      </c>
      <c r="F32" s="75" t="inlineStr">
        <is>
          <t>LOCKED: web $1,000/qtr; inserts Health1 Biking12 Sport2 News1 = $89,000 (Leisure/Business/NV=0); ranks brand→trail→gears→tires→adventure→tough→mtns→price</t>
        </is>
      </c>
      <c r="G32" s="75" t="inlineStr">
        <is>
          <t>LOCKED 2026-08-27</t>
        </is>
      </c>
    </row>
    <row r="33">
      <c r="A33" s="75" t="inlineStr">
        <is>
          <t>Secondary segment ad (TBD)</t>
        </is>
      </c>
      <c r="B33" s="72" t="n"/>
      <c r="C33" s="72" t="n"/>
      <c r="D33" s="72" t="n"/>
      <c r="E33" s="72" t="n"/>
      <c r="F33" s="75" t="n"/>
      <c r="G33" s="75" t="inlineStr">
        <is>
          <t>OPEN</t>
        </is>
      </c>
    </row>
    <row r="34">
      <c r="A34" s="75" t="inlineStr">
        <is>
          <t>Company / corporate ad (optional)</t>
        </is>
      </c>
      <c r="B34" s="72" t="n"/>
      <c r="C34" s="72" t="n"/>
      <c r="D34" s="72" t="n"/>
      <c r="E34" s="72" t="n"/>
      <c r="F34" s="75" t="n"/>
      <c r="G34" s="75" t="inlineStr">
        <is>
          <t>OPEN</t>
        </is>
      </c>
    </row>
    <row r="36">
      <c r="A36" s="64" t="inlineStr">
        <is>
          <t>Budget / constraints</t>
        </is>
      </c>
    </row>
    <row r="37">
      <c r="A37" t="inlineStr">
        <is>
          <t>Total traditional media budget (this Q)</t>
        </is>
      </c>
      <c r="B37" s="159" t="n">
        <v>89000</v>
      </c>
      <c r="C37" t="inlineStr">
        <is>
          <t>World Market traditional inserts LOCKED</t>
        </is>
      </c>
    </row>
    <row r="38">
      <c r="A38" t="inlineStr">
        <is>
          <t>Web media / SEM budget (this Q)</t>
        </is>
      </c>
      <c r="B38" s="159" t="n">
        <v>1000</v>
      </c>
      <c r="C38" t="inlineStr">
        <is>
          <t>HikeBike1 web LOCKED</t>
        </is>
      </c>
    </row>
    <row r="39">
      <c r="A39" t="inlineStr">
        <is>
          <t>Source</t>
        </is>
      </c>
      <c r="B39" t="inlineStr">
        <is>
          <t>Workspace — Media Preference (one-time report)</t>
        </is>
      </c>
    </row>
    <row r="40">
      <c r="A40" t="inlineStr">
        <is>
          <t>HikeBike1 insert detail (LOCKED)</t>
        </is>
      </c>
      <c r="B40" t="inlineStr">
        <is>
          <t>Primary spend should follow Mountain prefs (Biking → Sport → General News). Leisure is Rec-primary — use only if Rec ad launched.</t>
        </is>
      </c>
    </row>
    <row r="41">
      <c r="A41" t="inlineStr">
        <is>
          <t>Medium</t>
        </is>
      </c>
      <c r="B41" t="inlineStr">
        <is>
          <t>Inserts</t>
        </is>
      </c>
      <c r="C41" t="inlineStr">
        <is>
          <t>Cost/insert</t>
        </is>
      </c>
      <c r="D41" t="inlineStr">
        <is>
          <t>Spend</t>
        </is>
      </c>
    </row>
    <row r="42">
      <c r="A42" t="inlineStr">
        <is>
          <t>Leisure &amp; Entertainment</t>
        </is>
      </c>
      <c r="B42" s="159" t="n">
        <v>0</v>
      </c>
      <c r="C42" t="n">
        <v>10000</v>
      </c>
      <c r="D42" t="n">
        <v>0</v>
      </c>
    </row>
    <row r="43">
      <c r="A43" t="inlineStr">
        <is>
          <t>Health &amp; Fitness Magazines</t>
        </is>
      </c>
      <c r="B43" s="159" t="n">
        <v>1</v>
      </c>
      <c r="C43" t="n">
        <v>7000</v>
      </c>
      <c r="D43" t="n">
        <v>7000</v>
      </c>
    </row>
    <row r="44">
      <c r="A44" t="inlineStr">
        <is>
          <t>Biking Magazines</t>
        </is>
      </c>
      <c r="B44" s="159" t="n">
        <v>12</v>
      </c>
      <c r="C44" t="n">
        <v>4500</v>
      </c>
      <c r="D44" t="n">
        <v>54000</v>
      </c>
    </row>
    <row r="45">
      <c r="A45" t="inlineStr">
        <is>
          <t>Sport Magazines</t>
        </is>
      </c>
      <c r="B45" s="159" t="n">
        <v>2</v>
      </c>
      <c r="C45" t="n">
        <v>10000</v>
      </c>
      <c r="D45" t="n">
        <v>20000</v>
      </c>
    </row>
    <row r="46">
      <c r="A46" t="inlineStr">
        <is>
          <t>Business Magazines</t>
        </is>
      </c>
      <c r="B46" s="159" t="n">
        <v>0</v>
      </c>
      <c r="C46" t="n">
        <v>9500</v>
      </c>
      <c r="D46" t="n">
        <v>0</v>
      </c>
    </row>
    <row r="47">
      <c r="A47" t="inlineStr">
        <is>
          <t>New Venture Magazines</t>
        </is>
      </c>
      <c r="B47" s="159" t="n">
        <v>0</v>
      </c>
      <c r="C47" t="n">
        <v>5500</v>
      </c>
      <c r="D47" t="n">
        <v>0</v>
      </c>
    </row>
    <row r="48">
      <c r="A48" t="inlineStr">
        <is>
          <t>General News Magazines</t>
        </is>
      </c>
      <c r="B48" s="159" t="n">
        <v>1</v>
      </c>
      <c r="C48" t="n">
        <v>8000</v>
      </c>
      <c r="D48" t="n">
        <v>8000</v>
      </c>
    </row>
    <row r="49">
      <c r="A49" t="inlineStr">
        <is>
          <t>TOTAL traditional</t>
        </is>
      </c>
      <c r="D49" s="159" t="n">
        <v>89000</v>
      </c>
      <c r="E49" t="inlineStr">
        <is>
          <t>$1,594 of ~$90,594 envelope unspent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4.5"/>
  <cols>
    <col width="28" customWidth="1" style="146" min="1" max="1"/>
    <col width="18" customWidth="1" style="146" min="2" max="2"/>
    <col width="28" customWidth="1" style="146" min="3" max="3"/>
    <col width="18" customWidth="1" style="146" min="4" max="4"/>
    <col width="20" customWidth="1" style="146" min="5" max="5"/>
    <col width="14" customWidth="1" style="146" min="6" max="6"/>
    <col width="12" customWidth="1" style="146" min="7" max="7"/>
    <col width="36" customWidth="1" style="146" min="8" max="8"/>
  </cols>
  <sheetData>
    <row r="1" ht="18.5" customHeight="1" s="146">
      <c r="A1" s="67" t="inlineStr">
        <is>
          <t>Internet Marketing / Organic SEM — Web Pages</t>
        </is>
      </c>
    </row>
    <row r="2">
      <c r="A2" t="inlineStr">
        <is>
          <t>Q2: build marketing site from ads; assign segment (keywords follow); check to run. Organic first — slow ramp. Yellow = decisions (not locked). Detail: seo-internet-marketing-background.md</t>
        </is>
      </c>
    </row>
    <row r="3">
      <c r="A3" t="inlineStr">
        <is>
          <t>SERP tip: only first 3 ad benefits show in search results — rank carefully. No deceptive claims (match Hike Bike specs).</t>
        </is>
      </c>
    </row>
    <row r="5">
      <c r="A5" s="64" t="inlineStr">
        <is>
          <t>Background summary</t>
        </is>
      </c>
    </row>
    <row r="6">
      <c r="A6" t="inlineStr">
        <is>
          <t>Focus</t>
        </is>
      </c>
      <c r="B6" t="inlineStr">
        <is>
          <t>Organic SEM this quarter; paid SEM later</t>
        </is>
      </c>
    </row>
    <row r="7">
      <c r="A7" t="inlineStr">
        <is>
          <t>Content source</t>
        </is>
      </c>
      <c r="B7" t="inlineStr">
        <is>
          <t>Convert media ads → web layout (same message)</t>
        </is>
      </c>
    </row>
    <row r="8">
      <c r="A8" t="inlineStr">
        <is>
          <t>Keywords</t>
        </is>
      </c>
      <c r="B8" t="inlineStr">
        <is>
          <t>Agency set per segment — chosen when you pick segment (≠ ad benefits)</t>
        </is>
      </c>
    </row>
    <row r="9">
      <c r="A9" t="inlineStr">
        <is>
          <t>Expectation</t>
        </is>
      </c>
      <c r="B9" t="inlineStr">
        <is>
          <t>Modest early traffic; support with traditional ads that list brand + URL</t>
        </is>
      </c>
    </row>
    <row r="10">
      <c r="A10" t="inlineStr">
        <is>
          <t>Localize</t>
        </is>
      </c>
      <c r="B10" t="inlineStr">
        <is>
          <t>Pages translated / country-tagged for markets with outlets</t>
        </is>
      </c>
    </row>
    <row r="11">
      <c r="A11" t="inlineStr">
        <is>
          <t>Fee</t>
        </is>
      </c>
      <c r="B11" s="65" t="n"/>
      <c r="C11" t="inlineStr">
        <is>
          <t>yellow = paste modest web-page design fee from Workspace</t>
        </is>
      </c>
    </row>
    <row r="13">
      <c r="A13" s="64" t="inlineStr">
        <is>
          <t>Web Page Content tracker (from ads)</t>
        </is>
      </c>
    </row>
    <row r="14">
      <c r="A14" s="68" t="inlineStr">
        <is>
          <t>Ad name</t>
        </is>
      </c>
      <c r="B14" s="68" t="inlineStr">
        <is>
          <t>Brand emphasized</t>
        </is>
      </c>
      <c r="C14" s="68" t="inlineStr">
        <is>
          <t>Segment + keywords</t>
        </is>
      </c>
      <c r="D14" s="68" t="inlineStr">
        <is>
          <t>Status (Inactive/Run)</t>
        </is>
      </c>
      <c r="E14" s="68" t="inlineStr">
        <is>
          <t>SERP top-3 benefits OK?</t>
        </is>
      </c>
      <c r="F14" s="68" t="inlineStr">
        <is>
          <t>Deceptive flag?</t>
        </is>
      </c>
      <c r="G14" s="68" t="inlineStr">
        <is>
          <t>Design fee</t>
        </is>
      </c>
      <c r="H14" s="68" t="inlineStr">
        <is>
          <t>Notes</t>
        </is>
      </c>
    </row>
    <row r="15">
      <c r="A15" s="72" t="inlineStr">
        <is>
          <t>TBD — Mountain primary ad</t>
        </is>
      </c>
      <c r="B15" s="72" t="inlineStr">
        <is>
          <t>Hike Bike</t>
        </is>
      </c>
      <c r="C15" s="72" t="inlineStr">
        <is>
          <t>Mountain (agency keywords)</t>
        </is>
      </c>
      <c r="D15" s="72" t="inlineStr">
        <is>
          <t>Inactive</t>
        </is>
      </c>
      <c r="E15" s="72" t="n"/>
      <c r="F15" s="72" t="n"/>
      <c r="G15" s="72" t="n"/>
      <c r="H15" s="75" t="inlineStr">
        <is>
          <t>Primary; steep-trail / adventure pool</t>
        </is>
      </c>
    </row>
    <row r="16">
      <c r="A16" s="72" t="inlineStr">
        <is>
          <t>TBD — Secondary segment ad</t>
        </is>
      </c>
      <c r="B16" s="72" t="n"/>
      <c r="C16" s="72" t="n"/>
      <c r="D16" s="72" t="inlineStr">
        <is>
          <t>Inactive</t>
        </is>
      </c>
      <c r="E16" s="72" t="n"/>
      <c r="F16" s="72" t="n"/>
      <c r="G16" s="72" t="n"/>
      <c r="H16" s="75" t="inlineStr">
        <is>
          <t>Speed or Rec if launched</t>
        </is>
      </c>
    </row>
    <row r="17">
      <c r="A17" s="72" t="inlineStr">
        <is>
          <t>TBD — Company ad (optional)</t>
        </is>
      </c>
      <c r="B17" s="72" t="inlineStr">
        <is>
          <t>WeBike (company)</t>
        </is>
      </c>
      <c r="C17" s="72" t="n"/>
      <c r="D17" s="72" t="inlineStr">
        <is>
          <t>Inactive</t>
        </is>
      </c>
      <c r="E17" s="72" t="n"/>
      <c r="F17" s="72" t="n"/>
      <c r="G17" s="72" t="n"/>
      <c r="H17" s="75" t="inlineStr">
        <is>
          <t>No brand emphasize</t>
        </is>
      </c>
    </row>
    <row r="19">
      <c r="A19" s="64" t="inlineStr">
        <is>
          <t>Segment keyword reminder</t>
        </is>
      </c>
    </row>
    <row r="20">
      <c r="A20" s="68" t="inlineStr">
        <is>
          <t>Segment</t>
        </is>
      </c>
      <c r="B20" s="68" t="inlineStr">
        <is>
          <t>Keywords (paste from Workspace when assigned)</t>
        </is>
      </c>
      <c r="C20" s="68" t="inlineStr">
        <is>
          <t>Primary use</t>
        </is>
      </c>
    </row>
    <row r="21">
      <c r="A21" s="75" t="inlineStr">
        <is>
          <t>Mountain</t>
        </is>
      </c>
      <c r="B21" s="72" t="n"/>
      <c r="C21" s="75" t="inlineStr">
        <is>
          <t>Hike Bike / primary Q2</t>
        </is>
      </c>
    </row>
    <row r="22">
      <c r="A22" s="75" t="inlineStr">
        <is>
          <t>Speed</t>
        </is>
      </c>
      <c r="B22" s="72" t="n"/>
      <c r="C22" s="75" t="inlineStr">
        <is>
          <t>If Speed ad/page launched</t>
        </is>
      </c>
    </row>
    <row r="23">
      <c r="A23" s="75" t="inlineStr">
        <is>
          <t>Recreation</t>
        </is>
      </c>
      <c r="B23" s="72" t="n"/>
      <c r="C23" s="75" t="inlineStr">
        <is>
          <t>If Rec ad/page launched</t>
        </is>
      </c>
    </row>
    <row r="25">
      <c r="A25" s="64" t="inlineStr">
        <is>
          <t>Organic support checklist</t>
        </is>
      </c>
    </row>
    <row r="26">
      <c r="A26" t="inlineStr">
        <is>
          <t>Traditional ads list brand + web URL</t>
        </is>
      </c>
      <c r="B26" s="65" t="n"/>
      <c r="C26" t="inlineStr">
        <is>
          <t>Yes/No — helps discovery</t>
        </is>
      </c>
    </row>
    <row r="27">
      <c r="A27" t="inlineStr">
        <is>
          <t>Deceptive review cleared</t>
        </is>
      </c>
      <c r="B27" s="65" t="n"/>
    </row>
    <row r="28">
      <c r="A28" t="inlineStr">
        <is>
          <t>Cash+CD still ≥ $300k after page fees</t>
        </is>
      </c>
      <c r="B28" s="65" t="n"/>
    </row>
    <row r="29">
      <c r="A29" t="inlineStr">
        <is>
          <t>Source</t>
        </is>
      </c>
      <c r="B29" t="inlineStr">
        <is>
          <t>Workspace — Internet marketing / Web Page Content / organic SEM</t>
        </is>
      </c>
    </row>
    <row r="31">
      <c r="A31" s="64" t="inlineStr">
        <is>
          <t>Do not expect</t>
        </is>
      </c>
    </row>
    <row r="32">
      <c r="A32" t="inlineStr">
        <is>
          <t>Large Q2 demand from organic alone. Pair with media placement + strong top-3 benefits.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4.5"/>
  <cols>
    <col width="48" customWidth="1" style="146" min="1" max="1"/>
    <col width="22" customWidth="1" style="146" min="2" max="2"/>
    <col width="18" customWidth="1" style="146" min="3" max="3"/>
    <col width="14" customWidth="1" style="146" min="4" max="4"/>
    <col width="18" customWidth="1" style="146" min="5" max="5"/>
    <col width="12" customWidth="1" style="146" min="6" max="7"/>
    <col width="16" customWidth="1" style="146" min="8" max="8"/>
    <col width="14" customWidth="1" style="146" min="9" max="9"/>
    <col width="36" customWidth="1" style="146" min="10" max="10"/>
  </cols>
  <sheetData>
    <row r="1" ht="18.5" customHeight="1" s="146">
      <c r="A1" s="67" t="inlineStr">
        <is>
          <t>Sales Channel Ops — Staffing Planner + Regional Summary</t>
        </is>
      </c>
    </row>
    <row r="2">
      <c r="A2" t="inlineStr">
        <is>
          <t>Plan per-location headcount and specialty training (Service / Recreation / Mountain / Speed). Yellow = inputs. Paste Workspace unit costs into rate table. Test tip: ≤7 people per city; ≥1 service. Detail: sales-channel-background.md</t>
        </is>
      </c>
    </row>
    <row r="3">
      <c r="A3" t="inlineStr">
        <is>
          <t>Training counts need not equal total headcount — unassigned sell to all segments equally. Prior Q = 0 (no sales staff in Q1 setup).</t>
        </is>
      </c>
    </row>
    <row r="5">
      <c r="A5" s="64" t="inlineStr">
        <is>
          <t>Unit cost rates (paste from Workspace — yellow)</t>
        </is>
      </c>
    </row>
    <row r="6">
      <c r="A6" s="68" t="inlineStr">
        <is>
          <t>Cost item</t>
        </is>
      </c>
      <c r="B6" s="68" t="inlineStr">
        <is>
          <t>Unit / basis</t>
        </is>
      </c>
      <c r="C6" s="68" t="inlineStr">
        <is>
          <t>$ this quarter</t>
        </is>
      </c>
      <c r="D6" s="68" t="inlineStr">
        <is>
          <t>Notes</t>
        </is>
      </c>
    </row>
    <row r="7">
      <c r="A7" s="75" t="inlineStr">
        <is>
          <t>Hiring expense</t>
        </is>
      </c>
      <c r="B7" s="75" t="inlineStr">
        <is>
          <t>per person hired</t>
        </is>
      </c>
      <c r="C7" s="73" t="n"/>
      <c r="D7" s="75" t="inlineStr">
        <is>
          <t>One-time when headcount rises</t>
        </is>
      </c>
    </row>
    <row r="8">
      <c r="A8" s="75" t="inlineStr">
        <is>
          <t>Layoff expense</t>
        </is>
      </c>
      <c r="B8" s="75" t="inlineStr">
        <is>
          <t>per person laid off</t>
        </is>
      </c>
      <c r="C8" s="73" t="n"/>
      <c r="D8" s="75" t="inlineStr">
        <is>
          <t>One-time when headcount falls</t>
        </is>
      </c>
    </row>
    <row r="9">
      <c r="A9" s="75" t="inlineStr">
        <is>
          <t>Salary + training — Service</t>
        </is>
      </c>
      <c r="B9" s="75" t="inlineStr">
        <is>
          <t>per person assigned</t>
        </is>
      </c>
      <c r="C9" s="157" t="n">
        <v>300</v>
      </c>
      <c r="D9" s="75" t="inlineStr">
        <is>
          <t>LOCKED Q2 — training only; salary via $24,425 annual package</t>
        </is>
      </c>
    </row>
    <row r="10">
      <c r="A10" s="75" t="inlineStr">
        <is>
          <t>Salary + training — Recreation</t>
        </is>
      </c>
      <c r="B10" s="75" t="inlineStr">
        <is>
          <t>per person assigned</t>
        </is>
      </c>
      <c r="C10" s="157" t="n">
        <v>250</v>
      </c>
      <c r="D10" s="75" t="n"/>
    </row>
    <row r="11">
      <c r="A11" s="75" t="inlineStr">
        <is>
          <t>Salary + training — Mountain</t>
        </is>
      </c>
      <c r="B11" s="75" t="inlineStr">
        <is>
          <t>per person assigned</t>
        </is>
      </c>
      <c r="C11" s="157" t="n">
        <v>400</v>
      </c>
      <c r="D11" s="75" t="inlineStr">
        <is>
          <t>LOCKED Q2 primary segment</t>
        </is>
      </c>
    </row>
    <row r="12">
      <c r="A12" s="75" t="inlineStr">
        <is>
          <t>Salary + training — Speed</t>
        </is>
      </c>
      <c r="B12" s="75" t="inlineStr">
        <is>
          <t>per person assigned</t>
        </is>
      </c>
      <c r="C12" s="157" t="n">
        <v>400</v>
      </c>
      <c r="D12" s="75" t="n"/>
    </row>
    <row r="13">
      <c r="A13" s="75" t="inlineStr">
        <is>
          <t>Salary + training — Unassigned / general</t>
        </is>
      </c>
      <c r="B13" s="75" t="inlineStr">
        <is>
          <t>per unassigned person</t>
        </is>
      </c>
      <c r="C13" s="73" t="n">
        <v>0</v>
      </c>
      <c r="D13" s="75" t="inlineStr">
        <is>
          <t>No specialty; optional rate</t>
        </is>
      </c>
    </row>
    <row r="15">
      <c r="A15" t="inlineStr">
        <is>
          <t>Rate keys (for formulas): Hire=C7 Layoff=C8 Svc=C9 Rec=C10 Mtn=C11 Spd=C12 Unass=C13</t>
        </is>
      </c>
    </row>
    <row r="17">
      <c r="A17" s="64" t="inlineStr">
        <is>
          <t>Per-location staffing &amp; specialized training</t>
        </is>
      </c>
    </row>
    <row r="18">
      <c r="A18" s="68" t="inlineStr">
        <is>
          <t>Location</t>
        </is>
      </c>
      <c r="B18" s="68" t="inlineStr">
        <is>
          <t>Status</t>
        </is>
      </c>
      <c r="C18" s="68" t="inlineStr">
        <is>
          <t>Total sales+service</t>
        </is>
      </c>
      <c r="D18" s="68" t="inlineStr">
        <is>
          <t>Service</t>
        </is>
      </c>
      <c r="E18" s="68" t="inlineStr">
        <is>
          <t>Recreation</t>
        </is>
      </c>
      <c r="F18" s="68" t="inlineStr">
        <is>
          <t>Mountain</t>
        </is>
      </c>
      <c r="G18" s="68" t="inlineStr">
        <is>
          <t>Speed</t>
        </is>
      </c>
      <c r="H18" s="68" t="inlineStr">
        <is>
          <t>Unassigned (calc)</t>
        </is>
      </c>
      <c r="I18" s="68" t="inlineStr">
        <is>
          <t>Specialty sum</t>
        </is>
      </c>
      <c r="J18" s="68" t="inlineStr">
        <is>
          <t>≤7 tip / notes</t>
        </is>
      </c>
    </row>
    <row r="19">
      <c r="A19" s="75" t="inlineStr">
        <is>
          <t>Amsterdam</t>
        </is>
      </c>
      <c r="B19" s="75" t="inlineStr">
        <is>
          <t>OPEN (Q2 live)</t>
        </is>
      </c>
      <c r="C19" s="163" t="n">
        <v>5</v>
      </c>
      <c r="D19" s="163" t="n">
        <v>1</v>
      </c>
      <c r="E19" s="163" t="n">
        <v>0</v>
      </c>
      <c r="F19" s="163" t="n">
        <v>4</v>
      </c>
      <c r="G19" s="163" t="n">
        <v>0</v>
      </c>
      <c r="H19" s="75">
        <f>IF(C19="","",C19-SUM(D19:G19))</f>
        <v/>
      </c>
      <c r="I19" s="75">
        <f>IF(COUNT(D19:G19)=0,"",SUM(D19:G19))</f>
        <v/>
      </c>
      <c r="J19" s="75" t="inlineStr">
        <is>
          <t>Physical store — Hike Bike primary</t>
        </is>
      </c>
    </row>
    <row r="20">
      <c r="A20" s="75" t="inlineStr">
        <is>
          <t>World Web</t>
        </is>
      </c>
      <c r="B20" s="75" t="inlineStr">
        <is>
          <t>OPEN (Q2 live)</t>
        </is>
      </c>
      <c r="C20" s="72">
        <f>IF(E55="","",E55)</f>
        <v/>
      </c>
      <c r="D20" s="163" t="n">
        <v>2</v>
      </c>
      <c r="E20" s="72" t="n">
        <v>0</v>
      </c>
      <c r="F20" s="163" t="n">
        <v>3</v>
      </c>
      <c r="G20" s="72" t="n">
        <v>0</v>
      </c>
      <c r="H20" s="75">
        <f>IF(C20="","",C20-SUM(D20:G20))</f>
        <v/>
      </c>
      <c r="I20" s="75">
        <f>IF(COUNT(D20:G20)=0,"",SUM(D20:G20))</f>
        <v/>
      </c>
      <c r="J20" s="75" t="inlineStr">
        <is>
          <t>Total linked to Web Personnel E55 (C55+D55)</t>
        </is>
      </c>
    </row>
    <row r="21">
      <c r="A21" s="75" t="inlineStr">
        <is>
          <t>Rio de Janeiro (opens next Q)</t>
        </is>
      </c>
      <c r="B21" s="163" t="inlineStr">
        <is>
          <t>LOCKED — schedule Q2 / live Q3</t>
        </is>
      </c>
      <c r="C21" s="72" t="n"/>
      <c r="D21" s="72" t="n"/>
      <c r="E21" s="72" t="n"/>
      <c r="F21" s="72" t="n"/>
      <c r="G21" s="72" t="n"/>
      <c r="H21" s="75">
        <f>IF(C21="","",C21-SUM(D21:G21))</f>
        <v/>
      </c>
      <c r="I21" s="75">
        <f>IF(COUNT(D21:G21)=0,"",SUM(D21:G21))</f>
        <v/>
      </c>
      <c r="J21" s="75" t="inlineStr">
        <is>
          <t>Opens next quarter if scheduled</t>
        </is>
      </c>
    </row>
    <row r="22">
      <c r="A22" s="75" t="inlineStr">
        <is>
          <t>Other / TBD</t>
        </is>
      </c>
      <c r="B22" s="75" t="inlineStr">
        <is>
          <t>—</t>
        </is>
      </c>
      <c r="C22" s="72" t="n"/>
      <c r="D22" s="72" t="n"/>
      <c r="E22" s="72" t="n"/>
      <c r="F22" s="72" t="n"/>
      <c r="G22" s="72" t="n"/>
      <c r="H22" s="75">
        <f>IF(C22="","",C22-SUM(D22:G22))</f>
        <v/>
      </c>
      <c r="I22" s="75">
        <f>IF(COUNT(D22:G22)=0,"",SUM(D22:G22))</f>
        <v/>
      </c>
      <c r="J22" s="75" t="inlineStr">
        <is>
          <t>Optional</t>
        </is>
      </c>
    </row>
    <row r="23">
      <c r="A23" t="inlineStr">
        <is>
          <t>Checks</t>
        </is>
      </c>
    </row>
    <row r="24">
      <c r="A24" t="inlineStr">
        <is>
          <t>AMS total ≤7?</t>
        </is>
      </c>
      <c r="B24">
        <f>IF(C19="","",IF(C19&lt;=7,"YES","OVER tip"))</f>
        <v/>
      </c>
    </row>
    <row r="25">
      <c r="A25" t="inlineStr">
        <is>
          <t>AMS service ≥1?</t>
        </is>
      </c>
      <c r="B25">
        <f>IF(D19="","",IF(D19&gt;=1,"YES","NEED ≥1 service"))</f>
        <v/>
      </c>
    </row>
    <row r="26">
      <c r="A26" t="inlineStr">
        <is>
          <t>Specialty ≤ total (all rows)?</t>
        </is>
      </c>
      <c r="B26">
        <f>IF(OR(H19&lt;0,H20&lt;0,IF(C21="",FALSE,H21&lt;0),IF(C22="",FALSE,H22&lt;0)),"ERROR — specialties exceed total","OK")</f>
        <v/>
      </c>
    </row>
    <row r="28">
      <c r="A28" s="64" t="inlineStr">
        <is>
          <t>Estimated salary &amp; training cost by location (uses rates above)</t>
        </is>
      </c>
    </row>
    <row r="29">
      <c r="A29" s="68" t="inlineStr">
        <is>
          <t>Location</t>
        </is>
      </c>
      <c r="B29" s="68" t="inlineStr">
        <is>
          <t>Service $</t>
        </is>
      </c>
      <c r="C29" s="68" t="inlineStr">
        <is>
          <t>Rec $</t>
        </is>
      </c>
      <c r="D29" s="68" t="inlineStr">
        <is>
          <t>Mountain $</t>
        </is>
      </c>
      <c r="E29" s="68" t="inlineStr">
        <is>
          <t>Speed $</t>
        </is>
      </c>
      <c r="F29" s="68" t="inlineStr">
        <is>
          <t>Unassigned $ + Total</t>
        </is>
      </c>
    </row>
    <row r="30">
      <c r="A30" s="75">
        <f>A19</f>
        <v/>
      </c>
      <c r="B30" s="70">
        <f>IF(OR(D19="",$C$9=""),"",D19*$C$9)</f>
        <v/>
      </c>
      <c r="C30" s="70">
        <f>IF(OR(E19="",$C$10=""),"",E19*$C$10)</f>
        <v/>
      </c>
      <c r="D30" s="70">
        <f>IF(OR(F19="",$C$11=""),"",F19*$C$11)</f>
        <v/>
      </c>
      <c r="E30" s="70">
        <f>IF(OR(G19="",$C$12=""),"",G19*$C$12)</f>
        <v/>
      </c>
      <c r="F30" s="70">
        <f>IF(C19="","",IFERROR(B30,0)+IFERROR(C30,0)+IFERROR(D30,0)+IFERROR(E30,0)+IF(OR(H19="",$C$13=""),0,H19*$C$13))</f>
        <v/>
      </c>
    </row>
    <row r="31">
      <c r="A31" s="75">
        <f>A20</f>
        <v/>
      </c>
      <c r="B31" s="70">
        <f>IF(OR(D20="",$C$9=""),"",D20*$C$9)</f>
        <v/>
      </c>
      <c r="C31" s="70">
        <f>IF(OR(E20="",$C$10=""),"",E20*$C$10)</f>
        <v/>
      </c>
      <c r="D31" s="70">
        <f>IF(OR(F20="",$C$11=""),"",F20*$C$11)</f>
        <v/>
      </c>
      <c r="E31" s="70">
        <f>IF(OR(G20="",$C$12=""),"",G20*$C$12)</f>
        <v/>
      </c>
      <c r="F31" s="70">
        <f>IF(C20="","",IFERROR(B31,0)+IFERROR(C31,0)+IFERROR(D31,0)+IFERROR(E31,0)+IF(OR(H20="",$C$13=""),0,H20*$C$13))</f>
        <v/>
      </c>
    </row>
    <row r="32">
      <c r="A32" s="75">
        <f>A21</f>
        <v/>
      </c>
      <c r="B32" s="70">
        <f>IF(OR(D21="",$C$9=""),"",D21*$C$9)</f>
        <v/>
      </c>
      <c r="C32" s="70">
        <f>IF(OR(E21="",$C$10=""),"",E21*$C$10)</f>
        <v/>
      </c>
      <c r="D32" s="70">
        <f>IF(OR(F21="",$C$11=""),"",F21*$C$11)</f>
        <v/>
      </c>
      <c r="E32" s="70">
        <f>IF(OR(G21="",$C$12=""),"",G21*$C$12)</f>
        <v/>
      </c>
      <c r="F32" s="70">
        <f>IF(C21="","",IFERROR(B32,0)+IFERROR(C32,0)+IFERROR(D32,0)+IFERROR(E32,0)+IF(OR(H21="",$C$13=""),0,H21*$C$13))</f>
        <v/>
      </c>
    </row>
    <row r="33">
      <c r="A33" s="75">
        <f>A22</f>
        <v/>
      </c>
      <c r="B33" s="70">
        <f>IF(OR(D22="",$C$9=""),"",D22*$C$9)</f>
        <v/>
      </c>
      <c r="C33" s="70">
        <f>IF(OR(E22="",$C$10=""),"",E22*$C$10)</f>
        <v/>
      </c>
      <c r="D33" s="70">
        <f>IF(OR(F22="",$C$11=""),"",F22*$C$11)</f>
        <v/>
      </c>
      <c r="E33" s="70">
        <f>IF(OR(G22="",$C$12=""),"",G22*$C$12)</f>
        <v/>
      </c>
      <c r="F33" s="70">
        <f>IF(C22="","",IFERROR(B33,0)+IFERROR(C33,0)+IFERROR(D33,0)+IFERROR(E33,0)+IF(OR(H22="",$C$13=""),0,H22*$C$13))</f>
        <v/>
      </c>
    </row>
    <row r="34">
      <c r="A34" t="inlineStr">
        <is>
          <t>Total salary &amp; training (all locations)</t>
        </is>
      </c>
      <c r="B34" s="84">
        <f>IF(COUNT(F30:F33)=0,"",SUM(F30:F33))</f>
        <v/>
      </c>
    </row>
    <row r="36">
      <c r="A36" s="64" t="inlineStr">
        <is>
          <t>Regional Summary (Workspace mirror — strategic planning)</t>
        </is>
      </c>
    </row>
    <row r="37">
      <c r="A37" s="81" t="inlineStr">
        <is>
          <t>Total Number of Sales and Service People</t>
        </is>
      </c>
    </row>
    <row r="38">
      <c r="A38" t="inlineStr">
        <is>
          <t>Prior Quarter</t>
        </is>
      </c>
      <c r="B38" s="85" t="n">
        <v>0</v>
      </c>
      <c r="C38" t="inlineStr">
        <is>
          <t>Q1 had no sales staff</t>
        </is>
      </c>
    </row>
    <row r="39">
      <c r="A39" t="inlineStr">
        <is>
          <t>Current Quarter</t>
        </is>
      </c>
      <c r="B39" s="85">
        <f>IF(COUNT(C19:C22)=0,"",SUM(C19:C22))</f>
        <v/>
      </c>
      <c r="C39" t="inlineStr">
        <is>
          <t>Sum of location totals</t>
        </is>
      </c>
    </row>
    <row r="40">
      <c r="A40" t="inlineStr">
        <is>
          <t>Net Change</t>
        </is>
      </c>
      <c r="B40" s="85">
        <f>IF(B39="","",B39-B38)</f>
        <v/>
      </c>
    </row>
    <row r="42">
      <c r="A42" s="81" t="inlineStr">
        <is>
          <t>Costs This Quarter</t>
        </is>
      </c>
    </row>
    <row r="43">
      <c r="A43" t="inlineStr">
        <is>
          <t>Hiring expenses</t>
        </is>
      </c>
      <c r="B43" s="84">
        <f>IF(OR(B40="",$C$7=""),"",IF(B40&gt;0,B40*$C$7,0))</f>
        <v/>
      </c>
      <c r="C43" t="inlineStr">
        <is>
          <t>Net hires × hiring rate (simple; refine if mix hire/layoff)</t>
        </is>
      </c>
    </row>
    <row r="44">
      <c r="A44" t="inlineStr">
        <is>
          <t>Lay off expenses</t>
        </is>
      </c>
      <c r="B44" s="84">
        <f>IF(OR(B40="",$C$8=""),"",IF(B40&lt;0,ABS(B40)*$C$8,0))</f>
        <v/>
      </c>
      <c r="C44" t="inlineStr">
        <is>
          <t>Net layoffs × layoff rate</t>
        </is>
      </c>
    </row>
    <row r="45">
      <c r="A45" t="inlineStr">
        <is>
          <t>Salary and Training Costs</t>
        </is>
      </c>
      <c r="B45" s="84">
        <f>B34</f>
        <v/>
      </c>
      <c r="C45" t="inlineStr">
        <is>
          <t>From specialty assignments × rates</t>
        </is>
      </c>
    </row>
    <row r="46">
      <c r="A46" t="inlineStr">
        <is>
          <t>TOTAL people costs (hire + layoff + salary/training)</t>
        </is>
      </c>
      <c r="B46" s="82">
        <f>IF(COUNT(B43:B45)=0,"",SUM(B43:B45))</f>
        <v/>
      </c>
    </row>
    <row r="48">
      <c r="A48" s="64" t="inlineStr">
        <is>
          <t>Specialty mix — current quarter (all locations)</t>
        </is>
      </c>
    </row>
    <row r="49">
      <c r="A49" s="68" t="inlineStr">
        <is>
          <t>Service</t>
        </is>
      </c>
      <c r="B49" s="68" t="inlineStr">
        <is>
          <t>Recreation</t>
        </is>
      </c>
      <c r="C49" s="68" t="inlineStr">
        <is>
          <t>Mountain</t>
        </is>
      </c>
      <c r="D49" s="68" t="inlineStr">
        <is>
          <t>Speed</t>
        </is>
      </c>
      <c r="E49" s="68" t="inlineStr">
        <is>
          <t>Unassigned</t>
        </is>
      </c>
    </row>
    <row r="50">
      <c r="A50" s="86">
        <f>SUM(D19:D22)</f>
        <v/>
      </c>
      <c r="B50" s="86">
        <f>SUM(E19:E22)</f>
        <v/>
      </c>
      <c r="C50" s="86">
        <f>SUM(F19:F22)</f>
        <v/>
      </c>
      <c r="D50" s="86">
        <f>SUM(G19:G22)</f>
        <v/>
      </c>
      <c r="E50" s="86">
        <f>SUM(H19:H22)</f>
        <v/>
      </c>
    </row>
    <row r="52">
      <c r="A52" s="87" t="inlineStr">
        <is>
          <t>Web Personnel (Workspace — World Market)</t>
        </is>
      </c>
      <c r="B52" s="151" t="n"/>
      <c r="C52" s="151" t="n"/>
      <c r="D52" s="151" t="n"/>
      <c r="E52" s="151" t="n"/>
      <c r="F52" s="151" t="n"/>
      <c r="G52" s="151" t="n"/>
      <c r="H52" s="151" t="n"/>
      <c r="I52" s="151" t="n"/>
      <c r="J52" s="151" t="n"/>
      <c r="K52" s="151" t="n"/>
    </row>
    <row r="53">
      <c r="A53" s="89" t="inlineStr">
        <is>
          <t>Changeable: Web Sales headcount · Web Support headcount. Annual compensation shown is industry-sales package baseline ($19,310) until our Comp_Industry package is locked — then update.</t>
        </is>
      </c>
      <c r="B53" s="89" t="n"/>
      <c r="C53" s="89" t="n"/>
      <c r="D53" s="89" t="n"/>
      <c r="E53" s="89" t="n"/>
      <c r="F53" s="151" t="n"/>
      <c r="G53" s="151" t="n"/>
      <c r="H53" s="151" t="n"/>
      <c r="I53" s="151" t="n"/>
      <c r="J53" s="151" t="n"/>
      <c r="K53" s="151" t="n"/>
    </row>
    <row r="54">
      <c r="A54" s="68" t="inlineStr">
        <is>
          <t>Location</t>
        </is>
      </c>
      <c r="B54" s="68" t="inlineStr">
        <is>
          <t>Annual Compensation</t>
        </is>
      </c>
      <c r="C54" s="68" t="inlineStr">
        <is>
          <t>Web Sales</t>
        </is>
      </c>
      <c r="D54" s="68" t="inlineStr">
        <is>
          <t>Web Support</t>
        </is>
      </c>
      <c r="E54" s="68" t="inlineStr">
        <is>
          <t>Total Sales People</t>
        </is>
      </c>
      <c r="F54" s="151" t="n"/>
      <c r="G54" s="151" t="n"/>
      <c r="H54" s="151" t="n"/>
      <c r="I54" s="151" t="n"/>
      <c r="J54" s="151" t="n"/>
      <c r="K54" s="151" t="n"/>
    </row>
    <row r="55">
      <c r="A55" s="75" t="inlineStr">
        <is>
          <t>Bangalore, World Market</t>
        </is>
      </c>
      <c r="B55" s="157" t="n">
        <v>24425</v>
      </c>
      <c r="C55" s="163" t="n">
        <v>3</v>
      </c>
      <c r="D55" s="163" t="n">
        <v>2</v>
      </c>
      <c r="E55" s="86">
        <f>IF(COUNT(C55:D55)=0,"",SUM(C55:D55))</f>
        <v/>
      </c>
      <c r="F55" s="151" t="n"/>
      <c r="G55" s="151" t="n"/>
      <c r="H55" s="151" t="n"/>
      <c r="I55" s="151" t="n"/>
      <c r="J55" s="151" t="n"/>
      <c r="K55" s="151" t="n"/>
    </row>
    <row r="56">
      <c r="A56" s="151" t="inlineStr">
        <is>
          <t>Compensation source</t>
        </is>
      </c>
      <c r="B56" s="151" t="inlineStr">
        <is>
          <t>LOCKED Q2 sales package $24,425 (Comp_Industry)</t>
        </is>
      </c>
      <c r="C56" s="151" t="inlineStr">
        <is>
          <t>Prefer Comp_Industry total when set; B55 is the $ used for employ-cost calc</t>
        </is>
      </c>
      <c r="D56" s="151" t="n"/>
      <c r="E56" s="151" t="n"/>
      <c r="F56" s="151" t="n"/>
      <c r="G56" s="151" t="n"/>
      <c r="H56" s="151" t="n"/>
      <c r="I56" s="151" t="n"/>
      <c r="J56" s="151" t="n"/>
      <c r="K56" s="151" t="n"/>
    </row>
    <row r="57">
      <c r="A57" s="151" t="inlineStr">
        <is>
          <t>Use Comp_Industry sales total for B55?</t>
        </is>
      </c>
      <c r="B57" s="151" t="inlineStr">
        <is>
          <t>Paste or set B55 = Comp_Industry!C42 when package decided</t>
        </is>
      </c>
      <c r="C57" s="151" t="n"/>
      <c r="D57" s="151" t="n"/>
      <c r="E57" s="151" t="n"/>
      <c r="F57" s="151" t="n"/>
      <c r="G57" s="151" t="n"/>
      <c r="H57" s="151" t="n"/>
      <c r="I57" s="151" t="n"/>
      <c r="J57" s="151" t="n"/>
      <c r="K57" s="151" t="n"/>
    </row>
    <row r="58">
      <c r="A58" s="151" t="inlineStr">
        <is>
          <t>Sync tip</t>
        </is>
      </c>
      <c r="B58" s="151" t="inlineStr">
        <is>
          <t>Set row 20 (World Web) Total ≈ E55. Specialty columns on row 20 are optional for web; Web Sales vs Web Support is the Workspace split.</t>
        </is>
      </c>
      <c r="C58" s="151" t="n"/>
      <c r="D58" s="151" t="n"/>
      <c r="E58" s="151" t="n"/>
      <c r="F58" s="151" t="n"/>
      <c r="G58" s="151" t="n"/>
      <c r="H58" s="151" t="n"/>
      <c r="I58" s="151" t="n"/>
      <c r="J58" s="151" t="n"/>
      <c r="K58" s="151" t="n"/>
    </row>
    <row r="59">
      <c r="A59" s="151" t="inlineStr">
        <is>
          <t>World Web row20 Total vs Web Personnel Total</t>
        </is>
      </c>
      <c r="B59" s="90">
        <f>IF(OR(C20="",E55=""),"",C20-E55)</f>
        <v/>
      </c>
      <c r="C59" s="151" t="inlineStr">
        <is>
          <t>0 = synced</t>
        </is>
      </c>
      <c r="D59" s="151" t="n"/>
      <c r="E59" s="151" t="n"/>
      <c r="F59" s="151" t="n"/>
      <c r="G59" s="151" t="n"/>
      <c r="H59" s="151" t="n"/>
      <c r="I59" s="151" t="n"/>
      <c r="J59" s="151" t="n"/>
      <c r="K59" s="151" t="n"/>
    </row>
    <row r="60">
      <c r="A60" s="151" t="n"/>
      <c r="B60" s="151" t="n"/>
      <c r="C60" s="151" t="n"/>
      <c r="D60" s="151" t="n"/>
      <c r="E60" s="151" t="n"/>
      <c r="F60" s="151" t="n"/>
      <c r="G60" s="151" t="n"/>
      <c r="H60" s="151" t="n"/>
      <c r="I60" s="151" t="n"/>
      <c r="J60" s="151" t="n"/>
      <c r="K60" s="151" t="n"/>
    </row>
    <row r="61">
      <c r="A61" s="89" t="inlineStr">
        <is>
          <t>Web Personnel Summary</t>
        </is>
      </c>
      <c r="B61" s="151" t="n"/>
      <c r="C61" s="151" t="n"/>
      <c r="D61" s="151" t="n"/>
      <c r="E61" s="151" t="n"/>
      <c r="F61" s="151" t="n"/>
      <c r="G61" s="151" t="n"/>
      <c r="H61" s="151" t="n"/>
      <c r="I61" s="151" t="n"/>
      <c r="J61" s="151" t="n"/>
      <c r="K61" s="151" t="n"/>
    </row>
    <row r="62">
      <c r="A62" s="151" t="inlineStr">
        <is>
          <t>Total number of web personnel in the prior quarter</t>
        </is>
      </c>
      <c r="B62" s="91" t="n">
        <v>0</v>
      </c>
      <c r="C62" s="151" t="inlineStr">
        <is>
          <t>Q1: web center opening, no staff yet</t>
        </is>
      </c>
      <c r="D62" s="151" t="n"/>
      <c r="E62" s="151" t="n"/>
      <c r="F62" s="151" t="n"/>
      <c r="G62" s="151" t="n"/>
      <c r="H62" s="151" t="n"/>
      <c r="I62" s="151" t="n"/>
      <c r="J62" s="151" t="n"/>
      <c r="K62" s="151" t="n"/>
    </row>
    <row r="63">
      <c r="A63" s="151" t="inlineStr">
        <is>
          <t>Total number of web personnel in the current quarter</t>
        </is>
      </c>
      <c r="B63" s="91">
        <f>E55</f>
        <v/>
      </c>
      <c r="C63" s="151" t="n"/>
      <c r="D63" s="151" t="n"/>
      <c r="E63" s="151" t="n"/>
      <c r="F63" s="151" t="n"/>
      <c r="G63" s="151" t="n"/>
      <c r="H63" s="151" t="n"/>
      <c r="I63" s="151" t="n"/>
      <c r="J63" s="151" t="n"/>
      <c r="K63" s="151" t="n"/>
    </row>
    <row r="64">
      <c r="A64" s="151" t="inlineStr">
        <is>
          <t>Net change in number of web personnel</t>
        </is>
      </c>
      <c r="B64" s="92">
        <f>IF(B63="","",B63-B62)</f>
        <v/>
      </c>
      <c r="C64" s="151" t="n"/>
      <c r="D64" s="151" t="n"/>
      <c r="E64" s="151" t="n"/>
      <c r="F64" s="151" t="n"/>
      <c r="G64" s="151" t="n"/>
      <c r="H64" s="151" t="n"/>
      <c r="I64" s="151" t="n"/>
      <c r="J64" s="151" t="n"/>
      <c r="K64" s="151" t="n"/>
    </row>
    <row r="65">
      <c r="A65" s="151" t="n"/>
      <c r="B65" s="90" t="n"/>
      <c r="C65" s="151" t="n"/>
      <c r="D65" s="151" t="n"/>
      <c r="E65" s="151" t="n"/>
      <c r="F65" s="151" t="n"/>
      <c r="G65" s="151" t="n"/>
      <c r="H65" s="151" t="n"/>
      <c r="I65" s="151" t="n"/>
      <c r="J65" s="151" t="n"/>
      <c r="K65" s="151" t="n"/>
    </row>
    <row r="66">
      <c r="A66" s="151" t="inlineStr">
        <is>
          <t>Cost to hire new web personnel</t>
        </is>
      </c>
      <c r="B66" s="92">
        <f>IF(OR(B64="",$C$7=""),"",IF(B64&gt;0,B64*$C$7,0))</f>
        <v/>
      </c>
      <c r="C66" s="151" t="inlineStr">
        <is>
          <t>Uses Hiring expense rate C7 (paste from Workspace)</t>
        </is>
      </c>
      <c r="D66" s="151" t="n"/>
      <c r="E66" s="151" t="n"/>
      <c r="F66" s="151" t="n"/>
      <c r="G66" s="151" t="n"/>
      <c r="H66" s="151" t="n"/>
      <c r="I66" s="151" t="n"/>
      <c r="J66" s="151" t="n"/>
      <c r="K66" s="151" t="n"/>
    </row>
    <row r="67">
      <c r="A67" s="87" t="inlineStr">
        <is>
          <t>Cost to lay off web personnel</t>
        </is>
      </c>
      <c r="B67" s="92">
        <f>IF(OR(B64="",$C$8=""),"",IF(B64&lt;0,ABS(B64)*$C$8,0))</f>
        <v/>
      </c>
      <c r="C67" s="151" t="inlineStr">
        <is>
          <t>Uses Layoff expense rate C8</t>
        </is>
      </c>
      <c r="D67" s="151" t="n"/>
      <c r="E67" s="151" t="n"/>
      <c r="F67" s="151" t="n"/>
      <c r="G67" s="151" t="n"/>
      <c r="H67" s="151" t="n"/>
      <c r="I67" s="151" t="n"/>
      <c r="J67" s="151" t="n"/>
      <c r="K67" s="151" t="n"/>
    </row>
    <row r="68">
      <c r="A68" s="151" t="inlineStr">
        <is>
          <t>Cost to employ web personnel for the quarter</t>
        </is>
      </c>
      <c r="B68" s="92">
        <f>IF(OR(E55="",B55=""),"",E55*B55/4)</f>
        <v/>
      </c>
      <c r="C68" s="151" t="inlineStr">
        <is>
          <t>Assumes annual package ÷ 4 × headcount (adjust if Workspace uses different timing)</t>
        </is>
      </c>
      <c r="D68" s="151" t="n"/>
      <c r="E68" s="151" t="n"/>
      <c r="F68" s="151" t="n"/>
      <c r="G68" s="151" t="n"/>
      <c r="H68" s="151" t="n"/>
      <c r="I68" s="151" t="n"/>
      <c r="J68" s="151" t="n"/>
      <c r="K68" s="151" t="n"/>
    </row>
    <row r="69">
      <c r="A69" s="151" t="inlineStr">
        <is>
          <t>TOTAL web people costs (hire + layoff + employ)</t>
        </is>
      </c>
      <c r="B69" s="93">
        <f>IF(COUNT(B66:B68)=0,"",SUM(B66:B68))</f>
        <v/>
      </c>
      <c r="C69" s="151" t="n"/>
      <c r="D69" s="151" t="n"/>
      <c r="E69" s="151" t="n"/>
      <c r="F69" s="151" t="n"/>
      <c r="G69" s="151" t="n"/>
      <c r="H69" s="151" t="n"/>
      <c r="I69" s="151" t="n"/>
      <c r="J69" s="151" t="n"/>
      <c r="K69" s="151" t="n"/>
    </row>
    <row r="70">
      <c r="A70" s="151" t="n"/>
      <c r="B70" s="151" t="n"/>
      <c r="C70" s="151" t="n"/>
      <c r="D70" s="151" t="n"/>
      <c r="E70" s="151" t="n"/>
      <c r="F70" s="151" t="n"/>
      <c r="G70" s="151" t="n"/>
      <c r="H70" s="151" t="n"/>
      <c r="I70" s="151" t="n"/>
      <c r="J70" s="151" t="n"/>
      <c r="K70" s="151" t="n"/>
    </row>
    <row r="71">
      <c r="A71" s="151" t="inlineStr">
        <is>
          <t>Elements that can be changed</t>
        </is>
      </c>
      <c r="B71" s="151" t="inlineStr">
        <is>
          <t>Web Sales (C55) · Web Support (D55) · Annual compensation (B55) · Hire/layoff rates (C7/C8)</t>
        </is>
      </c>
      <c r="C71" s="151" t="n"/>
      <c r="D71" s="151" t="n"/>
      <c r="E71" s="151" t="n"/>
      <c r="F71" s="151" t="n"/>
      <c r="G71" s="151" t="n"/>
      <c r="H71" s="151" t="n"/>
      <c r="I71" s="151" t="n"/>
      <c r="J71" s="151" t="n"/>
      <c r="K71" s="151" t="n"/>
    </row>
    <row r="72">
      <c r="A72" s="151" t="n"/>
      <c r="B72" s="151" t="n"/>
      <c r="C72" s="151" t="n"/>
      <c r="D72" s="151" t="n"/>
      <c r="E72" s="151" t="n"/>
      <c r="F72" s="151" t="n"/>
      <c r="G72" s="151" t="n"/>
      <c r="H72" s="151" t="n"/>
      <c r="I72" s="151" t="n"/>
      <c r="J72" s="151" t="n"/>
      <c r="K72" s="151" t="n"/>
    </row>
    <row r="73">
      <c r="A73" s="87" t="inlineStr">
        <is>
          <t>Web productivity tactics — see sheet Web_Productivity</t>
        </is>
      </c>
      <c r="B73" s="151" t="n"/>
      <c r="C73" s="151" t="n"/>
      <c r="D73" s="151" t="n"/>
      <c r="E73" s="151" t="n"/>
      <c r="F73" s="151" t="n"/>
      <c r="G73" s="151" t="n"/>
      <c r="H73" s="151" t="n"/>
      <c r="I73" s="151" t="n"/>
      <c r="J73" s="151" t="n"/>
      <c r="K73" s="151" t="n"/>
    </row>
    <row r="74">
      <c r="A74" s="68" t="inlineStr">
        <is>
          <t>Active cash this Q (linked)</t>
        </is>
      </c>
      <c r="B74" s="94">
        <f>IF(Web_Productivity!B10="","",Web_Productivity!B10)</f>
        <v/>
      </c>
      <c r="C74" s="68" t="inlineStr">
        <is>
          <t>Edit Start/Budget on Web_Productivity sheet</t>
        </is>
      </c>
      <c r="D74" s="68" t="inlineStr">
        <is>
          <t>Quarters to full effect</t>
        </is>
      </c>
      <c r="E74" s="68" t="inlineStr">
        <is>
          <t>Notes</t>
        </is>
      </c>
    </row>
    <row r="75">
      <c r="A75" s="72" t="inlineStr">
        <is>
          <t>Toll-free default</t>
        </is>
      </c>
      <c r="B75" s="72" t="inlineStr">
        <is>
          <t>Setup $3,000 · Quarterly $3,000</t>
        </is>
      </c>
      <c r="C75" s="72" t="n"/>
      <c r="D75" s="72" t="n"/>
      <c r="E75" s="72" t="n"/>
    </row>
    <row r="76">
      <c r="A76" s="72" t="inlineStr">
        <is>
          <t>Page upgrades default</t>
        </is>
      </c>
      <c r="B76" s="72" t="inlineStr">
        <is>
          <t>Setup $6,000 · Quarterly $6,000</t>
        </is>
      </c>
      <c r="C76" s="72" t="n"/>
      <c r="D76" s="72" t="n"/>
      <c r="E76" s="72" t="n"/>
    </row>
    <row r="77">
      <c r="A77" s="72" t="inlineStr">
        <is>
          <t>Curve insight</t>
        </is>
      </c>
      <c r="B77" s="72" t="inlineStr">
        <is>
          <t>Toll-free &gt;&gt; page upgrades on % improvement; diminishing returns after ~$10k</t>
        </is>
      </c>
      <c r="C77" s="72" t="n"/>
      <c r="D77" s="72" t="n"/>
      <c r="E77" s="72" t="n"/>
    </row>
    <row r="78">
      <c r="A78" s="72" t="n"/>
      <c r="B78" s="72" t="n"/>
      <c r="C78" s="72" t="n"/>
      <c r="D78" s="72" t="n"/>
      <c r="E78" s="72" t="n"/>
    </row>
    <row r="79">
      <c r="A79" s="72" t="n"/>
      <c r="B79" s="72" t="n"/>
      <c r="C79" s="72" t="n"/>
      <c r="D79" s="72" t="n"/>
      <c r="E79" s="72" t="n"/>
    </row>
    <row r="80">
      <c r="A80" t="inlineStr">
        <is>
          <t>Total web tactics budget (linked)</t>
        </is>
      </c>
      <c r="B80" s="71">
        <f>B74</f>
        <v/>
      </c>
    </row>
    <row r="82">
      <c r="A82" s="64" t="inlineStr">
        <is>
          <t>New sales outlet for NEXT quarter (city #2)</t>
        </is>
      </c>
    </row>
    <row r="83">
      <c r="A83" t="inlineStr">
        <is>
          <t>Open a new store?</t>
        </is>
      </c>
      <c r="B83" s="163" t="inlineStr">
        <is>
          <t>Yes</t>
        </is>
      </c>
      <c r="C83" t="inlineStr">
        <is>
          <t>LOCKED Q2 — full quarter to open; live next quarter</t>
        </is>
      </c>
    </row>
    <row r="84">
      <c r="A84" t="inlineStr">
        <is>
          <t>City candidate</t>
        </is>
      </c>
      <c r="B84" s="163" t="inlineStr">
        <is>
          <t>Rio</t>
        </is>
      </c>
      <c r="C84" t="inlineStr">
        <is>
          <t>Setup $90,000 · lease $17,000/qtr when live (Stores_Costs)</t>
        </is>
      </c>
    </row>
    <row r="85">
      <c r="A85" t="inlineStr">
        <is>
          <t>Setup cost (hint)</t>
        </is>
      </c>
      <c r="B85" s="71">
        <f>IF(B84="","",IF(OR(LOWER(B84)="new york city",LOWER(B84)="nyc"),Stores_Costs!C6,IF(OR(LOWER(B84)="rio de janeiro",LOWER(B84)="rio"),Stores_Costs!C7,IF(LOWER(B84)="bangalore",Stores_Costs!C9,""))))</f>
        <v/>
      </c>
    </row>
    <row r="86">
      <c r="A86" t="inlineStr">
        <is>
          <t>Quarterly lease (hint)</t>
        </is>
      </c>
      <c r="B86" s="71">
        <f>IF(B84="","",IF(OR(LOWER(B84)="new york city",LOWER(B84)="nyc"),Stores_Costs!D6,IF(OR(LOWER(B84)="rio de janeiro",LOWER(B84)="rio"),Stores_Costs!D7,IF(LOWER(B84)="bangalore",Stores_Costs!D9,""))))</f>
        <v/>
      </c>
    </row>
    <row r="88">
      <c r="A88" s="64" t="inlineStr">
        <is>
          <t>Demand forecast bridge</t>
        </is>
      </c>
    </row>
    <row r="89">
      <c r="A89" t="inlineStr">
        <is>
          <t>Q2 total demand</t>
        </is>
      </c>
      <c r="B89">
        <f>IF(Demand_Forecast!B12="","",Demand_Forecast!B12)</f>
        <v/>
      </c>
    </row>
    <row r="90">
      <c r="A90" t="inlineStr">
        <is>
          <t>Q3 demand projection</t>
        </is>
      </c>
      <c r="B90" s="75">
        <f>IF(Demand_Forecast!I34="","",Demand_Forecast!I34)</f>
        <v/>
      </c>
    </row>
    <row r="91">
      <c r="A91" t="inlineStr">
        <is>
          <t>Naive AMS Mountain /4 (context only)</t>
        </is>
      </c>
      <c r="B91">
        <f>Market_Potential!C7/4</f>
        <v/>
      </c>
    </row>
    <row r="93">
      <c r="A93" t="inlineStr">
        <is>
          <t>Cash reminder</t>
        </is>
      </c>
      <c r="B93" t="inlineStr">
        <is>
          <t>Ending Cash+CD ≥ $300,000 after store + web people costs, tactics, leases, optional store setup.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4.5"/>
  <cols>
    <col width="55" customWidth="1" style="146" min="1" max="1"/>
    <col width="12" customWidth="1" style="146" min="2" max="5"/>
    <col width="16" customWidth="1" style="146" min="6" max="6"/>
    <col width="22" customWidth="1" style="146" min="7" max="7"/>
    <col width="14" customWidth="1" style="146" min="8" max="9"/>
  </cols>
  <sheetData>
    <row r="1" ht="18.5" customHeight="1" s="146">
      <c r="A1" s="67" t="inlineStr">
        <is>
          <t>Web Productivity — Purchase Probability Tactics</t>
        </is>
      </c>
    </row>
    <row r="2">
      <c r="A2" t="inlineStr">
        <is>
          <t>LOCKED Q2: Start BOTH — Toll-free budget $3,000 · Page upgrades budget $6,000. First-Q cash ≈ setup $3k+$6k + budgets $3k+$6k = $18,000. Workspace: Options to Improve the Probability of Purchase. Start this quarter; full effect over a few quarters; diminishing returns on budget. Detail: web-productivity-background.md · Yellow = decisions (not locked).</t>
        </is>
      </c>
    </row>
    <row r="3">
      <c r="A3" t="inlineStr">
        <is>
          <t>You can Stop a service anytime. Chart points are approximate read-offs from Workspace graph.</t>
        </is>
      </c>
    </row>
    <row r="5">
      <c r="A5" s="64" t="inlineStr">
        <is>
          <t>Options to Improve the Probability of Purchase</t>
        </is>
      </c>
    </row>
    <row r="6">
      <c r="A6" s="68" t="inlineStr">
        <is>
          <t>Activity</t>
        </is>
      </c>
      <c r="B6" s="68" t="inlineStr">
        <is>
          <t>Start (Y/N)</t>
        </is>
      </c>
      <c r="C6" s="68" t="inlineStr">
        <is>
          <t>Stop (Y/N)</t>
        </is>
      </c>
      <c r="D6" s="68" t="inlineStr">
        <is>
          <t>Status</t>
        </is>
      </c>
      <c r="E6" s="68" t="inlineStr">
        <is>
          <t>Setup Cost</t>
        </is>
      </c>
      <c r="F6" s="68" t="inlineStr">
        <is>
          <t>Quarterly Budget</t>
        </is>
      </c>
      <c r="G6" s="68" t="inlineStr">
        <is>
          <t>Est. Potential Improvement %</t>
        </is>
      </c>
      <c r="H6" s="68" t="inlineStr">
        <is>
          <t>Setup due this Q?</t>
        </is>
      </c>
      <c r="I6" s="68" t="inlineStr">
        <is>
          <t>Cash hit this Q</t>
        </is>
      </c>
    </row>
    <row r="7">
      <c r="A7" s="75" t="inlineStr">
        <is>
          <t>Toll-free phone number for advising customers in the decision making process and for handling service calls</t>
        </is>
      </c>
      <c r="B7" s="163" t="inlineStr">
        <is>
          <t>Y</t>
        </is>
      </c>
      <c r="C7" s="72" t="n"/>
      <c r="D7" s="75">
        <f>IF(OR(UPPER(B7)="Y",UPPER(B7)="YES"),"Active",IF(OR(UPPER(C7)="Y",UPPER(C7)="YES"),"Stopped","—"))</f>
        <v/>
      </c>
      <c r="E7" s="70" t="n">
        <v>3000</v>
      </c>
      <c r="F7" s="157" t="n">
        <v>3000</v>
      </c>
      <c r="G7" s="95">
        <f>IF(OR(D7&lt;&gt;"Active",F7=""),"",IF(F7&lt;=1500,0.22,IF(F7&lt;=4000,0.31,IF(F7&lt;=7500,0.35,IF(F7&lt;=12500,0.415,IF(F7&lt;=17500,0.44,IF(F7&lt;=25000,0.45,0.465)))))))</f>
        <v/>
      </c>
      <c r="H7" s="72" t="n"/>
      <c r="I7" s="96">
        <f>IF(D7&lt;&gt;"Active","",IF(OR(UPPER(H7)="Y",UPPER(H7)="YES"),E7+F7,F7))</f>
        <v/>
      </c>
    </row>
    <row r="8">
      <c r="A8" s="75" t="inlineStr">
        <is>
          <t>Continuous upgrading of the product description, pricing, and order entry pages to improve content, visual appeal and navigation</t>
        </is>
      </c>
      <c r="B8" s="163" t="inlineStr">
        <is>
          <t>Y</t>
        </is>
      </c>
      <c r="C8" s="72" t="n"/>
      <c r="D8" s="75">
        <f>IF(OR(UPPER(B8)="Y",UPPER(B8)="YES"),"Active",IF(OR(UPPER(C8)="Y",UPPER(C8)="YES"),"Stopped","—"))</f>
        <v/>
      </c>
      <c r="E8" s="70" t="n">
        <v>6000</v>
      </c>
      <c r="F8" s="157" t="n">
        <v>6000</v>
      </c>
      <c r="G8" s="95">
        <f>IF(OR(D8&lt;&gt;"Active",F8=""),"",IF(F8&lt;=1500,0.12,IF(F8&lt;=4000,0.16,IF(F8&lt;=7500,0.185,IF(F8&lt;=12500,0.235,IF(F8&lt;=17500,0.26,IF(F8&lt;=25000,0.275,0.295)))))))</f>
        <v/>
      </c>
      <c r="H8" s="72" t="n"/>
      <c r="I8" s="96">
        <f>IF(D8&lt;&gt;"Active","",IF(OR(UPPER(H8)="Y",UPPER(H8)="YES"),E8+F8,F8))</f>
        <v/>
      </c>
    </row>
    <row r="10">
      <c r="A10" t="inlineStr">
        <is>
          <t>TOTAL web productivity cash this quarter</t>
        </is>
      </c>
      <c r="B10" s="97">
        <f>IF(COUNT(I7:I8)=0,"",SUM(I7:I8))</f>
        <v/>
      </c>
      <c r="C10" t="inlineStr">
        <is>
          <t>Sum of active tactics (setup if flagged + quarterly budget)</t>
        </is>
      </c>
    </row>
    <row r="12">
      <c r="A12" s="64" t="inlineStr">
        <is>
          <t>Planning notes</t>
        </is>
      </c>
    </row>
    <row r="13">
      <c r="A13" t="inlineStr">
        <is>
          <t>Default Workspace budgets sit on the steep part of both curves (efficient).</t>
        </is>
      </c>
    </row>
    <row r="14">
      <c r="A14" t="inlineStr">
        <is>
          <t>Toll-free dominates page upgrades on improvement % at every budget on the chart.</t>
        </is>
      </c>
    </row>
    <row r="15">
      <c r="A15" t="inlineStr">
        <is>
          <t>Most incremental gain is earned by ~$10k; $10k→$30k adds only ~5 points.</t>
        </is>
      </c>
    </row>
    <row r="16">
      <c r="A16" t="inlineStr">
        <is>
          <t>Effects take a few quarters to fully mature — don’t expect full % in Q2 alone.</t>
        </is>
      </c>
    </row>
    <row r="17">
      <c r="A17" t="inlineStr">
        <is>
          <t>Elements that can be changed: Start/Stop · Quarterly Budget · Setup-due flag</t>
        </is>
      </c>
    </row>
    <row r="19">
      <c r="A19" s="64" t="inlineStr">
        <is>
          <t>Potential Improvement [%] vs Quarterly Budget (approx chart read-off)</t>
        </is>
      </c>
    </row>
    <row r="20">
      <c r="A20" s="68" t="inlineStr">
        <is>
          <t>Quarterly Budget</t>
        </is>
      </c>
      <c r="B20" s="68" t="inlineStr">
        <is>
          <t>Toll-free phone %</t>
        </is>
      </c>
      <c r="C20" s="68" t="inlineStr">
        <is>
          <t>Page upgrades %</t>
        </is>
      </c>
    </row>
    <row r="21">
      <c r="A21" s="70" t="n">
        <v>0</v>
      </c>
      <c r="B21" s="95" t="n">
        <v>0</v>
      </c>
      <c r="C21" s="95" t="n">
        <v>0</v>
      </c>
    </row>
    <row r="22">
      <c r="A22" s="70" t="n">
        <v>3000</v>
      </c>
      <c r="B22" s="95" t="n">
        <v>0.31</v>
      </c>
      <c r="C22" s="95" t="n">
        <v>0.16</v>
      </c>
    </row>
    <row r="23">
      <c r="A23" s="70" t="n">
        <v>5000</v>
      </c>
      <c r="B23" s="95" t="n">
        <v>0.35</v>
      </c>
      <c r="C23" s="95" t="n">
        <v>0.185</v>
      </c>
    </row>
    <row r="24">
      <c r="A24" s="70" t="n">
        <v>10000</v>
      </c>
      <c r="B24" s="95" t="n">
        <v>0.415</v>
      </c>
      <c r="C24" s="95" t="n">
        <v>0.235</v>
      </c>
    </row>
    <row r="25">
      <c r="A25" s="70" t="n">
        <v>15000</v>
      </c>
      <c r="B25" s="95" t="n">
        <v>0.44</v>
      </c>
      <c r="C25" s="95" t="n">
        <v>0.26</v>
      </c>
    </row>
    <row r="26">
      <c r="A26" s="70" t="n">
        <v>20000</v>
      </c>
      <c r="B26" s="95" t="n">
        <v>0.45</v>
      </c>
      <c r="C26" s="95" t="n">
        <v>0.275</v>
      </c>
    </row>
    <row r="27">
      <c r="A27" s="70" t="n">
        <v>30000</v>
      </c>
      <c r="B27" s="95" t="n">
        <v>0.465</v>
      </c>
      <c r="C27" s="95" t="n">
        <v>0.295</v>
      </c>
    </row>
    <row r="29">
      <c r="A29" t="inlineStr">
        <is>
          <t>Source</t>
        </is>
      </c>
      <c r="B29" t="inlineStr">
        <is>
          <t>Workspace Web Sales Center + Potential Improvement chart (Q2)</t>
        </is>
      </c>
    </row>
    <row r="30">
      <c r="A30" t="inlineStr">
        <is>
          <t>Cash rule</t>
        </is>
      </c>
      <c r="B30" t="inlineStr">
        <is>
          <t>Keep ending Cash+CD ≥ $300,000 after web productivity + personnel + other Q2 spends.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P13" sqref="P13"/>
    </sheetView>
  </sheetViews>
  <sheetFormatPr baseColWidth="8" defaultRowHeight="14.5"/>
  <cols>
    <col width="28" customWidth="1" style="146" min="1" max="1"/>
    <col width="10" customWidth="1" style="146" min="2" max="2"/>
    <col width="12" customWidth="1" style="146" min="3" max="3"/>
    <col width="3" customWidth="1" style="146" min="4" max="4"/>
    <col width="28" customWidth="1" style="146" min="5" max="5"/>
    <col width="10" customWidth="1" style="146" min="6" max="6"/>
    <col width="12" customWidth="1" style="146" min="7" max="7"/>
    <col width="3" customWidth="1" style="146" min="8" max="8"/>
    <col width="28" customWidth="1" style="146" min="9" max="9"/>
    <col width="10" customWidth="1" style="146" min="10" max="10"/>
    <col width="12" customWidth="1" style="146" min="11" max="11"/>
  </cols>
  <sheetData>
    <row r="1" ht="18.5" customHeight="1" s="146">
      <c r="A1" s="4" t="inlineStr">
        <is>
          <t>Needs Snapshot — linked to Needs sheet</t>
        </is>
      </c>
    </row>
    <row r="2">
      <c r="A2" s="1" t="inlineStr">
        <is>
          <t>After entering scores on Needs, filter each block where Flag = IMPORTANT, or sort Score descending (copy-paste values if needed).</t>
        </is>
      </c>
    </row>
    <row r="4">
      <c r="A4" s="12" t="inlineStr">
        <is>
          <t>Recreation priorities</t>
        </is>
      </c>
      <c r="E4" s="12" t="inlineStr">
        <is>
          <t>Mountain priorities</t>
        </is>
      </c>
      <c r="I4" s="12" t="inlineStr">
        <is>
          <t>Speed priorities</t>
        </is>
      </c>
    </row>
    <row r="5">
      <c r="A5" s="2" t="inlineStr">
        <is>
          <t>Need</t>
        </is>
      </c>
      <c r="B5" s="2" t="inlineStr">
        <is>
          <t>Score</t>
        </is>
      </c>
      <c r="C5" s="2" t="inlineStr">
        <is>
          <t>Flag</t>
        </is>
      </c>
      <c r="E5" s="2" t="inlineStr">
        <is>
          <t>Need</t>
        </is>
      </c>
      <c r="F5" s="2" t="inlineStr">
        <is>
          <t>Score</t>
        </is>
      </c>
      <c r="G5" s="2" t="inlineStr">
        <is>
          <t>Flag</t>
        </is>
      </c>
      <c r="I5" s="2" t="inlineStr">
        <is>
          <t>Need</t>
        </is>
      </c>
      <c r="J5" s="2" t="inlineStr">
        <is>
          <t>Score</t>
        </is>
      </c>
      <c r="K5" s="2" t="inlineStr">
        <is>
          <t>Flag</t>
        </is>
      </c>
    </row>
    <row r="6">
      <c r="A6" s="13">
        <f>Needs!A5</f>
        <v/>
      </c>
      <c r="B6" s="13">
        <f>Needs!B5</f>
        <v/>
      </c>
      <c r="C6" s="13">
        <f>Needs!F5</f>
        <v/>
      </c>
      <c r="E6" s="13">
        <f>Needs!A5</f>
        <v/>
      </c>
      <c r="F6" s="13">
        <f>Needs!C5</f>
        <v/>
      </c>
      <c r="G6" s="13">
        <f>Needs!G5</f>
        <v/>
      </c>
      <c r="I6" s="13">
        <f>Needs!A5</f>
        <v/>
      </c>
      <c r="J6" s="13">
        <f>Needs!D5</f>
        <v/>
      </c>
      <c r="K6" s="13">
        <f>Needs!H5</f>
        <v/>
      </c>
    </row>
    <row r="7">
      <c r="A7" s="13">
        <f>Needs!A6</f>
        <v/>
      </c>
      <c r="B7" s="13">
        <f>Needs!B6</f>
        <v/>
      </c>
      <c r="C7" s="13">
        <f>Needs!F6</f>
        <v/>
      </c>
      <c r="E7" s="13">
        <f>Needs!A6</f>
        <v/>
      </c>
      <c r="F7" s="13">
        <f>Needs!C6</f>
        <v/>
      </c>
      <c r="G7" s="13">
        <f>Needs!G6</f>
        <v/>
      </c>
      <c r="I7" s="13">
        <f>Needs!A6</f>
        <v/>
      </c>
      <c r="J7" s="13">
        <f>Needs!D6</f>
        <v/>
      </c>
      <c r="K7" s="13">
        <f>Needs!H6</f>
        <v/>
      </c>
    </row>
    <row r="8">
      <c r="A8" s="13">
        <f>Needs!A7</f>
        <v/>
      </c>
      <c r="B8" s="13">
        <f>Needs!B7</f>
        <v/>
      </c>
      <c r="C8" s="13">
        <f>Needs!F7</f>
        <v/>
      </c>
      <c r="E8" s="13">
        <f>Needs!A7</f>
        <v/>
      </c>
      <c r="F8" s="13">
        <f>Needs!C7</f>
        <v/>
      </c>
      <c r="G8" s="13">
        <f>Needs!G7</f>
        <v/>
      </c>
      <c r="I8" s="13">
        <f>Needs!A7</f>
        <v/>
      </c>
      <c r="J8" s="13">
        <f>Needs!D7</f>
        <v/>
      </c>
      <c r="K8" s="13">
        <f>Needs!H7</f>
        <v/>
      </c>
    </row>
    <row r="9">
      <c r="A9" s="13">
        <f>Needs!A8</f>
        <v/>
      </c>
      <c r="B9" s="13">
        <f>Needs!B8</f>
        <v/>
      </c>
      <c r="C9" s="13">
        <f>Needs!F8</f>
        <v/>
      </c>
      <c r="E9" s="13">
        <f>Needs!A8</f>
        <v/>
      </c>
      <c r="F9" s="13">
        <f>Needs!C8</f>
        <v/>
      </c>
      <c r="G9" s="13">
        <f>Needs!G8</f>
        <v/>
      </c>
      <c r="I9" s="13">
        <f>Needs!A8</f>
        <v/>
      </c>
      <c r="J9" s="13">
        <f>Needs!D8</f>
        <v/>
      </c>
      <c r="K9" s="13">
        <f>Needs!H8</f>
        <v/>
      </c>
    </row>
    <row r="10">
      <c r="A10" s="13">
        <f>Needs!A9</f>
        <v/>
      </c>
      <c r="B10" s="13">
        <f>Needs!B9</f>
        <v/>
      </c>
      <c r="C10" s="13">
        <f>Needs!F9</f>
        <v/>
      </c>
      <c r="E10" s="13">
        <f>Needs!A9</f>
        <v/>
      </c>
      <c r="F10" s="13">
        <f>Needs!C9</f>
        <v/>
      </c>
      <c r="G10" s="13">
        <f>Needs!G9</f>
        <v/>
      </c>
      <c r="I10" s="13">
        <f>Needs!A9</f>
        <v/>
      </c>
      <c r="J10" s="13">
        <f>Needs!D9</f>
        <v/>
      </c>
      <c r="K10" s="13">
        <f>Needs!H9</f>
        <v/>
      </c>
    </row>
    <row r="11">
      <c r="A11" s="13">
        <f>Needs!A10</f>
        <v/>
      </c>
      <c r="B11" s="13">
        <f>Needs!B10</f>
        <v/>
      </c>
      <c r="C11" s="13">
        <f>Needs!F10</f>
        <v/>
      </c>
      <c r="E11" s="13">
        <f>Needs!A10</f>
        <v/>
      </c>
      <c r="F11" s="13">
        <f>Needs!C10</f>
        <v/>
      </c>
      <c r="G11" s="13">
        <f>Needs!G10</f>
        <v/>
      </c>
      <c r="I11" s="13">
        <f>Needs!A10</f>
        <v/>
      </c>
      <c r="J11" s="13">
        <f>Needs!D10</f>
        <v/>
      </c>
      <c r="K11" s="13">
        <f>Needs!H10</f>
        <v/>
      </c>
    </row>
    <row r="12">
      <c r="A12" s="13">
        <f>Needs!A11</f>
        <v/>
      </c>
      <c r="B12" s="13">
        <f>Needs!B11</f>
        <v/>
      </c>
      <c r="C12" s="13">
        <f>Needs!F11</f>
        <v/>
      </c>
      <c r="E12" s="13">
        <f>Needs!A11</f>
        <v/>
      </c>
      <c r="F12" s="13">
        <f>Needs!C11</f>
        <v/>
      </c>
      <c r="G12" s="13">
        <f>Needs!G11</f>
        <v/>
      </c>
      <c r="I12" s="13">
        <f>Needs!A11</f>
        <v/>
      </c>
      <c r="J12" s="13">
        <f>Needs!D11</f>
        <v/>
      </c>
      <c r="K12" s="13">
        <f>Needs!H11</f>
        <v/>
      </c>
    </row>
    <row r="13">
      <c r="A13" s="13">
        <f>Needs!A12</f>
        <v/>
      </c>
      <c r="B13" s="13">
        <f>Needs!B12</f>
        <v/>
      </c>
      <c r="C13" s="13">
        <f>Needs!F12</f>
        <v/>
      </c>
      <c r="E13" s="13">
        <f>Needs!A12</f>
        <v/>
      </c>
      <c r="F13" s="13">
        <f>Needs!C12</f>
        <v/>
      </c>
      <c r="G13" s="13">
        <f>Needs!G12</f>
        <v/>
      </c>
      <c r="I13" s="13">
        <f>Needs!A12</f>
        <v/>
      </c>
      <c r="J13" s="13">
        <f>Needs!D12</f>
        <v/>
      </c>
      <c r="K13" s="13">
        <f>Needs!H12</f>
        <v/>
      </c>
    </row>
    <row r="14">
      <c r="A14" s="13">
        <f>Needs!A13</f>
        <v/>
      </c>
      <c r="B14" s="13">
        <f>Needs!B13</f>
        <v/>
      </c>
      <c r="C14" s="13">
        <f>Needs!F13</f>
        <v/>
      </c>
      <c r="E14" s="13">
        <f>Needs!A13</f>
        <v/>
      </c>
      <c r="F14" s="13">
        <f>Needs!C13</f>
        <v/>
      </c>
      <c r="G14" s="13">
        <f>Needs!G13</f>
        <v/>
      </c>
      <c r="I14" s="13">
        <f>Needs!A13</f>
        <v/>
      </c>
      <c r="J14" s="13">
        <f>Needs!D13</f>
        <v/>
      </c>
      <c r="K14" s="13">
        <f>Needs!H13</f>
        <v/>
      </c>
    </row>
    <row r="15">
      <c r="A15" s="13">
        <f>Needs!A14</f>
        <v/>
      </c>
      <c r="B15" s="13">
        <f>Needs!B14</f>
        <v/>
      </c>
      <c r="C15" s="13">
        <f>Needs!F14</f>
        <v/>
      </c>
      <c r="E15" s="13">
        <f>Needs!A14</f>
        <v/>
      </c>
      <c r="F15" s="13">
        <f>Needs!C14</f>
        <v/>
      </c>
      <c r="G15" s="13">
        <f>Needs!G14</f>
        <v/>
      </c>
      <c r="I15" s="13">
        <f>Needs!A14</f>
        <v/>
      </c>
      <c r="J15" s="13">
        <f>Needs!D14</f>
        <v/>
      </c>
      <c r="K15" s="13">
        <f>Needs!H14</f>
        <v/>
      </c>
    </row>
    <row r="16">
      <c r="A16" s="13">
        <f>Needs!A15</f>
        <v/>
      </c>
      <c r="B16" s="13">
        <f>Needs!B15</f>
        <v/>
      </c>
      <c r="C16" s="13">
        <f>Needs!F15</f>
        <v/>
      </c>
      <c r="E16" s="13">
        <f>Needs!A15</f>
        <v/>
      </c>
      <c r="F16" s="13">
        <f>Needs!C15</f>
        <v/>
      </c>
      <c r="G16" s="13">
        <f>Needs!G15</f>
        <v/>
      </c>
      <c r="I16" s="13">
        <f>Needs!A15</f>
        <v/>
      </c>
      <c r="J16" s="13">
        <f>Needs!D15</f>
        <v/>
      </c>
      <c r="K16" s="13">
        <f>Needs!H15</f>
        <v/>
      </c>
    </row>
    <row r="17">
      <c r="A17" s="13">
        <f>Needs!A16</f>
        <v/>
      </c>
      <c r="B17" s="13">
        <f>Needs!B16</f>
        <v/>
      </c>
      <c r="C17" s="13">
        <f>Needs!F16</f>
        <v/>
      </c>
      <c r="E17" s="13">
        <f>Needs!A16</f>
        <v/>
      </c>
      <c r="F17" s="13">
        <f>Needs!C16</f>
        <v/>
      </c>
      <c r="G17" s="13">
        <f>Needs!G16</f>
        <v/>
      </c>
      <c r="I17" s="13">
        <f>Needs!A16</f>
        <v/>
      </c>
      <c r="J17" s="13">
        <f>Needs!D16</f>
        <v/>
      </c>
      <c r="K17" s="13">
        <f>Needs!H16</f>
        <v/>
      </c>
    </row>
    <row r="18">
      <c r="A18" s="13">
        <f>Needs!A17</f>
        <v/>
      </c>
      <c r="B18" s="13">
        <f>Needs!B17</f>
        <v/>
      </c>
      <c r="C18" s="13">
        <f>Needs!F17</f>
        <v/>
      </c>
      <c r="E18" s="13">
        <f>Needs!A17</f>
        <v/>
      </c>
      <c r="F18" s="13">
        <f>Needs!C17</f>
        <v/>
      </c>
      <c r="G18" s="13">
        <f>Needs!G17</f>
        <v/>
      </c>
      <c r="I18" s="13">
        <f>Needs!A17</f>
        <v/>
      </c>
      <c r="J18" s="13">
        <f>Needs!D17</f>
        <v/>
      </c>
      <c r="K18" s="13">
        <f>Needs!H17</f>
        <v/>
      </c>
    </row>
    <row r="19">
      <c r="A19" s="13">
        <f>Needs!A18</f>
        <v/>
      </c>
      <c r="B19" s="13">
        <f>Needs!B18</f>
        <v/>
      </c>
      <c r="C19" s="13">
        <f>Needs!F18</f>
        <v/>
      </c>
      <c r="E19" s="13">
        <f>Needs!A18</f>
        <v/>
      </c>
      <c r="F19" s="13">
        <f>Needs!C18</f>
        <v/>
      </c>
      <c r="G19" s="13">
        <f>Needs!G18</f>
        <v/>
      </c>
      <c r="I19" s="13">
        <f>Needs!A18</f>
        <v/>
      </c>
      <c r="J19" s="13">
        <f>Needs!D18</f>
        <v/>
      </c>
      <c r="K19" s="13">
        <f>Needs!H18</f>
        <v/>
      </c>
    </row>
    <row r="20">
      <c r="A20" s="13">
        <f>Needs!A19</f>
        <v/>
      </c>
      <c r="B20" s="13">
        <f>Needs!B19</f>
        <v/>
      </c>
      <c r="C20" s="13">
        <f>Needs!F19</f>
        <v/>
      </c>
      <c r="E20" s="13">
        <f>Needs!A19</f>
        <v/>
      </c>
      <c r="F20" s="13">
        <f>Needs!C19</f>
        <v/>
      </c>
      <c r="G20" s="13">
        <f>Needs!G19</f>
        <v/>
      </c>
      <c r="I20" s="13">
        <f>Needs!A19</f>
        <v/>
      </c>
      <c r="J20" s="13">
        <f>Needs!D19</f>
        <v/>
      </c>
      <c r="K20" s="13">
        <f>Needs!H19</f>
        <v/>
      </c>
    </row>
    <row r="21">
      <c r="A21" s="13">
        <f>Needs!A20</f>
        <v/>
      </c>
      <c r="B21" s="13">
        <f>Needs!B20</f>
        <v/>
      </c>
      <c r="C21" s="13">
        <f>Needs!F20</f>
        <v/>
      </c>
      <c r="E21" s="13">
        <f>Needs!A20</f>
        <v/>
      </c>
      <c r="F21" s="13">
        <f>Needs!C20</f>
        <v/>
      </c>
      <c r="G21" s="13">
        <f>Needs!G20</f>
        <v/>
      </c>
      <c r="I21" s="13">
        <f>Needs!A20</f>
        <v/>
      </c>
      <c r="J21" s="13">
        <f>Needs!D20</f>
        <v/>
      </c>
      <c r="K21" s="13">
        <f>Needs!H20</f>
        <v/>
      </c>
    </row>
    <row r="22">
      <c r="A22" s="13">
        <f>Needs!A21</f>
        <v/>
      </c>
      <c r="B22" s="13">
        <f>Needs!B21</f>
        <v/>
      </c>
      <c r="C22" s="13">
        <f>Needs!F21</f>
        <v/>
      </c>
      <c r="E22" s="13">
        <f>Needs!A21</f>
        <v/>
      </c>
      <c r="F22" s="13">
        <f>Needs!C21</f>
        <v/>
      </c>
      <c r="G22" s="13">
        <f>Needs!G21</f>
        <v/>
      </c>
      <c r="I22" s="13">
        <f>Needs!A21</f>
        <v/>
      </c>
      <c r="J22" s="13">
        <f>Needs!D21</f>
        <v/>
      </c>
      <c r="K22" s="13">
        <f>Needs!H21</f>
        <v/>
      </c>
    </row>
    <row r="23">
      <c r="A23" s="13">
        <f>Needs!A22</f>
        <v/>
      </c>
      <c r="B23" s="13">
        <f>Needs!B22</f>
        <v/>
      </c>
      <c r="C23" s="13">
        <f>Needs!F22</f>
        <v/>
      </c>
      <c r="E23" s="13">
        <f>Needs!A22</f>
        <v/>
      </c>
      <c r="F23" s="13">
        <f>Needs!C22</f>
        <v/>
      </c>
      <c r="G23" s="13">
        <f>Needs!G22</f>
        <v/>
      </c>
      <c r="I23" s="13">
        <f>Needs!A22</f>
        <v/>
      </c>
      <c r="J23" s="13">
        <f>Needs!D22</f>
        <v/>
      </c>
      <c r="K23" s="13">
        <f>Needs!H22</f>
        <v/>
      </c>
    </row>
    <row r="24">
      <c r="A24" s="13">
        <f>Needs!A23</f>
        <v/>
      </c>
      <c r="B24" s="13">
        <f>Needs!B23</f>
        <v/>
      </c>
      <c r="C24" s="13">
        <f>Needs!F23</f>
        <v/>
      </c>
      <c r="E24" s="13">
        <f>Needs!A23</f>
        <v/>
      </c>
      <c r="F24" s="13">
        <f>Needs!C23</f>
        <v/>
      </c>
      <c r="G24" s="13">
        <f>Needs!G23</f>
        <v/>
      </c>
      <c r="I24" s="13">
        <f>Needs!A23</f>
        <v/>
      </c>
      <c r="J24" s="13">
        <f>Needs!D23</f>
        <v/>
      </c>
      <c r="K24" s="13">
        <f>Needs!H23</f>
        <v/>
      </c>
    </row>
    <row r="25">
      <c r="A25" s="13">
        <f>Needs!A24</f>
        <v/>
      </c>
      <c r="B25" s="13">
        <f>Needs!B24</f>
        <v/>
      </c>
      <c r="C25" s="13">
        <f>Needs!F24</f>
        <v/>
      </c>
      <c r="E25" s="13">
        <f>Needs!A24</f>
        <v/>
      </c>
      <c r="F25" s="13">
        <f>Needs!C24</f>
        <v/>
      </c>
      <c r="G25" s="13">
        <f>Needs!G24</f>
        <v/>
      </c>
      <c r="I25" s="13">
        <f>Needs!A24</f>
        <v/>
      </c>
      <c r="J25" s="13">
        <f>Needs!D24</f>
        <v/>
      </c>
      <c r="K25" s="13">
        <f>Needs!H24</f>
        <v/>
      </c>
    </row>
    <row r="26">
      <c r="A26" s="13">
        <f>Needs!A25</f>
        <v/>
      </c>
      <c r="B26" s="13">
        <f>Needs!B25</f>
        <v/>
      </c>
      <c r="C26" s="13">
        <f>Needs!F25</f>
        <v/>
      </c>
      <c r="E26" s="13">
        <f>Needs!A25</f>
        <v/>
      </c>
      <c r="F26" s="13">
        <f>Needs!C25</f>
        <v/>
      </c>
      <c r="G26" s="13">
        <f>Needs!G25</f>
        <v/>
      </c>
      <c r="I26" s="13">
        <f>Needs!A25</f>
        <v/>
      </c>
      <c r="J26" s="13">
        <f>Needs!D25</f>
        <v/>
      </c>
      <c r="K26" s="13">
        <f>Needs!H25</f>
        <v/>
      </c>
    </row>
    <row r="27">
      <c r="A27" s="13">
        <f>Needs!A26</f>
        <v/>
      </c>
      <c r="B27" s="13">
        <f>Needs!B26</f>
        <v/>
      </c>
      <c r="C27" s="13">
        <f>Needs!F26</f>
        <v/>
      </c>
      <c r="E27" s="13">
        <f>Needs!A26</f>
        <v/>
      </c>
      <c r="F27" s="13">
        <f>Needs!C26</f>
        <v/>
      </c>
      <c r="G27" s="13">
        <f>Needs!G26</f>
        <v/>
      </c>
      <c r="I27" s="13">
        <f>Needs!A26</f>
        <v/>
      </c>
      <c r="J27" s="13">
        <f>Needs!D26</f>
        <v/>
      </c>
      <c r="K27" s="13">
        <f>Needs!H26</f>
        <v/>
      </c>
    </row>
    <row r="28">
      <c r="A28" s="13">
        <f>Needs!A27</f>
        <v/>
      </c>
      <c r="B28" s="13">
        <f>Needs!B27</f>
        <v/>
      </c>
      <c r="C28" s="13">
        <f>Needs!F27</f>
        <v/>
      </c>
      <c r="E28" s="13">
        <f>Needs!A27</f>
        <v/>
      </c>
      <c r="F28" s="13">
        <f>Needs!C27</f>
        <v/>
      </c>
      <c r="G28" s="13">
        <f>Needs!G27</f>
        <v/>
      </c>
      <c r="I28" s="13">
        <f>Needs!A27</f>
        <v/>
      </c>
      <c r="J28" s="13">
        <f>Needs!D27</f>
        <v/>
      </c>
      <c r="K28" s="13">
        <f>Needs!H27</f>
        <v/>
      </c>
    </row>
    <row r="29">
      <c r="A29" s="13">
        <f>Needs!A28</f>
        <v/>
      </c>
      <c r="B29" s="13">
        <f>Needs!B28</f>
        <v/>
      </c>
      <c r="C29" s="13">
        <f>Needs!F28</f>
        <v/>
      </c>
      <c r="E29" s="13">
        <f>Needs!A28</f>
        <v/>
      </c>
      <c r="F29" s="13">
        <f>Needs!C28</f>
        <v/>
      </c>
      <c r="G29" s="13">
        <f>Needs!G28</f>
        <v/>
      </c>
      <c r="I29" s="13">
        <f>Needs!A28</f>
        <v/>
      </c>
      <c r="J29" s="13">
        <f>Needs!D28</f>
        <v/>
      </c>
      <c r="K29" s="13">
        <f>Needs!H28</f>
        <v/>
      </c>
    </row>
    <row r="30">
      <c r="A30" s="13">
        <f>Needs!A29</f>
        <v/>
      </c>
      <c r="B30" s="13">
        <f>Needs!B29</f>
        <v/>
      </c>
      <c r="C30" s="13">
        <f>Needs!F29</f>
        <v/>
      </c>
      <c r="E30" s="13">
        <f>Needs!A29</f>
        <v/>
      </c>
      <c r="F30" s="13">
        <f>Needs!C29</f>
        <v/>
      </c>
      <c r="G30" s="13">
        <f>Needs!G29</f>
        <v/>
      </c>
      <c r="I30" s="13">
        <f>Needs!A29</f>
        <v/>
      </c>
      <c r="J30" s="13">
        <f>Needs!D29</f>
        <v/>
      </c>
      <c r="K30" s="13">
        <f>Needs!H29</f>
        <v/>
      </c>
    </row>
    <row r="31">
      <c r="A31" s="13">
        <f>Needs!A30</f>
        <v/>
      </c>
      <c r="B31" s="13">
        <f>Needs!B30</f>
        <v/>
      </c>
      <c r="C31" s="13">
        <f>Needs!F30</f>
        <v/>
      </c>
      <c r="E31" s="13">
        <f>Needs!A30</f>
        <v/>
      </c>
      <c r="F31" s="13">
        <f>Needs!C30</f>
        <v/>
      </c>
      <c r="G31" s="13">
        <f>Needs!G30</f>
        <v/>
      </c>
      <c r="I31" s="13">
        <f>Needs!A30</f>
        <v/>
      </c>
      <c r="J31" s="13">
        <f>Needs!D30</f>
        <v/>
      </c>
      <c r="K31" s="13">
        <f>Needs!H30</f>
        <v/>
      </c>
    </row>
    <row r="32">
      <c r="A32" s="13">
        <f>Needs!A31</f>
        <v/>
      </c>
      <c r="B32" s="13">
        <f>Needs!B31</f>
        <v/>
      </c>
      <c r="C32" s="13">
        <f>Needs!F31</f>
        <v/>
      </c>
      <c r="E32" s="13">
        <f>Needs!A31</f>
        <v/>
      </c>
      <c r="F32" s="13">
        <f>Needs!C31</f>
        <v/>
      </c>
      <c r="G32" s="13">
        <f>Needs!G31</f>
        <v/>
      </c>
      <c r="I32" s="13">
        <f>Needs!A31</f>
        <v/>
      </c>
      <c r="J32" s="13">
        <f>Needs!D31</f>
        <v/>
      </c>
      <c r="K32" s="13">
        <f>Needs!H31</f>
        <v/>
      </c>
    </row>
    <row r="33">
      <c r="A33" s="13">
        <f>Needs!A32</f>
        <v/>
      </c>
      <c r="B33" s="13">
        <f>Needs!B32</f>
        <v/>
      </c>
      <c r="C33" s="13">
        <f>Needs!F32</f>
        <v/>
      </c>
      <c r="E33" s="13">
        <f>Needs!A32</f>
        <v/>
      </c>
      <c r="F33" s="13">
        <f>Needs!C32</f>
        <v/>
      </c>
      <c r="G33" s="13">
        <f>Needs!G32</f>
        <v/>
      </c>
      <c r="I33" s="13">
        <f>Needs!A32</f>
        <v/>
      </c>
      <c r="J33" s="13">
        <f>Needs!D32</f>
        <v/>
      </c>
      <c r="K33" s="13">
        <f>Needs!H32</f>
        <v/>
      </c>
    </row>
    <row r="34">
      <c r="A34" s="13">
        <f>Needs!A33</f>
        <v/>
      </c>
      <c r="B34" s="13">
        <f>Needs!B33</f>
        <v/>
      </c>
      <c r="C34" s="13">
        <f>Needs!F33</f>
        <v/>
      </c>
      <c r="E34" s="13">
        <f>Needs!A33</f>
        <v/>
      </c>
      <c r="F34" s="13">
        <f>Needs!C33</f>
        <v/>
      </c>
      <c r="G34" s="13">
        <f>Needs!G33</f>
        <v/>
      </c>
      <c r="I34" s="13">
        <f>Needs!A33</f>
        <v/>
      </c>
      <c r="J34" s="13">
        <f>Needs!D33</f>
        <v/>
      </c>
      <c r="K34" s="13">
        <f>Needs!H33</f>
        <v/>
      </c>
    </row>
    <row r="35">
      <c r="A35" s="13">
        <f>Needs!A34</f>
        <v/>
      </c>
      <c r="B35" s="13">
        <f>Needs!B34</f>
        <v/>
      </c>
      <c r="C35" s="13">
        <f>Needs!F34</f>
        <v/>
      </c>
      <c r="E35" s="13">
        <f>Needs!A34</f>
        <v/>
      </c>
      <c r="F35" s="13">
        <f>Needs!C34</f>
        <v/>
      </c>
      <c r="G35" s="13">
        <f>Needs!G34</f>
        <v/>
      </c>
      <c r="I35" s="13">
        <f>Needs!A34</f>
        <v/>
      </c>
      <c r="J35" s="13">
        <f>Needs!D34</f>
        <v/>
      </c>
      <c r="K35" s="13">
        <f>Needs!H34</f>
        <v/>
      </c>
    </row>
    <row r="36">
      <c r="A36" s="26">
        <f>Needs!A35</f>
        <v/>
      </c>
      <c r="B36" s="13">
        <f>Needs!B35</f>
        <v/>
      </c>
      <c r="C36" s="13">
        <f>Needs!F35</f>
        <v/>
      </c>
      <c r="E36" s="26">
        <f>Needs!A35</f>
        <v/>
      </c>
      <c r="F36" s="13">
        <f>Needs!C35</f>
        <v/>
      </c>
      <c r="G36" s="13">
        <f>Needs!G35</f>
        <v/>
      </c>
      <c r="I36" s="26">
        <f>Needs!A35</f>
        <v/>
      </c>
      <c r="J36" s="13">
        <f>Needs!D35</f>
        <v/>
      </c>
      <c r="K36" s="13">
        <f>Needs!H35</f>
        <v/>
      </c>
    </row>
    <row r="37">
      <c r="A37" s="26">
        <f>Needs!A36</f>
        <v/>
      </c>
      <c r="B37" s="13">
        <f>Needs!B36</f>
        <v/>
      </c>
      <c r="C37" s="13">
        <f>Needs!F36</f>
        <v/>
      </c>
      <c r="E37" s="26">
        <f>Needs!A36</f>
        <v/>
      </c>
      <c r="F37" s="13">
        <f>Needs!C36</f>
        <v/>
      </c>
      <c r="G37" s="13">
        <f>Needs!G36</f>
        <v/>
      </c>
      <c r="I37" s="26">
        <f>Needs!A36</f>
        <v/>
      </c>
      <c r="J37" s="13">
        <f>Needs!D36</f>
        <v/>
      </c>
      <c r="K37" s="13">
        <f>Needs!H36</f>
        <v/>
      </c>
    </row>
    <row r="38">
      <c r="A38" s="26">
        <f>Needs!A37</f>
        <v/>
      </c>
      <c r="B38" s="13">
        <f>Needs!B37</f>
        <v/>
      </c>
      <c r="C38" s="13">
        <f>Needs!F37</f>
        <v/>
      </c>
      <c r="E38" s="26">
        <f>Needs!A37</f>
        <v/>
      </c>
      <c r="F38" s="13">
        <f>Needs!C37</f>
        <v/>
      </c>
      <c r="G38" s="13">
        <f>Needs!G37</f>
        <v/>
      </c>
      <c r="I38" s="26">
        <f>Needs!A37</f>
        <v/>
      </c>
      <c r="J38" s="13">
        <f>Needs!D37</f>
        <v/>
      </c>
      <c r="K38" s="13">
        <f>Needs!H37</f>
        <v/>
      </c>
    </row>
    <row r="39">
      <c r="A39" s="26">
        <f>Needs!A38</f>
        <v/>
      </c>
      <c r="B39" s="13">
        <f>Needs!B38</f>
        <v/>
      </c>
      <c r="C39" s="13">
        <f>Needs!F38</f>
        <v/>
      </c>
      <c r="E39" s="26">
        <f>Needs!A38</f>
        <v/>
      </c>
      <c r="F39" s="13">
        <f>Needs!C38</f>
        <v/>
      </c>
      <c r="G39" s="13">
        <f>Needs!G38</f>
        <v/>
      </c>
      <c r="I39" s="26">
        <f>Needs!A38</f>
        <v/>
      </c>
      <c r="J39" s="13">
        <f>Needs!D38</f>
        <v/>
      </c>
      <c r="K39" s="13">
        <f>Needs!H38</f>
        <v/>
      </c>
    </row>
    <row r="40">
      <c r="A40" s="26">
        <f>Needs!A39</f>
        <v/>
      </c>
      <c r="B40" s="13">
        <f>Needs!B39</f>
        <v/>
      </c>
      <c r="C40" s="13">
        <f>Needs!F39</f>
        <v/>
      </c>
      <c r="E40" s="26">
        <f>Needs!A39</f>
        <v/>
      </c>
      <c r="F40" s="13">
        <f>Needs!C39</f>
        <v/>
      </c>
      <c r="G40" s="13">
        <f>Needs!G39</f>
        <v/>
      </c>
      <c r="I40" s="26">
        <f>Needs!A39</f>
        <v/>
      </c>
      <c r="J40" s="13">
        <f>Needs!D39</f>
        <v/>
      </c>
      <c r="K40" s="13">
        <f>Needs!H39</f>
        <v/>
      </c>
    </row>
    <row r="41">
      <c r="A41" s="26">
        <f>Needs!A40</f>
        <v/>
      </c>
      <c r="B41" s="13">
        <f>Needs!B40</f>
        <v/>
      </c>
      <c r="C41" s="13">
        <f>Needs!F40</f>
        <v/>
      </c>
      <c r="E41" s="26">
        <f>Needs!A40</f>
        <v/>
      </c>
      <c r="F41" s="13">
        <f>Needs!C40</f>
        <v/>
      </c>
      <c r="G41" s="13">
        <f>Needs!G40</f>
        <v/>
      </c>
      <c r="I41" s="26">
        <f>Needs!A40</f>
        <v/>
      </c>
      <c r="J41" s="13">
        <f>Needs!D40</f>
        <v/>
      </c>
      <c r="K41" s="13">
        <f>Needs!H40</f>
        <v/>
      </c>
    </row>
  </sheetData>
  <conditionalFormatting sqref="B6:B41">
    <cfRule type="colorScale" priority="3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C1:C1048576 G1:G1048576 K1:K1048576">
    <cfRule type="containsText" priority="4" operator="containsText" dxfId="1" text="IMPORTANT">
      <formula>NOT(ISERROR(SEARCH("IMPORTANT",C1)))</formula>
    </cfRule>
    <cfRule type="containsText" priority="5" operator="containsText" dxfId="0" text="CAUTION">
      <formula>NOT(ISERROR(SEARCH("CAUTION",C1)))</formula>
    </cfRule>
  </conditionalFormatting>
  <conditionalFormatting sqref="F6:F41">
    <cfRule type="colorScale" priority="1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J6:J41">
    <cfRule type="colorScale" priority="2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D20" sqref="D20"/>
    </sheetView>
  </sheetViews>
  <sheetFormatPr baseColWidth="8" defaultRowHeight="14.5"/>
  <cols>
    <col width="14" customWidth="1" style="146" min="1" max="1"/>
    <col width="16" customWidth="1" style="146" min="2" max="5"/>
    <col width="12" customWidth="1" style="146" min="6" max="6"/>
    <col width="40" customWidth="1" style="146" min="7" max="7"/>
    <col width="12" customWidth="1" style="146" min="8" max="8"/>
  </cols>
  <sheetData>
    <row r="1" ht="18.5" customHeight="1" s="146">
      <c r="A1" s="4" t="inlineStr">
        <is>
          <t>Growth Room vs Classmates (1–5 scores)</t>
        </is>
      </c>
    </row>
    <row r="2">
      <c r="A2" s="1" t="inlineStr">
        <is>
          <t>Gap index = Attractiveness + Serveability − Crowding (higher = more room for growth). Yellow = inputs.</t>
        </is>
      </c>
    </row>
    <row r="4" ht="29" customHeight="1" s="146">
      <c r="A4" s="2" t="inlineStr">
        <is>
          <t>Segment</t>
        </is>
      </c>
      <c r="B4" s="2" t="inlineStr">
        <is>
          <t>City / Channel</t>
        </is>
      </c>
      <c r="C4" s="2" t="inlineStr">
        <is>
          <t>Attractiveness (1–5)</t>
        </is>
      </c>
      <c r="D4" s="2" t="inlineStr">
        <is>
          <t>Expected crowding (1–5)</t>
        </is>
      </c>
      <c r="E4" s="2" t="inlineStr">
        <is>
          <t>Our serveability (1–5)</t>
        </is>
      </c>
      <c r="F4" s="2" t="inlineStr">
        <is>
          <t>Gap index</t>
        </is>
      </c>
      <c r="G4" s="2" t="inlineStr">
        <is>
          <t>Why peers may leave it</t>
        </is>
      </c>
      <c r="H4" s="2" t="inlineStr">
        <is>
          <t>Priority (H/M/L)</t>
        </is>
      </c>
    </row>
    <row r="5">
      <c r="A5" s="7" t="inlineStr">
        <is>
          <t>Recreation</t>
        </is>
      </c>
      <c r="B5" s="7" t="inlineStr">
        <is>
          <t>New York</t>
        </is>
      </c>
      <c r="C5" s="6" t="n"/>
      <c r="D5" s="6" t="n"/>
      <c r="E5" s="6" t="n"/>
      <c r="F5" s="7">
        <f>IF(COUNT(C5:E5)&lt;3,"",C5+E5-D5)</f>
        <v/>
      </c>
      <c r="G5" s="5" t="n"/>
      <c r="H5" s="6" t="n"/>
    </row>
    <row r="6">
      <c r="A6" s="7" t="inlineStr">
        <is>
          <t>Recreation</t>
        </is>
      </c>
      <c r="B6" s="7" t="inlineStr">
        <is>
          <t>Amsterdam</t>
        </is>
      </c>
      <c r="C6" s="6" t="n"/>
      <c r="D6" s="6" t="n"/>
      <c r="E6" s="6" t="n"/>
      <c r="F6" s="7">
        <f>IF(COUNT(C6:E6)&lt;3,"",C6+E6-D6)</f>
        <v/>
      </c>
      <c r="G6" s="5" t="n"/>
      <c r="H6" s="6" t="n"/>
    </row>
    <row r="7">
      <c r="A7" s="7" t="inlineStr">
        <is>
          <t>Recreation</t>
        </is>
      </c>
      <c r="B7" s="7" t="inlineStr">
        <is>
          <t>Rio de Janeiro</t>
        </is>
      </c>
      <c r="C7" s="6" t="n"/>
      <c r="D7" s="6" t="n"/>
      <c r="E7" s="6" t="n"/>
      <c r="F7" s="7">
        <f>IF(COUNT(C7:E7)&lt;3,"",C7+E7-D7)</f>
        <v/>
      </c>
      <c r="G7" s="5" t="n"/>
      <c r="H7" s="6" t="n"/>
    </row>
    <row r="8">
      <c r="A8" s="7" t="inlineStr">
        <is>
          <t>Recreation</t>
        </is>
      </c>
      <c r="B8" s="7" t="inlineStr">
        <is>
          <t>Bangalore</t>
        </is>
      </c>
      <c r="C8" s="6" t="n"/>
      <c r="D8" s="6" t="n"/>
      <c r="E8" s="6" t="n"/>
      <c r="F8" s="7">
        <f>IF(COUNT(C8:E8)&lt;3,"",C8+E8-D8)</f>
        <v/>
      </c>
      <c r="G8" s="5" t="n"/>
      <c r="H8" s="6" t="n"/>
    </row>
    <row r="9">
      <c r="A9" s="7" t="inlineStr">
        <is>
          <t>Recreation</t>
        </is>
      </c>
      <c r="B9" s="7" t="inlineStr">
        <is>
          <t>Web</t>
        </is>
      </c>
      <c r="C9" s="6" t="n"/>
      <c r="D9" s="6" t="n"/>
      <c r="E9" s="6" t="n"/>
      <c r="F9" s="7">
        <f>IF(COUNT(C9:E9)&lt;3,"",C9+E9-D9)</f>
        <v/>
      </c>
      <c r="G9" s="5" t="n"/>
      <c r="H9" s="6" t="n"/>
    </row>
    <row r="10">
      <c r="A10" s="7" t="inlineStr">
        <is>
          <t>Mountain</t>
        </is>
      </c>
      <c r="B10" s="7" t="inlineStr">
        <is>
          <t>New York</t>
        </is>
      </c>
      <c r="C10" s="6" t="n"/>
      <c r="D10" s="6" t="n"/>
      <c r="E10" s="6" t="n"/>
      <c r="F10" s="7">
        <f>IF(COUNT(C10:E10)&lt;3,"",C10+E10-D10)</f>
        <v/>
      </c>
      <c r="G10" s="5" t="n"/>
      <c r="H10" s="6" t="n"/>
    </row>
    <row r="11">
      <c r="A11" s="7" t="inlineStr">
        <is>
          <t>Mountain</t>
        </is>
      </c>
      <c r="B11" s="7" t="inlineStr">
        <is>
          <t>Amsterdam</t>
        </is>
      </c>
      <c r="C11" s="6" t="n">
        <v>5</v>
      </c>
      <c r="D11" s="6" t="n"/>
      <c r="E11" s="6" t="n"/>
      <c r="F11" s="7">
        <f>IF(COUNT(C11:E11)&lt;3,"",C11+E11-D11)</f>
        <v/>
      </c>
      <c r="G11" s="5" t="n"/>
      <c r="H11" s="6" t="n"/>
    </row>
    <row r="12">
      <c r="A12" s="7" t="inlineStr">
        <is>
          <t>Mountain</t>
        </is>
      </c>
      <c r="B12" s="7" t="inlineStr">
        <is>
          <t>Rio de Janeiro</t>
        </is>
      </c>
      <c r="C12" s="6" t="n"/>
      <c r="D12" s="6" t="n"/>
      <c r="E12" s="6" t="n"/>
      <c r="F12" s="7">
        <f>IF(COUNT(C12:E12)&lt;3,"",C12+E12-D12)</f>
        <v/>
      </c>
      <c r="G12" s="5" t="n"/>
      <c r="H12" s="6" t="n"/>
    </row>
    <row r="13">
      <c r="A13" s="7" t="inlineStr">
        <is>
          <t>Mountain</t>
        </is>
      </c>
      <c r="B13" s="7" t="inlineStr">
        <is>
          <t>Bangalore</t>
        </is>
      </c>
      <c r="C13" s="6" t="n"/>
      <c r="D13" s="6" t="n"/>
      <c r="E13" s="6" t="n"/>
      <c r="F13" s="7">
        <f>IF(COUNT(C13:E13)&lt;3,"",C13+E13-D13)</f>
        <v/>
      </c>
      <c r="G13" s="5" t="n"/>
      <c r="H13" s="6" t="n"/>
    </row>
    <row r="14">
      <c r="A14" s="7" t="inlineStr">
        <is>
          <t>Mountain</t>
        </is>
      </c>
      <c r="B14" s="7" t="inlineStr">
        <is>
          <t>Web</t>
        </is>
      </c>
      <c r="C14" s="6" t="n">
        <v>5</v>
      </c>
      <c r="D14" s="6" t="n"/>
      <c r="E14" s="6" t="n"/>
      <c r="F14" s="7">
        <f>IF(COUNT(C14:E14)&lt;3,"",C14+E14-D14)</f>
        <v/>
      </c>
      <c r="G14" s="5" t="n"/>
      <c r="H14" s="6" t="n"/>
    </row>
    <row r="15">
      <c r="A15" s="7" t="inlineStr">
        <is>
          <t>Speed</t>
        </is>
      </c>
      <c r="B15" s="7" t="inlineStr">
        <is>
          <t>New York</t>
        </is>
      </c>
      <c r="C15" s="6" t="n"/>
      <c r="D15" s="6" t="n"/>
      <c r="E15" s="6" t="n"/>
      <c r="F15" s="7">
        <f>IF(COUNT(C15:E15)&lt;3,"",C15+E15-D15)</f>
        <v/>
      </c>
      <c r="G15" s="5" t="n"/>
      <c r="H15" s="6" t="n"/>
    </row>
    <row r="16">
      <c r="A16" s="7" t="inlineStr">
        <is>
          <t>Speed</t>
        </is>
      </c>
      <c r="B16" s="7" t="inlineStr">
        <is>
          <t>Amsterdam</t>
        </is>
      </c>
      <c r="C16" s="6" t="n"/>
      <c r="D16" s="6" t="n"/>
      <c r="E16" s="6" t="n"/>
      <c r="F16" s="7">
        <f>IF(COUNT(C16:E16)&lt;3,"",C16+E16-D16)</f>
        <v/>
      </c>
      <c r="G16" s="5" t="n"/>
      <c r="H16" s="6" t="n"/>
    </row>
    <row r="17">
      <c r="A17" s="7" t="inlineStr">
        <is>
          <t>Speed</t>
        </is>
      </c>
      <c r="B17" s="7" t="inlineStr">
        <is>
          <t>Rio de Janeiro</t>
        </is>
      </c>
      <c r="C17" s="6" t="n"/>
      <c r="D17" s="6" t="n"/>
      <c r="E17" s="6" t="n"/>
      <c r="F17" s="7">
        <f>IF(COUNT(C17:E17)&lt;3,"",C17+E17-D17)</f>
        <v/>
      </c>
      <c r="G17" s="5" t="n"/>
      <c r="H17" s="6" t="n"/>
    </row>
    <row r="18">
      <c r="A18" s="7" t="inlineStr">
        <is>
          <t>Speed</t>
        </is>
      </c>
      <c r="B18" s="7" t="inlineStr">
        <is>
          <t>Bangalore</t>
        </is>
      </c>
      <c r="C18" s="6" t="n"/>
      <c r="D18" s="6" t="n"/>
      <c r="E18" s="6" t="n"/>
      <c r="F18" s="7">
        <f>IF(COUNT(C18:E18)&lt;3,"",C18+E18-D18)</f>
        <v/>
      </c>
      <c r="G18" s="5" t="n"/>
      <c r="H18" s="6" t="n"/>
    </row>
    <row r="19">
      <c r="A19" s="7" t="inlineStr">
        <is>
          <t>Speed</t>
        </is>
      </c>
      <c r="B19" s="7" t="inlineStr">
        <is>
          <t>Web</t>
        </is>
      </c>
      <c r="C19" s="6" t="n"/>
      <c r="D19" s="6" t="n"/>
      <c r="E19" s="6" t="n"/>
      <c r="F19" s="7">
        <f>IF(COUNT(C19:E19)&lt;3,"",C19+E19-D19)</f>
        <v/>
      </c>
      <c r="G19" s="5" t="n"/>
      <c r="H19" s="6" t="n"/>
    </row>
  </sheetData>
  <dataValidations count="1">
    <dataValidation sqref="C5:E19" showDropDown="0" showInputMessage="0" showErrorMessage="0" allowBlank="1" errorTitle="Invalid score" error="Enter 1–5" type="whole">
      <formula1>1</formula1>
      <formula2>5</formula2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4.5"/>
  <cols>
    <col width="18" customWidth="1" style="146" min="1" max="1"/>
    <col width="10" customWidth="1" style="146" min="2" max="2"/>
    <col width="16" customWidth="1" style="146" min="3" max="3"/>
    <col width="18" customWidth="1" style="146" min="4" max="4"/>
    <col width="22" customWidth="1" style="146" min="5" max="5"/>
    <col width="20" customWidth="1" style="146" min="6" max="6"/>
    <col width="14" customWidth="1" style="146" min="7" max="7"/>
    <col width="18" customWidth="1" style="146" min="8" max="8"/>
    <col width="28" customWidth="1" style="146" min="9" max="10"/>
  </cols>
  <sheetData>
    <row r="1" ht="18.5" customHeight="1" s="146">
      <c r="A1" s="4" t="inlineStr">
        <is>
          <t>Competitor (Classmate) Tracker</t>
        </is>
      </c>
    </row>
    <row r="2">
      <c r="A2" s="1" t="inlineStr">
        <is>
          <t>Q2+: enter firm names and metrics from results / purchased research. Competitor-first buy priority.</t>
        </is>
      </c>
    </row>
    <row r="4" ht="29" customHeight="1" s="146">
      <c r="A4" s="2" t="inlineStr">
        <is>
          <t>Firm</t>
        </is>
      </c>
      <c r="B4" s="2" t="inlineStr">
        <is>
          <t>Quarter</t>
        </is>
      </c>
      <c r="C4" s="2" t="inlineStr">
        <is>
          <t>Segments</t>
        </is>
      </c>
      <c r="D4" s="2" t="inlineStr">
        <is>
          <t>Cities / Web</t>
        </is>
      </c>
      <c r="E4" s="2" t="inlineStr">
        <is>
          <t>Brand Judgment notes</t>
        </is>
      </c>
      <c r="F4" s="2" t="inlineStr">
        <is>
          <t>Ad Judgment notes</t>
        </is>
      </c>
      <c r="G4" s="2" t="inlineStr">
        <is>
          <t>Price posture</t>
        </is>
      </c>
      <c r="H4" s="2" t="inlineStr">
        <is>
          <t>Share / demand served</t>
        </is>
      </c>
      <c r="I4" s="2" t="inlineStr">
        <is>
          <t>Weakness / gap for us</t>
        </is>
      </c>
      <c r="J4" s="2" t="inlineStr">
        <is>
          <t>Our response</t>
        </is>
      </c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</row>
    <row r="27">
      <c r="A27" s="14" t="inlineStr">
        <is>
          <t>Research purchase log (competitor-first)</t>
        </is>
      </c>
    </row>
    <row r="28" ht="29" customHeight="1" s="146">
      <c r="A28" s="2" t="inlineStr">
        <is>
          <t>Quarter</t>
        </is>
      </c>
      <c r="B28" s="2" t="inlineStr">
        <is>
          <t>Report bought</t>
        </is>
      </c>
      <c r="C28" s="2" t="inlineStr">
        <is>
          <t>Cost</t>
        </is>
      </c>
      <c r="D28" s="2" t="inlineStr">
        <is>
          <t>Key competitor insight</t>
        </is>
      </c>
      <c r="E28" s="2" t="inlineStr">
        <is>
          <t>Action</t>
        </is>
      </c>
    </row>
    <row r="29">
      <c r="A29" s="11" t="n"/>
      <c r="B29" s="11" t="n"/>
      <c r="C29" s="11" t="n"/>
      <c r="D29" s="11" t="n"/>
      <c r="E29" s="11" t="n"/>
    </row>
    <row r="30">
      <c r="A30" s="11" t="n"/>
      <c r="B30" s="11" t="n"/>
      <c r="C30" s="11" t="n"/>
      <c r="D30" s="11" t="n"/>
      <c r="E30" s="11" t="n"/>
    </row>
    <row r="31">
      <c r="A31" s="11" t="n"/>
      <c r="B31" s="11" t="n"/>
      <c r="C31" s="11" t="n"/>
      <c r="D31" s="11" t="n"/>
      <c r="E31" s="11" t="n"/>
    </row>
    <row r="32">
      <c r="A32" s="11" t="n"/>
      <c r="B32" s="11" t="n"/>
      <c r="C32" s="11" t="n"/>
      <c r="D32" s="11" t="n"/>
      <c r="E32" s="11" t="n"/>
    </row>
    <row r="33">
      <c r="A33" s="11" t="n"/>
      <c r="B33" s="11" t="n"/>
      <c r="C33" s="11" t="n"/>
      <c r="D33" s="11" t="n"/>
      <c r="E33" s="11" t="n"/>
    </row>
    <row r="34">
      <c r="A34" s="11" t="n"/>
      <c r="B34" s="11" t="n"/>
      <c r="C34" s="11" t="n"/>
      <c r="D34" s="11" t="n"/>
      <c r="E34" s="11" t="n"/>
    </row>
    <row r="35">
      <c r="A35" s="11" t="n"/>
      <c r="B35" s="11" t="n"/>
      <c r="C35" s="11" t="n"/>
      <c r="D35" s="11" t="n"/>
      <c r="E35" s="11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59"/>
  <sheetViews>
    <sheetView tabSelected="1" topLeftCell="A31" zoomScale="115" zoomScaleNormal="115" workbookViewId="0">
      <selection activeCell="B41" sqref="B41"/>
    </sheetView>
  </sheetViews>
  <sheetFormatPr baseColWidth="8" defaultRowHeight="14.5"/>
  <cols>
    <col width="47.7265625" customWidth="1" style="146" min="1" max="1"/>
    <col width="14" customWidth="1" style="146" min="2" max="2"/>
    <col width="12" customWidth="1" style="146" min="3" max="4"/>
    <col width="36" customWidth="1" style="146" min="5" max="5"/>
    <col width="18" customWidth="1" style="146" min="6" max="6"/>
    <col width="10" customWidth="1" style="146" min="7" max="7"/>
    <col width="14" customWidth="1" style="146" min="8" max="8"/>
    <col width="12" customWidth="1" style="146" min="9" max="10"/>
  </cols>
  <sheetData>
    <row r="1" ht="18.5" customHeight="1" s="146">
      <c r="A1" s="67" t="inlineStr">
        <is>
          <t>Compensation &amp; Productivity Planner (Q2)</t>
        </is>
      </c>
    </row>
    <row r="2">
      <c r="A2" s="35" t="inlineStr">
        <is>
          <t>Team goal: pay ABOVE average. Set OUR planning weights (F68:F71); Score mode B73 = Our|Industry. History + charts track changes over quarters. Detail: compensation-background.md</t>
        </is>
      </c>
    </row>
    <row r="3">
      <c r="A3" t="inlineStr">
        <is>
          <t>Projected productivity starts ~70%. Last-quarter industry averages appear from Q3. Yellow = our decisions (not locked).</t>
        </is>
      </c>
    </row>
    <row r="4">
      <c r="A4" s="43" t="inlineStr">
        <is>
          <t>Sales people</t>
        </is>
      </c>
    </row>
    <row r="5" ht="58" customHeight="1" s="146">
      <c r="A5" s="29" t="inlineStr">
        <is>
          <t>Component</t>
        </is>
      </c>
      <c r="B5" s="29" t="inlineStr">
        <is>
          <t>Industry setting</t>
        </is>
      </c>
      <c r="C5" s="29" t="inlineStr">
        <is>
          <t>Cost</t>
        </is>
      </c>
      <c r="D5" s="29" t="inlineStr">
        <is>
          <t>Importance of further improvement</t>
        </is>
      </c>
    </row>
    <row r="6">
      <c r="A6" s="31" t="inlineStr">
        <is>
          <t>Salary</t>
        </is>
      </c>
      <c r="B6" s="31" t="n">
        <v>17000</v>
      </c>
      <c r="C6" s="31" t="n">
        <v>17000</v>
      </c>
      <c r="D6" s="31" t="n">
        <v>87</v>
      </c>
    </row>
    <row r="7">
      <c r="A7" s="31" t="inlineStr">
        <is>
          <t>Health benefits</t>
        </is>
      </c>
      <c r="B7" s="31" t="inlineStr">
        <is>
          <t>Minimum</t>
        </is>
      </c>
      <c r="C7" s="31" t="n">
        <v>1700</v>
      </c>
      <c r="D7" s="31" t="n">
        <v>84</v>
      </c>
    </row>
    <row r="8">
      <c r="A8" s="31" t="inlineStr">
        <is>
          <t>Vacation</t>
        </is>
      </c>
      <c r="B8" s="31" t="inlineStr">
        <is>
          <t>1 week</t>
        </is>
      </c>
      <c r="C8" s="31" t="n">
        <v>440</v>
      </c>
      <c r="D8" s="31" t="n">
        <v>72</v>
      </c>
    </row>
    <row r="9">
      <c r="A9" s="31" t="inlineStr">
        <is>
          <t>Pension</t>
        </is>
      </c>
      <c r="B9" s="31" t="inlineStr">
        <is>
          <t>1%</t>
        </is>
      </c>
      <c r="C9" s="31" t="n">
        <v>170</v>
      </c>
      <c r="D9" s="31" t="n">
        <v>70</v>
      </c>
    </row>
    <row r="10">
      <c r="A10" s="44" t="inlineStr">
        <is>
          <t>TOTAL yearly cost</t>
        </is>
      </c>
      <c r="B10" s="44" t="n"/>
      <c r="C10" s="44" t="n">
        <v>19310</v>
      </c>
      <c r="D10" s="44" t="n"/>
    </row>
    <row r="13">
      <c r="A13" s="43" t="inlineStr">
        <is>
          <t>Production workers</t>
        </is>
      </c>
    </row>
    <row r="14" ht="58" customHeight="1" s="146">
      <c r="A14" s="29" t="inlineStr">
        <is>
          <t>Component</t>
        </is>
      </c>
      <c r="B14" s="29" t="inlineStr">
        <is>
          <t>Industry setting</t>
        </is>
      </c>
      <c r="C14" s="29" t="inlineStr">
        <is>
          <t>Cost</t>
        </is>
      </c>
      <c r="D14" s="29" t="inlineStr">
        <is>
          <t>Importance of further improvement</t>
        </is>
      </c>
    </row>
    <row r="15">
      <c r="A15" s="31" t="inlineStr">
        <is>
          <t>Salary</t>
        </is>
      </c>
      <c r="B15" s="31" t="n">
        <v>14000</v>
      </c>
      <c r="C15" s="31" t="n">
        <v>14000</v>
      </c>
      <c r="D15" s="31" t="n">
        <v>87</v>
      </c>
    </row>
    <row r="16">
      <c r="A16" s="31" t="inlineStr">
        <is>
          <t>Health benefits</t>
        </is>
      </c>
      <c r="B16" s="31" t="inlineStr">
        <is>
          <t>Minimum</t>
        </is>
      </c>
      <c r="C16" s="31" t="n">
        <v>1400</v>
      </c>
      <c r="D16" s="31" t="n">
        <v>84</v>
      </c>
    </row>
    <row r="17">
      <c r="A17" s="31" t="inlineStr">
        <is>
          <t>Vacation</t>
        </is>
      </c>
      <c r="B17" s="31" t="inlineStr">
        <is>
          <t>1 week</t>
        </is>
      </c>
      <c r="C17" s="31" t="n">
        <v>363</v>
      </c>
      <c r="D17" s="31" t="n">
        <v>72</v>
      </c>
    </row>
    <row r="18">
      <c r="A18" s="31" t="inlineStr">
        <is>
          <t>Pension</t>
        </is>
      </c>
      <c r="B18" s="31" t="inlineStr">
        <is>
          <t>2%</t>
        </is>
      </c>
      <c r="C18" s="31" t="n">
        <v>280</v>
      </c>
      <c r="D18" s="31" t="n">
        <v>70</v>
      </c>
    </row>
    <row r="19">
      <c r="A19" s="44" t="inlineStr">
        <is>
          <t>TOTAL yearly cost</t>
        </is>
      </c>
      <c r="B19" s="44" t="n"/>
      <c r="C19" s="44" t="n">
        <v>16043</v>
      </c>
      <c r="D19" s="44" t="n"/>
    </row>
    <row r="22">
      <c r="A22" s="64" t="inlineStr">
        <is>
          <t>Benefit cost menus — Sales (Workspace)</t>
        </is>
      </c>
    </row>
    <row r="23" ht="29" customHeight="1" s="146">
      <c r="A23" s="77" t="inlineStr">
        <is>
          <t>Health tier</t>
        </is>
      </c>
      <c r="B23" s="77" t="inlineStr">
        <is>
          <t>Cost</t>
        </is>
      </c>
      <c r="C23" s="77" t="inlineStr">
        <is>
          <t>Vacation weeks</t>
        </is>
      </c>
      <c r="D23" s="77" t="inlineStr">
        <is>
          <t>Cost</t>
        </is>
      </c>
      <c r="E23" s="29" t="inlineStr">
        <is>
          <t>Pension</t>
        </is>
      </c>
      <c r="F23" s="29" t="inlineStr">
        <is>
          <t>Total cost</t>
        </is>
      </c>
      <c r="G23" s="29" t="inlineStr">
        <is>
          <t>vs Industry</t>
        </is>
      </c>
    </row>
    <row r="24">
      <c r="A24" s="75" t="inlineStr">
        <is>
          <t>No health benefits</t>
        </is>
      </c>
      <c r="B24" s="78" t="n">
        <v>0</v>
      </c>
      <c r="C24" s="79" t="n">
        <v>0</v>
      </c>
      <c r="D24" s="78" t="n">
        <v>0</v>
      </c>
      <c r="E24" s="42" t="n"/>
      <c r="F24" s="42" t="n"/>
      <c r="G24" s="42" t="n"/>
    </row>
    <row r="25">
      <c r="A25" s="75" t="inlineStr">
        <is>
          <t>Minimum</t>
        </is>
      </c>
      <c r="B25" s="78" t="n">
        <v>1700</v>
      </c>
      <c r="C25" s="79" t="n">
        <v>1</v>
      </c>
      <c r="D25" s="78" t="n">
        <v>440</v>
      </c>
      <c r="E25" s="42" t="n"/>
      <c r="F25" s="42" t="n"/>
      <c r="G25" s="42" t="n"/>
    </row>
    <row r="26">
      <c r="A26" s="75" t="inlineStr">
        <is>
          <t>Expanded</t>
        </is>
      </c>
      <c r="B26" s="70" t="n">
        <v>2550</v>
      </c>
      <c r="C26" s="75" t="n">
        <v>2</v>
      </c>
      <c r="D26" s="70" t="n">
        <v>944</v>
      </c>
    </row>
    <row r="27">
      <c r="A27" s="75" t="inlineStr">
        <is>
          <t>Full coverage</t>
        </is>
      </c>
      <c r="B27" s="70" t="n">
        <v>3740</v>
      </c>
      <c r="C27" s="75" t="n">
        <v>3</v>
      </c>
      <c r="D27" s="70" t="n">
        <v>1475</v>
      </c>
    </row>
    <row r="28">
      <c r="A28" s="75" t="inlineStr">
        <is>
          <t>Comprehensive</t>
        </is>
      </c>
      <c r="B28" s="70" t="n">
        <v>5610</v>
      </c>
      <c r="C28" s="75" t="n">
        <v>4</v>
      </c>
      <c r="D28" s="70" t="n">
        <v>2024</v>
      </c>
    </row>
    <row r="29">
      <c r="C29" s="75" t="n">
        <v>5</v>
      </c>
      <c r="D29" s="70" t="n">
        <v>2587</v>
      </c>
    </row>
    <row r="30">
      <c r="C30" s="75" t="n">
        <v>6</v>
      </c>
      <c r="D30" s="70" t="n">
        <v>3161</v>
      </c>
    </row>
    <row r="31">
      <c r="C31" s="75" t="n">
        <v>7</v>
      </c>
      <c r="D31" s="70" t="n">
        <v>3745</v>
      </c>
    </row>
    <row r="33">
      <c r="A33" t="inlineStr">
        <is>
          <t>Note: Production health/vacation $ may differ — confirm in Workspace (Q1 ind. Min health $1,400 / 1 wk $363).</t>
        </is>
      </c>
    </row>
    <row r="34">
      <c r="A34" t="inlineStr">
        <is>
          <t>Pension cost = Salary × (Pension % / 100). Salary $ = cost $.</t>
        </is>
      </c>
    </row>
    <row r="36">
      <c r="A36" s="64" t="inlineStr">
        <is>
          <t>OUR SALES PACKAGE (interactive — yellow)</t>
        </is>
      </c>
    </row>
    <row r="37">
      <c r="A37" s="68" t="inlineStr">
        <is>
          <t>Metric</t>
        </is>
      </c>
      <c r="B37" s="68" t="inlineStr">
        <is>
          <t>Our choice</t>
        </is>
      </c>
      <c r="C37" s="68" t="inlineStr">
        <is>
          <t>Cost $</t>
        </is>
      </c>
      <c r="D37" s="68" t="inlineStr">
        <is>
          <t>Industry</t>
        </is>
      </c>
      <c r="E37" s="68" t="inlineStr">
        <is>
          <t>vs Industry $</t>
        </is>
      </c>
      <c r="F37" s="68" t="inlineStr">
        <is>
          <t>Importance</t>
        </is>
      </c>
    </row>
    <row r="38">
      <c r="A38" t="inlineStr">
        <is>
          <t>Annual salary</t>
        </is>
      </c>
      <c r="B38" s="158" t="n">
        <v>19000</v>
      </c>
      <c r="C38" s="71">
        <f>IF(B38="","",B38)</f>
        <v/>
      </c>
      <c r="D38" s="71" t="n">
        <v>17000</v>
      </c>
      <c r="E38" s="71">
        <f>IF(C38="","",C38-D38)</f>
        <v/>
      </c>
      <c r="F38" t="n">
        <v>87</v>
      </c>
    </row>
    <row r="39">
      <c r="A39" t="inlineStr">
        <is>
          <t>Health (type tier name or paste cost)</t>
        </is>
      </c>
      <c r="B39" s="159" t="inlineStr">
        <is>
          <t>Full coverage</t>
        </is>
      </c>
      <c r="C39" s="158" t="n">
        <v>4180</v>
      </c>
      <c r="D39" s="71" t="n">
        <v>1700</v>
      </c>
      <c r="E39" s="71">
        <f>IF(C39="","",C39-D39)</f>
        <v/>
      </c>
      <c r="F39" t="n">
        <v>84</v>
      </c>
    </row>
    <row r="40">
      <c r="A40" t="inlineStr">
        <is>
          <t>Vacation weeks</t>
        </is>
      </c>
      <c r="B40" s="159" t="n">
        <v>2</v>
      </c>
      <c r="C40" s="158" t="n">
        <v>1055</v>
      </c>
      <c r="D40" s="71" t="n">
        <v>440</v>
      </c>
      <c r="E40" s="71">
        <f>IF(C40="","",C40-D40)</f>
        <v/>
      </c>
      <c r="F40" t="n">
        <v>72</v>
      </c>
    </row>
    <row r="41">
      <c r="A41" t="inlineStr">
        <is>
          <t>Pension %</t>
        </is>
      </c>
      <c r="B41" s="160" t="n">
        <v>1</v>
      </c>
      <c r="C41" s="71">
        <f>IF(OR(B38="",B41=""),"",B38*B41/100)</f>
        <v/>
      </c>
      <c r="D41" s="71" t="n">
        <v>170</v>
      </c>
      <c r="E41" s="71">
        <f>IF(C41="","",C41-D41)</f>
        <v/>
      </c>
      <c r="F41" t="n">
        <v>70</v>
      </c>
    </row>
    <row r="42">
      <c r="A42" s="81" t="inlineStr">
        <is>
          <t>TOTAL yearly cost / person</t>
        </is>
      </c>
      <c r="C42" s="82">
        <f>IF(COUNT(C38:C41)&lt;1,"",SUM(C38:C41))</f>
        <v/>
      </c>
      <c r="D42" s="71" t="n">
        <v>19310</v>
      </c>
      <c r="E42" s="83">
        <f>IF(C42="","",C42-D42)</f>
        <v/>
      </c>
    </row>
    <row r="43">
      <c r="A43" t="inlineStr">
        <is>
          <t>Estimated sales productivity %</t>
        </is>
      </c>
      <c r="B43" s="161" t="n">
        <v>0.85</v>
      </c>
      <c r="C43" t="inlineStr">
        <is>
          <t>LOCKED Q2 — World Market / sales force; productivity 85%</t>
        </is>
      </c>
    </row>
    <row r="44">
      <c r="A44" t="inlineStr">
        <is>
          <t>Above industry total?</t>
        </is>
      </c>
      <c r="B44">
        <f>IF(C42="","",IF(C42&gt;D42,"YES — goal direction","NO — below/at industry"))</f>
        <v/>
      </c>
    </row>
    <row r="46">
      <c r="A46" s="64" t="inlineStr">
        <is>
          <t>OUR PRODUCTION PACKAGE (interactive — yellow)</t>
        </is>
      </c>
    </row>
    <row r="47">
      <c r="A47" s="68" t="inlineStr">
        <is>
          <t>Metric</t>
        </is>
      </c>
      <c r="B47" s="68" t="inlineStr">
        <is>
          <t>Our choice</t>
        </is>
      </c>
      <c r="C47" s="68" t="inlineStr">
        <is>
          <t>Cost $</t>
        </is>
      </c>
      <c r="D47" s="68" t="inlineStr">
        <is>
          <t>Industry</t>
        </is>
      </c>
      <c r="E47" s="68" t="inlineStr">
        <is>
          <t>vs Industry $</t>
        </is>
      </c>
      <c r="F47" s="68" t="inlineStr">
        <is>
          <t>Importance</t>
        </is>
      </c>
    </row>
    <row r="48">
      <c r="A48" t="inlineStr">
        <is>
          <t>Annual salary</t>
        </is>
      </c>
      <c r="B48" s="158" t="n">
        <v>16800</v>
      </c>
      <c r="C48" s="71">
        <f>IF(B48="","",B48)</f>
        <v/>
      </c>
      <c r="D48" s="71" t="n">
        <v>14000</v>
      </c>
      <c r="E48" s="71">
        <f>IF(C48="","",C48-D48)</f>
        <v/>
      </c>
      <c r="F48" t="n">
        <v>87</v>
      </c>
    </row>
    <row r="49">
      <c r="A49" t="inlineStr">
        <is>
          <t>Health cost (paste from Workspace)</t>
        </is>
      </c>
      <c r="B49" s="159" t="inlineStr">
        <is>
          <t>Expanded coverage</t>
        </is>
      </c>
      <c r="C49" s="158" t="n">
        <v>2520</v>
      </c>
      <c r="D49" s="71" t="n">
        <v>1400</v>
      </c>
      <c r="E49" s="71">
        <f>IF(C49="","",C49-D49)</f>
        <v/>
      </c>
      <c r="F49" t="n">
        <v>84</v>
      </c>
    </row>
    <row r="50">
      <c r="A50" t="inlineStr">
        <is>
          <t>Vacation weeks / cost</t>
        </is>
      </c>
      <c r="B50" s="159" t="n">
        <v>2</v>
      </c>
      <c r="C50" s="158" t="n">
        <v>933</v>
      </c>
      <c r="D50" s="71" t="n">
        <v>363</v>
      </c>
      <c r="E50" s="71">
        <f>IF(C50="","",C50-D50)</f>
        <v/>
      </c>
      <c r="F50" t="n">
        <v>72</v>
      </c>
    </row>
    <row r="51">
      <c r="A51" t="inlineStr">
        <is>
          <t>Pension %</t>
        </is>
      </c>
      <c r="B51" s="160" t="n">
        <v>3</v>
      </c>
      <c r="C51" s="71">
        <f>IF(OR(B48="",B51=""),"",B48*B51/100)</f>
        <v/>
      </c>
      <c r="D51" s="71" t="n">
        <v>280</v>
      </c>
      <c r="E51" s="71">
        <f>IF(C51="","",C51-D51)</f>
        <v/>
      </c>
      <c r="F51" t="n">
        <v>70</v>
      </c>
    </row>
    <row r="52">
      <c r="A52" s="81" t="inlineStr">
        <is>
          <t>TOTAL yearly cost / person</t>
        </is>
      </c>
      <c r="C52" s="82">
        <f>IF(COUNT(C48:C51)&lt;1,"",SUM(C48:C51))</f>
        <v/>
      </c>
      <c r="D52" s="71" t="n">
        <v>16043</v>
      </c>
      <c r="E52" s="83">
        <f>IF(C52="","",C52-D52)</f>
        <v/>
      </c>
    </row>
    <row r="53">
      <c r="A53" t="inlineStr">
        <is>
          <t>Estimated production productivity %</t>
        </is>
      </c>
      <c r="B53" s="161" t="n">
        <v>0.85</v>
      </c>
      <c r="C53" t="inlineStr">
        <is>
          <t>LOCKED Q2 — World Market / production; productivity 85% → Manufacturing!B30</t>
        </is>
      </c>
    </row>
    <row r="54">
      <c r="A54" t="inlineStr">
        <is>
          <t>Above industry total?</t>
        </is>
      </c>
      <c r="B54">
        <f>IF(C52="","",IF(C52&gt;D52,"YES — goal direction","NO — below/at industry"))</f>
        <v/>
      </c>
    </row>
    <row r="55">
      <c r="A55" t="inlineStr">
        <is>
          <t>Link tip</t>
        </is>
      </c>
      <c r="B55" t="inlineStr">
        <is>
          <t>When production productivity is set, copy to Manufacturing worker productivity (OC pad).</t>
        </is>
      </c>
    </row>
    <row r="57">
      <c r="A57" s="64" t="inlineStr">
        <is>
          <t>Scenario scratch (optional what-ifs)</t>
        </is>
      </c>
    </row>
    <row r="58">
      <c r="A58" s="68" t="inlineStr">
        <is>
          <t>Scenario name</t>
        </is>
      </c>
      <c r="B58" s="68" t="inlineStr">
        <is>
          <t>Role</t>
        </is>
      </c>
      <c r="C58" s="68" t="inlineStr">
        <is>
          <t>Total $/person</t>
        </is>
      </c>
      <c r="D58" s="68" t="inlineStr">
        <is>
          <t>Est. productivity %</t>
        </is>
      </c>
      <c r="E58" s="68" t="inlineStr">
        <is>
          <t>$ per productivity point</t>
        </is>
      </c>
      <c r="F58" s="68" t="inlineStr">
        <is>
          <t>Notes</t>
        </is>
      </c>
    </row>
    <row r="59">
      <c r="A59" s="72" t="n"/>
      <c r="B59" s="72" t="n"/>
      <c r="C59" s="72" t="n"/>
      <c r="D59" s="72" t="n"/>
      <c r="E59" s="72">
        <f>IF(OR(C59="",D59="",D59=0),"",C59/(D59*100))</f>
        <v/>
      </c>
      <c r="F59" s="72" t="n"/>
    </row>
    <row r="60">
      <c r="A60" s="72" t="n"/>
      <c r="B60" s="72" t="n"/>
      <c r="C60" s="72" t="n"/>
      <c r="D60" s="72" t="n"/>
      <c r="E60" s="72">
        <f>IF(OR(C60="",D60="",D60=0),"",C60/(D60*100))</f>
        <v/>
      </c>
      <c r="F60" s="72" t="n"/>
    </row>
    <row r="61">
      <c r="A61" s="72" t="n"/>
      <c r="B61" s="72" t="n"/>
      <c r="C61" s="72" t="n"/>
      <c r="D61" s="72" t="n"/>
      <c r="E61" s="72">
        <f>IF(OR(C61="",D61="",D61=0),"",C61/(D61*100))</f>
        <v/>
      </c>
      <c r="F61" s="72" t="n"/>
    </row>
    <row r="62">
      <c r="A62" s="72" t="n"/>
      <c r="B62" s="72" t="n"/>
      <c r="C62" s="72" t="n"/>
      <c r="D62" s="72" t="n"/>
      <c r="E62" s="72">
        <f>IF(OR(C62="",D62="",D62=0),"",C62/(D62*100))</f>
        <v/>
      </c>
      <c r="F62" s="72" t="n"/>
    </row>
    <row r="63">
      <c r="A63" s="72" t="n"/>
      <c r="B63" s="72" t="n"/>
      <c r="C63" s="72" t="n"/>
      <c r="D63" s="72" t="n"/>
      <c r="E63" s="72">
        <f>IF(OR(C63="",D63="",D63=0),"",C63/(D63*100))</f>
        <v/>
      </c>
      <c r="F63" s="72" t="n"/>
    </row>
    <row r="65" ht="18.5" customHeight="1" s="146">
      <c r="A65" s="117" t="inlineStr">
        <is>
          <t>Importance Weights — Industry (Workspace) vs Our Planning Weights</t>
        </is>
      </c>
      <c r="B65" s="118" t="n"/>
      <c r="C65" s="118" t="n"/>
      <c r="D65" s="118" t="n"/>
      <c r="E65" s="118" t="n"/>
      <c r="F65" s="118" t="n"/>
      <c r="G65" s="118" t="n"/>
      <c r="H65" s="118" t="n"/>
      <c r="I65" s="118" t="n"/>
      <c r="J65" s="118" t="n"/>
      <c r="K65" s="118" t="n"/>
    </row>
    <row r="66">
      <c r="A66" t="inlineStr">
        <is>
          <t>Industry column = survey (locked reference). OUR PLANNING WEIGHTS (yellow) drive Value Index, budget split, and charts — edit anytime. Reset: copy Industry → Our. Score mode below chooses which set scores use.</t>
        </is>
      </c>
    </row>
    <row r="67">
      <c r="A67" s="119" t="inlineStr">
        <is>
          <t>Component</t>
        </is>
      </c>
      <c r="B67" s="119" t="inlineStr">
        <is>
          <t>Industry Importance</t>
        </is>
      </c>
      <c r="C67" s="119" t="inlineStr">
        <is>
          <t>Industry %</t>
        </is>
      </c>
      <c r="D67" s="119" t="inlineStr">
        <is>
          <t>Rank</t>
        </is>
      </c>
      <c r="E67" s="119" t="inlineStr">
        <is>
          <t>Implication</t>
        </is>
      </c>
      <c r="F67" s="119" t="inlineStr">
        <is>
          <t>OUR Planning Weight</t>
        </is>
      </c>
      <c r="G67" s="119" t="inlineStr">
        <is>
          <t>Our %</t>
        </is>
      </c>
      <c r="H67" s="119" t="inlineStr">
        <is>
          <t>Our − Industry</t>
        </is>
      </c>
    </row>
    <row r="68">
      <c r="A68" s="120" t="inlineStr">
        <is>
          <t>Salary</t>
        </is>
      </c>
      <c r="B68" s="121" t="n">
        <v>87</v>
      </c>
      <c r="C68" s="122">
        <f>B68/$B$72</f>
        <v/>
      </c>
      <c r="D68" s="120" t="n">
        <v>1</v>
      </c>
      <c r="E68" s="120" t="inlineStr">
        <is>
          <t>First dollars above industry — highest leverage</t>
        </is>
      </c>
      <c r="F68" s="133" t="n">
        <v>87</v>
      </c>
      <c r="G68" s="122">
        <f>IF($F$72=0,"",F68/$F$72)</f>
        <v/>
      </c>
      <c r="H68" s="120">
        <f>F68-B68</f>
        <v/>
      </c>
    </row>
    <row r="69">
      <c r="A69" s="120" t="inlineStr">
        <is>
          <t>Health Benefits</t>
        </is>
      </c>
      <c r="B69" s="121" t="n">
        <v>84</v>
      </c>
      <c r="C69" s="122">
        <f>B69/$B$72</f>
        <v/>
      </c>
      <c r="D69" s="120" t="n">
        <v>2</v>
      </c>
      <c r="E69" s="120" t="inlineStr">
        <is>
          <t>Second — almost as strong as salary</t>
        </is>
      </c>
      <c r="F69" s="133" t="n">
        <v>84</v>
      </c>
      <c r="G69" s="122">
        <f>IF($F$72=0,"",F69/$F$72)</f>
        <v/>
      </c>
      <c r="H69" s="120">
        <f>F69-B69</f>
        <v/>
      </c>
    </row>
    <row r="70">
      <c r="A70" s="120" t="inlineStr">
        <is>
          <t>Vacation</t>
        </is>
      </c>
      <c r="B70" s="121" t="n">
        <v>72</v>
      </c>
      <c r="C70" s="122">
        <f>B70/$B$72</f>
        <v/>
      </c>
      <c r="D70" s="120" t="n">
        <v>3</v>
      </c>
      <c r="E70" s="120" t="inlineStr">
        <is>
          <t>Third — meaningful but weaker $/point</t>
        </is>
      </c>
      <c r="F70" s="133" t="n">
        <v>72</v>
      </c>
      <c r="G70" s="122">
        <f>IF($F$72=0,"",F70/$F$72)</f>
        <v/>
      </c>
      <c r="H70" s="120">
        <f>F70-B70</f>
        <v/>
      </c>
    </row>
    <row r="71">
      <c r="A71" s="120" t="inlineStr">
        <is>
          <t>Pension</t>
        </is>
      </c>
      <c r="B71" s="121" t="n">
        <v>70</v>
      </c>
      <c r="C71" s="122">
        <f>B71/$B$72</f>
        <v/>
      </c>
      <c r="D71" s="120" t="n">
        <v>4</v>
      </c>
      <c r="E71" s="120" t="inlineStr">
        <is>
          <t>Fourth — still positive; finish after others</t>
        </is>
      </c>
      <c r="F71" s="133" t="n">
        <v>70</v>
      </c>
      <c r="G71" s="122">
        <f>IF($F$72=0,"",F71/$F$72)</f>
        <v/>
      </c>
      <c r="H71" s="120">
        <f>F71-B71</f>
        <v/>
      </c>
    </row>
    <row r="72">
      <c r="A72" t="inlineStr">
        <is>
          <t>Total Industry importance</t>
        </is>
      </c>
      <c r="B72" s="121">
        <f>SUM(B68:B71)</f>
        <v/>
      </c>
      <c r="C72" t="inlineStr">
        <is>
          <t>313 expected</t>
        </is>
      </c>
      <c r="E72" t="inlineStr">
        <is>
          <t>Total OUR planning weight</t>
        </is>
      </c>
      <c r="F72" s="123">
        <f>SUM(F68:F71)</f>
        <v/>
      </c>
      <c r="G72" t="inlineStr">
        <is>
          <t>Must be &gt; 0</t>
        </is>
      </c>
    </row>
    <row r="73">
      <c r="A73" t="inlineStr">
        <is>
          <t>Score / allocate using</t>
        </is>
      </c>
      <c r="B73" s="133" t="inlineStr">
        <is>
          <t>Our</t>
        </is>
      </c>
      <c r="C73" t="inlineStr">
        <is>
          <t>Type "Our" or "Industry" — Value Index &amp; budget split follow this choice</t>
        </is>
      </c>
    </row>
    <row r="74">
      <c r="A74" s="124" t="inlineStr">
        <is>
          <t>Active weight total (for formulas)</t>
        </is>
      </c>
      <c r="B74" s="137">
        <f>IF(UPPER(LEFT(B73,1))="I",$B$72,$F$72)</f>
        <v/>
      </c>
      <c r="C74" t="inlineStr">
        <is>
          <t>Salary active weight</t>
        </is>
      </c>
      <c r="D74">
        <f>IF(UPPER(LEFT(B73,1))="I",$B$68,$F$68)</f>
        <v/>
      </c>
      <c r="E74" t="inlineStr">
        <is>
          <t>Health</t>
        </is>
      </c>
      <c r="F74">
        <f>IF(UPPER(LEFT(B73,1))="I",$B$69,$F$69)</f>
        <v/>
      </c>
      <c r="G74" t="inlineStr">
        <is>
          <t>Vacation</t>
        </is>
      </c>
      <c r="H74">
        <f>IF(UPPER(LEFT(B73,1))="I",$B$70,$F$70)</f>
        <v/>
      </c>
      <c r="I74" t="inlineStr">
        <is>
          <t>Pension</t>
        </is>
      </c>
      <c r="J74">
        <f>IF(UPPER(LEFT(B73,1))="I",$B$71,$F$71)</f>
        <v/>
      </c>
    </row>
    <row r="75">
      <c r="A75" s="124" t="inlineStr">
        <is>
          <t>Value model</t>
        </is>
      </c>
    </row>
    <row r="76">
      <c r="A76" t="inlineStr">
        <is>
          <t>Component Value Points = max(0, uplift % vs industry) × Active Importance. Package Value Index = Σ points / Active total × 100. Change OUR weights (F68:F71) to stress-test alternate priorities (e.g. overweight Health).</t>
        </is>
      </c>
    </row>
    <row r="77">
      <c r="A77" t="inlineStr">
        <is>
          <t>Reset tip: set F68:F71 equal to B68:B71 to match Workspace. Log each quarter’s weights &amp; indices in the History table so charts show change over time.</t>
        </is>
      </c>
    </row>
    <row r="78">
      <c r="A78" t="inlineStr">
        <is>
          <t>Productivity hint: 70% + min(12 pts, Value Index × 0.15) — heuristic only.</t>
        </is>
      </c>
    </row>
    <row r="79">
      <c r="A79" s="124" t="inlineStr">
        <is>
          <t>SALES — Importance-Weighted Value Scorecard (links to package above)</t>
        </is>
      </c>
    </row>
    <row r="80">
      <c r="A80" s="119" t="inlineStr">
        <is>
          <t>Component</t>
        </is>
      </c>
      <c r="B80" s="119" t="inlineStr">
        <is>
          <t>Our $</t>
        </is>
      </c>
      <c r="C80" s="119" t="inlineStr">
        <is>
          <t>Industry $</t>
        </is>
      </c>
      <c r="D80" s="119" t="inlineStr">
        <is>
          <t>Extra $</t>
        </is>
      </c>
      <c r="E80" s="119" t="inlineStr">
        <is>
          <t>Uplift %</t>
        </is>
      </c>
      <c r="F80" s="119" t="inlineStr">
        <is>
          <t>Importance</t>
        </is>
      </c>
      <c r="G80" s="119" t="inlineStr">
        <is>
          <t>Value Points</t>
        </is>
      </c>
      <c r="H80" s="119" t="inlineStr">
        <is>
          <t>Value / Extra $1k</t>
        </is>
      </c>
    </row>
    <row r="81">
      <c r="A81" s="120" t="inlineStr">
        <is>
          <t>Salary</t>
        </is>
      </c>
      <c r="B81" s="125">
        <f>IF(C38="","",C38)</f>
        <v/>
      </c>
      <c r="C81" s="126" t="n">
        <v>17000</v>
      </c>
      <c r="D81" s="125">
        <f>IF(OR(B81="",C81=""),"",B81-C81)</f>
        <v/>
      </c>
      <c r="E81" s="122">
        <f>IF(OR(C81="",C81=0,D81=""),"",D81/C81)</f>
        <v/>
      </c>
      <c r="F81" s="127">
        <f>$D$74</f>
        <v/>
      </c>
      <c r="G81" s="128">
        <f>IF(OR(E81="",F81=""),"",MAX(0,E81)*F81)</f>
        <v/>
      </c>
      <c r="H81" s="129">
        <f>IF(OR(D81="",D81&lt;=0),"",F81/(D81/1000))</f>
        <v/>
      </c>
    </row>
    <row r="82">
      <c r="A82" s="120" t="inlineStr">
        <is>
          <t>Health Benefits</t>
        </is>
      </c>
      <c r="B82" s="125">
        <f>IF(C39="","",C39)</f>
        <v/>
      </c>
      <c r="C82" s="126" t="n">
        <v>1700</v>
      </c>
      <c r="D82" s="125">
        <f>IF(OR(B82="",C82=""),"",B82-C82)</f>
        <v/>
      </c>
      <c r="E82" s="122">
        <f>IF(OR(C82="",C82=0,D82=""),"",D82/C82)</f>
        <v/>
      </c>
      <c r="F82" s="127">
        <f>$F$74</f>
        <v/>
      </c>
      <c r="G82" s="128">
        <f>IF(OR(E82="",F82=""),"",MAX(0,E82)*F82)</f>
        <v/>
      </c>
      <c r="H82" s="129">
        <f>IF(OR(D82="",D82&lt;=0),"",F82/(D82/1000))</f>
        <v/>
      </c>
    </row>
    <row r="83">
      <c r="A83" s="120" t="inlineStr">
        <is>
          <t>Vacation</t>
        </is>
      </c>
      <c r="B83" s="125">
        <f>IF(C40="","",C40)</f>
        <v/>
      </c>
      <c r="C83" s="126" t="n">
        <v>440</v>
      </c>
      <c r="D83" s="125">
        <f>IF(OR(B83="",C83=""),"",B83-C83)</f>
        <v/>
      </c>
      <c r="E83" s="122">
        <f>IF(OR(C83="",C83=0,D83=""),"",D83/C83)</f>
        <v/>
      </c>
      <c r="F83" s="127">
        <f>$H$74</f>
        <v/>
      </c>
      <c r="G83" s="128">
        <f>IF(OR(E83="",F83=""),"",MAX(0,E83)*F83)</f>
        <v/>
      </c>
      <c r="H83" s="129">
        <f>IF(OR(D83="",D83&lt;=0),"",F83/(D83/1000))</f>
        <v/>
      </c>
    </row>
    <row r="84">
      <c r="A84" s="120" t="inlineStr">
        <is>
          <t>Pension</t>
        </is>
      </c>
      <c r="B84" s="125">
        <f>IF(C41="","",C41)</f>
        <v/>
      </c>
      <c r="C84" s="126" t="n">
        <v>170</v>
      </c>
      <c r="D84" s="125">
        <f>IF(OR(B84="",C84=""),"",B84-C84)</f>
        <v/>
      </c>
      <c r="E84" s="122">
        <f>IF(OR(C84="",C84=0,D84=""),"",D84/C84)</f>
        <v/>
      </c>
      <c r="F84" s="127">
        <f>$J$74</f>
        <v/>
      </c>
      <c r="G84" s="128">
        <f>IF(OR(E84="",F84=""),"",MAX(0,E84)*F84)</f>
        <v/>
      </c>
      <c r="H84" s="129">
        <f>IF(OR(D84="",D84&lt;=0),"",F84/(D84/1000))</f>
        <v/>
      </c>
    </row>
    <row r="85">
      <c r="A85" s="130" t="inlineStr">
        <is>
          <t>SALES TOTALS</t>
        </is>
      </c>
      <c r="B85" s="126">
        <f>IF(C42="","",C42)</f>
        <v/>
      </c>
      <c r="C85" s="126" t="n">
        <v>19310</v>
      </c>
      <c r="D85" s="126">
        <f>IF(OR(B85="",C85=""),"",B85-C85)</f>
        <v/>
      </c>
      <c r="E85" s="121" t="n"/>
      <c r="F85" s="121" t="n"/>
      <c r="G85" s="128">
        <f>IF(COUNT(G81:G84)=0,"",SUM(G81:G84))</f>
        <v/>
      </c>
      <c r="H85" s="121" t="n"/>
    </row>
    <row r="86">
      <c r="A86" t="inlineStr">
        <is>
          <t>Sales Package Value Index (0–100+ scale)</t>
        </is>
      </c>
      <c r="B86" s="131">
        <f>IF(OR(G85="",$B$74="",$B$74=0),"",G85/$B$74*100)</f>
        <v/>
      </c>
      <c r="C86" t="inlineStr">
        <is>
          <t>100 ≈ average +100% uplift on every lever (unlikely); compare scenarios relatively</t>
        </is>
      </c>
    </row>
    <row r="87">
      <c r="A87" t="inlineStr">
        <is>
          <t>Suggested sales productivity % (heuristic)</t>
        </is>
      </c>
      <c r="B87" s="132">
        <f>IF(B86="","",MIN(0.85,0.7+MIN(0.12,B86*0.0015)))</f>
        <v/>
      </c>
      <c r="C87" t="inlineStr">
        <is>
          <t>Copy to B43 after judgment — or override B43 yellow directly</t>
        </is>
      </c>
    </row>
    <row r="88">
      <c r="A88" t="inlineStr">
        <is>
          <t>Apply suggested productivity to B43?</t>
        </is>
      </c>
      <c r="B88" s="133" t="inlineStr">
        <is>
          <t>N</t>
        </is>
      </c>
      <c r="C88" t="inlineStr">
        <is>
          <t>Set Y then paste B87→B43 manually (kept separate so you stay in control)</t>
        </is>
      </c>
    </row>
    <row r="90">
      <c r="A90" s="124" t="inlineStr">
        <is>
          <t>PRODUCTION — Importance-Weighted Value Scorecard</t>
        </is>
      </c>
    </row>
    <row r="91">
      <c r="A91" s="119" t="inlineStr">
        <is>
          <t>Component</t>
        </is>
      </c>
      <c r="B91" s="119" t="inlineStr">
        <is>
          <t>Our $</t>
        </is>
      </c>
      <c r="C91" s="119" t="inlineStr">
        <is>
          <t>Industry $</t>
        </is>
      </c>
      <c r="D91" s="119" t="inlineStr">
        <is>
          <t>Extra $</t>
        </is>
      </c>
      <c r="E91" s="119" t="inlineStr">
        <is>
          <t>Uplift %</t>
        </is>
      </c>
      <c r="F91" s="119" t="inlineStr">
        <is>
          <t>Importance</t>
        </is>
      </c>
      <c r="G91" s="119" t="inlineStr">
        <is>
          <t>Value Points</t>
        </is>
      </c>
      <c r="H91" s="119" t="inlineStr">
        <is>
          <t>Value / Extra $1k</t>
        </is>
      </c>
    </row>
    <row r="92">
      <c r="A92" s="120" t="inlineStr">
        <is>
          <t>Salary</t>
        </is>
      </c>
      <c r="B92" s="125">
        <f>IF(C48="","",C48)</f>
        <v/>
      </c>
      <c r="C92" s="126" t="n">
        <v>14000</v>
      </c>
      <c r="D92" s="125">
        <f>IF(OR(B92="",C92=""),"",B92-C92)</f>
        <v/>
      </c>
      <c r="E92" s="122">
        <f>IF(OR(C92="",C92=0,D92=""),"",D92/C92)</f>
        <v/>
      </c>
      <c r="F92" s="127">
        <f>$D$74</f>
        <v/>
      </c>
      <c r="G92" s="128">
        <f>IF(OR(E92="",F92=""),"",MAX(0,E92)*F92)</f>
        <v/>
      </c>
      <c r="H92" s="129">
        <f>IF(OR(D92="",D92&lt;=0),"",F92/(D92/1000))</f>
        <v/>
      </c>
    </row>
    <row r="93">
      <c r="A93" s="120" t="inlineStr">
        <is>
          <t>Health Benefits</t>
        </is>
      </c>
      <c r="B93" s="125">
        <f>IF(C49="","",C49)</f>
        <v/>
      </c>
      <c r="C93" s="126" t="n">
        <v>1400</v>
      </c>
      <c r="D93" s="125">
        <f>IF(OR(B93="",C93=""),"",B93-C93)</f>
        <v/>
      </c>
      <c r="E93" s="122">
        <f>IF(OR(C93="",C93=0,D93=""),"",D93/C93)</f>
        <v/>
      </c>
      <c r="F93" s="127">
        <f>$F$74</f>
        <v/>
      </c>
      <c r="G93" s="128">
        <f>IF(OR(E93="",F93=""),"",MAX(0,E93)*F93)</f>
        <v/>
      </c>
      <c r="H93" s="129">
        <f>IF(OR(D93="",D93&lt;=0),"",F93/(D93/1000))</f>
        <v/>
      </c>
    </row>
    <row r="94">
      <c r="A94" s="120" t="inlineStr">
        <is>
          <t>Vacation</t>
        </is>
      </c>
      <c r="B94" s="125">
        <f>IF(C50="","",C50)</f>
        <v/>
      </c>
      <c r="C94" s="126" t="n">
        <v>363</v>
      </c>
      <c r="D94" s="125">
        <f>IF(OR(B94="",C94=""),"",B94-C94)</f>
        <v/>
      </c>
      <c r="E94" s="122">
        <f>IF(OR(C94="",C94=0,D94=""),"",D94/C94)</f>
        <v/>
      </c>
      <c r="F94" s="127">
        <f>$H$74</f>
        <v/>
      </c>
      <c r="G94" s="128">
        <f>IF(OR(E94="",F94=""),"",MAX(0,E94)*F94)</f>
        <v/>
      </c>
      <c r="H94" s="129">
        <f>IF(OR(D94="",D94&lt;=0),"",F94/(D94/1000))</f>
        <v/>
      </c>
    </row>
    <row r="95">
      <c r="A95" s="120" t="inlineStr">
        <is>
          <t>Pension</t>
        </is>
      </c>
      <c r="B95" s="125">
        <f>IF(C51="","",C51)</f>
        <v/>
      </c>
      <c r="C95" s="126" t="n">
        <v>280</v>
      </c>
      <c r="D95" s="125">
        <f>IF(OR(B95="",C95=""),"",B95-C95)</f>
        <v/>
      </c>
      <c r="E95" s="122">
        <f>IF(OR(C95="",C95=0,D95=""),"",D95/C95)</f>
        <v/>
      </c>
      <c r="F95" s="127">
        <f>$J$74</f>
        <v/>
      </c>
      <c r="G95" s="128">
        <f>IF(OR(E95="",F95=""),"",MAX(0,E95)*F95)</f>
        <v/>
      </c>
      <c r="H95" s="129">
        <f>IF(OR(D95="",D95&lt;=0),"",F95/(D95/1000))</f>
        <v/>
      </c>
    </row>
    <row r="96">
      <c r="A96" s="130" t="inlineStr">
        <is>
          <t>PRODUCTION TOTALS</t>
        </is>
      </c>
      <c r="B96" s="126">
        <f>IF(C52="","",C52)</f>
        <v/>
      </c>
      <c r="C96" s="126" t="n">
        <v>16043</v>
      </c>
      <c r="D96" s="126">
        <f>IF(OR(B96="",C96=""),"",B96-C96)</f>
        <v/>
      </c>
      <c r="E96" s="121" t="n"/>
      <c r="F96" s="121" t="n"/>
      <c r="G96" s="128">
        <f>IF(COUNT(G92:G95)=0,"",SUM(G92:G95))</f>
        <v/>
      </c>
      <c r="H96" s="121" t="n"/>
    </row>
    <row r="97">
      <c r="A97" t="inlineStr">
        <is>
          <t>Production Package Value Index</t>
        </is>
      </c>
      <c r="B97" s="131">
        <f>IF(OR(G96="",$B$74="",$B$74=0),"",G96/$B$74*100)</f>
        <v/>
      </c>
    </row>
    <row r="98">
      <c r="A98" t="inlineStr">
        <is>
          <t>Suggested production productivity % (heuristic)</t>
        </is>
      </c>
      <c r="B98" s="132">
        <f>IF(B97="","",MIN(0.85,0.7+MIN(0.12,B97*0.0015)))</f>
        <v/>
      </c>
      <c r="C98" t="inlineStr">
        <is>
          <t>Copy to B53 and Manufacturing!B30 when locked</t>
        </is>
      </c>
    </row>
    <row r="100">
      <c r="A100" s="124" t="inlineStr">
        <is>
          <t>Interactive: allocate extra $/person above industry by importance weights</t>
        </is>
      </c>
    </row>
    <row r="101">
      <c r="A101" t="inlineStr">
        <is>
          <t>Role</t>
        </is>
      </c>
      <c r="B101" s="133" t="inlineStr">
        <is>
          <t>Sales</t>
        </is>
      </c>
      <c r="C101" t="inlineStr">
        <is>
          <t>Sales or Production</t>
        </is>
      </c>
    </row>
    <row r="102">
      <c r="A102" t="inlineStr">
        <is>
          <t>Extra budget $/person above industry total</t>
        </is>
      </c>
      <c r="B102" s="134" t="n">
        <v>2000</v>
      </c>
      <c r="C102" t="inlineStr">
        <is>
          <t>Yellow — try 1000 / 2000 / 4000</t>
        </is>
      </c>
    </row>
    <row r="103">
      <c r="A103" t="inlineStr">
        <is>
          <t>Industry total for role</t>
        </is>
      </c>
      <c r="B103" s="71">
        <f>IF(UPPER(LEFT(B101,1))="P",16043,19310)</f>
        <v/>
      </c>
    </row>
    <row r="104">
      <c r="A104" s="119" t="inlineStr">
        <is>
          <t>Component</t>
        </is>
      </c>
      <c r="B104" s="119" t="inlineStr">
        <is>
          <t>Importance share</t>
        </is>
      </c>
      <c r="C104" s="119" t="inlineStr">
        <is>
          <t>Suggested extra $</t>
        </is>
      </c>
      <c r="D104" s="119" t="inlineStr">
        <is>
          <t>Implied total $</t>
        </is>
      </c>
      <c r="E104" s="119" t="inlineStr">
        <is>
          <t>Notes</t>
        </is>
      </c>
    </row>
    <row r="105">
      <c r="A105" s="120" t="inlineStr">
        <is>
          <t>Salary</t>
        </is>
      </c>
      <c r="B105" s="122">
        <f>$D$74/$B$74</f>
        <v/>
      </c>
      <c r="C105" s="135">
        <f>$B$102*B105</f>
        <v/>
      </c>
      <c r="D105" s="125">
        <f>IF(UPPER(LEFT($B$101,1))="P",14000,17000)+C105</f>
        <v/>
      </c>
      <c r="E105" s="120" t="inlineStr">
        <is>
          <t>Highest weight — put most of the raise here</t>
        </is>
      </c>
    </row>
    <row r="106">
      <c r="A106" s="120" t="inlineStr">
        <is>
          <t>Health Benefits</t>
        </is>
      </c>
      <c r="B106" s="122">
        <f>$F$74/$B$74</f>
        <v/>
      </c>
      <c r="C106" s="135">
        <f>$B$102*B106</f>
        <v/>
      </c>
      <c r="D106" s="125">
        <f>IF(UPPER(LEFT($B$101,1))="P",1400,1700)+C106</f>
        <v/>
      </c>
      <c r="E106" s="120" t="inlineStr">
        <is>
          <t>Round to nearest health tier cost (menu rows 24–28)</t>
        </is>
      </c>
    </row>
    <row r="107">
      <c r="A107" s="120" t="inlineStr">
        <is>
          <t>Vacation</t>
        </is>
      </c>
      <c r="B107" s="122">
        <f>$H$74/$B$74</f>
        <v/>
      </c>
      <c r="C107" s="135">
        <f>$B$102*B107</f>
        <v/>
      </c>
      <c r="D107" s="125">
        <f>IF(UPPER(LEFT($B$101,1))="P",363,440)+C107</f>
        <v/>
      </c>
      <c r="E107" s="120" t="inlineStr">
        <is>
          <t>Round to vacation week cost</t>
        </is>
      </c>
    </row>
    <row r="108">
      <c r="A108" s="120" t="inlineStr">
        <is>
          <t>Pension</t>
        </is>
      </c>
      <c r="B108" s="122">
        <f>$J$74/$B$74</f>
        <v/>
      </c>
      <c r="C108" s="135">
        <f>$B$102*B108</f>
        <v/>
      </c>
      <c r="D108" s="125">
        <f>IF(UPPER(LEFT($B$101,1))="P",280,170)+C108</f>
        <v/>
      </c>
      <c r="E108" s="120" t="inlineStr">
        <is>
          <t>Convert $ to pension % of salary after salary set</t>
        </is>
      </c>
    </row>
    <row r="109">
      <c r="A109" t="inlineStr">
        <is>
          <t>Suggested package total</t>
        </is>
      </c>
      <c r="B109" s="136">
        <f>$B$103+$B$102</f>
        <v/>
      </c>
    </row>
    <row r="110">
      <c r="A110" t="inlineStr">
        <is>
          <t>Check: suggested extras sum</t>
        </is>
      </c>
      <c r="B110" s="71">
        <f>SUM(C105:C108)</f>
        <v/>
      </c>
    </row>
    <row r="112">
      <c r="A112" s="124" t="inlineStr">
        <is>
          <t>How to use</t>
        </is>
      </c>
    </row>
    <row r="113">
      <c r="A113" t="inlineStr">
        <is>
          <t>1. Enter yellow package costs in rows 38–41 (Sales) and 48–51 (Production).</t>
        </is>
      </c>
    </row>
    <row r="114">
      <c r="A114" t="inlineStr">
        <is>
          <t>2. Edit OUR weights (F68:F71) and/or Score mode (B73). Read Value Index (B86 / B97).</t>
        </is>
      </c>
    </row>
    <row r="115">
      <c r="A115" t="inlineStr">
        <is>
          <t>3. Or set Extra budget (B102) to see weight-proportional split, then round to real tiers and paste into package.</t>
        </is>
      </c>
    </row>
    <row r="116">
      <c r="A116" t="inlineStr">
        <is>
          <t>4. Set productivity estimates (B43 / B53); sync production to Manufacturing!B30.</t>
        </is>
      </c>
    </row>
    <row r="117">
      <c r="A117" t="inlineStr">
        <is>
          <t>5. Each quarter: snapshot Industry + Our weights and Value Indices into History (below) for charts.</t>
        </is>
      </c>
    </row>
    <row r="118">
      <c r="A118" t="inlineStr">
        <is>
          <t>6. Re-run when Q3 industry averages / new importance scores arrive.</t>
        </is>
      </c>
    </row>
    <row r="119">
      <c r="A119" s="118" t="n"/>
      <c r="B119" s="118" t="n"/>
      <c r="C119" s="118" t="n"/>
      <c r="D119" s="118" t="n"/>
      <c r="E119" s="118" t="n"/>
      <c r="F119" s="118" t="n"/>
      <c r="G119" s="118" t="n"/>
      <c r="H119" s="118" t="n"/>
      <c r="I119" s="118" t="n"/>
      <c r="J119" s="118" t="n"/>
      <c r="K119" s="118" t="n"/>
      <c r="L119" s="118" t="n"/>
      <c r="M119" s="118" t="n"/>
      <c r="N119" s="118" t="n"/>
      <c r="O119" s="118" t="n"/>
    </row>
    <row r="120" ht="18.5" customHeight="1" s="146">
      <c r="A120" s="117" t="inlineStr">
        <is>
          <t>Weight &amp; Value History (over time)</t>
        </is>
      </c>
      <c r="B120" s="118" t="n"/>
      <c r="C120" s="118" t="n"/>
      <c r="D120" s="118" t="n"/>
      <c r="E120" s="118" t="n"/>
      <c r="F120" s="118" t="n"/>
      <c r="G120" s="118" t="n"/>
      <c r="H120" s="118" t="n"/>
      <c r="I120" s="118" t="n"/>
      <c r="J120" s="118" t="n"/>
      <c r="K120" s="118" t="n"/>
      <c r="L120" s="118" t="n"/>
      <c r="M120" s="118" t="n"/>
      <c r="N120" s="118" t="n"/>
      <c r="O120" s="118" t="n"/>
    </row>
    <row r="121">
      <c r="A121" s="118" t="inlineStr">
        <is>
          <t>Yellow = enter/paste each quarter. Q2 row can link to current planner (formulas). Charts update as you fill Q3–Q6. Industry importance may change after Q2.</t>
        </is>
      </c>
      <c r="B121" s="118" t="n"/>
      <c r="C121" s="118" t="n"/>
      <c r="D121" s="118" t="n"/>
      <c r="E121" s="118" t="n"/>
      <c r="F121" s="118" t="n"/>
      <c r="G121" s="118" t="n"/>
      <c r="H121" s="118" t="n"/>
      <c r="I121" s="118" t="n"/>
      <c r="J121" s="118" t="n"/>
      <c r="K121" s="118" t="n"/>
      <c r="L121" s="118" t="n"/>
      <c r="M121" s="118" t="n"/>
      <c r="N121" s="118" t="n"/>
      <c r="O121" s="118" t="n"/>
    </row>
    <row r="122">
      <c r="A122" s="118" t="n"/>
      <c r="B122" s="118" t="n"/>
      <c r="C122" s="118" t="n"/>
      <c r="D122" s="118" t="n"/>
      <c r="E122" s="118" t="n"/>
      <c r="F122" s="118" t="n"/>
      <c r="G122" s="118" t="n"/>
      <c r="H122" s="118" t="n"/>
      <c r="I122" s="118" t="n"/>
      <c r="J122" s="118" t="n"/>
      <c r="K122" s="118" t="n"/>
      <c r="L122" s="118" t="n"/>
      <c r="M122" s="118" t="n"/>
      <c r="N122" s="118" t="n"/>
      <c r="O122" s="118" t="n"/>
    </row>
    <row r="123">
      <c r="A123" s="138" t="inlineStr">
        <is>
          <t>OUR Planning Weights by Quarter</t>
        </is>
      </c>
      <c r="B123" s="118" t="n"/>
      <c r="C123" s="118" t="n"/>
      <c r="D123" s="118" t="n"/>
      <c r="E123" s="118" t="n"/>
      <c r="F123" s="118" t="n"/>
      <c r="G123" s="118" t="n"/>
      <c r="H123" s="118" t="n"/>
      <c r="I123" s="118" t="n"/>
      <c r="J123" s="118" t="n"/>
      <c r="K123" s="118" t="n"/>
      <c r="L123" s="118" t="n"/>
      <c r="M123" s="118" t="n"/>
      <c r="N123" s="118" t="n"/>
      <c r="O123" s="118" t="n"/>
    </row>
    <row r="124">
      <c r="A124" s="119" t="inlineStr">
        <is>
          <t>Quarter</t>
        </is>
      </c>
      <c r="B124" s="119" t="inlineStr">
        <is>
          <t>Salary</t>
        </is>
      </c>
      <c r="C124" s="119" t="inlineStr">
        <is>
          <t>Health</t>
        </is>
      </c>
      <c r="D124" s="119" t="inlineStr">
        <is>
          <t>Vacation</t>
        </is>
      </c>
      <c r="E124" s="119" t="inlineStr">
        <is>
          <t>Pension</t>
        </is>
      </c>
      <c r="F124" s="119" t="inlineStr">
        <is>
          <t>Total</t>
        </is>
      </c>
      <c r="G124" s="119" t="inlineStr">
        <is>
          <t>Notes</t>
        </is>
      </c>
      <c r="H124" s="118" t="n"/>
      <c r="I124" s="118" t="n"/>
      <c r="J124" s="118" t="n"/>
      <c r="K124" s="118" t="n"/>
      <c r="L124" s="118" t="n"/>
      <c r="M124" s="118" t="n"/>
      <c r="N124" s="118" t="n"/>
      <c r="O124" s="118" t="n"/>
    </row>
    <row r="125">
      <c r="A125" s="118" t="inlineStr">
        <is>
          <t>Q1</t>
        </is>
      </c>
      <c r="B125" s="133" t="n"/>
      <c r="C125" s="133" t="n"/>
      <c r="D125" s="133" t="n"/>
      <c r="E125" s="133" t="n"/>
      <c r="F125" s="120">
        <f>IF(COUNT(B125:E125)=0,"",SUM(B125:E125))</f>
        <v/>
      </c>
      <c r="G125" s="133" t="inlineStr">
        <is>
          <t>Setup — often N/A</t>
        </is>
      </c>
      <c r="H125" s="118" t="n"/>
      <c r="I125" s="118" t="n"/>
      <c r="J125" s="118" t="n"/>
      <c r="K125" s="118" t="n"/>
      <c r="L125" s="118" t="n"/>
      <c r="M125" s="118" t="n"/>
      <c r="N125" s="118" t="n"/>
      <c r="O125" s="118" t="n"/>
    </row>
    <row r="126">
      <c r="A126" s="118" t="inlineStr">
        <is>
          <t>Q2 (current)</t>
        </is>
      </c>
      <c r="B126" s="121">
        <f>F68</f>
        <v/>
      </c>
      <c r="C126" s="121">
        <f>F69</f>
        <v/>
      </c>
      <c r="D126" s="121">
        <f>F70</f>
        <v/>
      </c>
      <c r="E126" s="121">
        <f>F71</f>
        <v/>
      </c>
      <c r="F126" s="121">
        <f>F72</f>
        <v/>
      </c>
      <c r="G126" s="118" t="inlineStr">
        <is>
          <t>Linked to OUR weights F68:F71 — edit those to change</t>
        </is>
      </c>
      <c r="H126" s="118" t="n"/>
      <c r="I126" s="118" t="n"/>
      <c r="J126" s="118" t="n"/>
      <c r="K126" s="118" t="n"/>
      <c r="L126" s="118" t="n"/>
      <c r="M126" s="118" t="n"/>
      <c r="N126" s="118" t="n"/>
      <c r="O126" s="118" t="n"/>
    </row>
    <row r="127">
      <c r="A127" s="120" t="inlineStr">
        <is>
          <t>Q3</t>
        </is>
      </c>
      <c r="B127" s="133" t="n"/>
      <c r="C127" s="133" t="n"/>
      <c r="D127" s="133" t="n"/>
      <c r="E127" s="133" t="n"/>
      <c r="F127" s="120">
        <f>IF(COUNT(B127:E127)=0,"",SUM(B127:E127))</f>
        <v/>
      </c>
      <c r="G127" s="133" t="n"/>
      <c r="H127" s="118" t="n"/>
      <c r="I127" s="118" t="n"/>
      <c r="J127" s="118" t="n"/>
      <c r="K127" s="118" t="n"/>
      <c r="L127" s="118" t="n"/>
      <c r="M127" s="118" t="n"/>
      <c r="N127" s="118" t="n"/>
      <c r="O127" s="118" t="n"/>
    </row>
    <row r="128">
      <c r="A128" s="120" t="inlineStr">
        <is>
          <t>Q4</t>
        </is>
      </c>
      <c r="B128" s="133" t="n"/>
      <c r="C128" s="133" t="n"/>
      <c r="D128" s="133" t="n"/>
      <c r="E128" s="133" t="n"/>
      <c r="F128" s="120">
        <f>IF(COUNT(B128:E128)=0,"",SUM(B128:E128))</f>
        <v/>
      </c>
      <c r="G128" s="133" t="n"/>
      <c r="H128" s="118" t="n"/>
      <c r="I128" s="118" t="n"/>
      <c r="J128" s="118" t="n"/>
      <c r="K128" s="118" t="n"/>
      <c r="L128" s="118" t="n"/>
      <c r="M128" s="118" t="n"/>
      <c r="N128" s="118" t="n"/>
      <c r="O128" s="118" t="n"/>
    </row>
    <row r="129">
      <c r="A129" s="120" t="inlineStr">
        <is>
          <t>Q5</t>
        </is>
      </c>
      <c r="B129" s="133" t="n"/>
      <c r="C129" s="133" t="n"/>
      <c r="D129" s="133" t="n"/>
      <c r="E129" s="133" t="n"/>
      <c r="F129" s="120">
        <f>IF(COUNT(B129:E129)=0,"",SUM(B129:E129))</f>
        <v/>
      </c>
      <c r="G129" s="133" t="n"/>
      <c r="H129" s="118" t="n"/>
      <c r="I129" s="118" t="n"/>
      <c r="J129" s="118" t="n"/>
      <c r="K129" s="118" t="n"/>
      <c r="L129" s="118" t="n"/>
      <c r="M129" s="118" t="n"/>
      <c r="N129" s="118" t="n"/>
      <c r="O129" s="118" t="n"/>
    </row>
    <row r="130">
      <c r="A130" s="120" t="inlineStr">
        <is>
          <t>Q6</t>
        </is>
      </c>
      <c r="B130" s="133" t="n"/>
      <c r="C130" s="133" t="n"/>
      <c r="D130" s="133" t="n"/>
      <c r="E130" s="133" t="n"/>
      <c r="F130" s="120">
        <f>IF(COUNT(B130:E130)=0,"",SUM(B130:E130))</f>
        <v/>
      </c>
      <c r="G130" s="133" t="n"/>
      <c r="H130" s="118" t="n"/>
      <c r="I130" s="118" t="n"/>
      <c r="J130" s="118" t="n"/>
      <c r="K130" s="118" t="n"/>
      <c r="L130" s="118" t="n"/>
      <c r="M130" s="118" t="n"/>
      <c r="N130" s="118" t="n"/>
      <c r="O130" s="118" t="n"/>
    </row>
    <row r="131">
      <c r="A131" s="118" t="n"/>
      <c r="B131" s="118" t="n"/>
      <c r="C131" s="118" t="n"/>
      <c r="D131" s="118" t="n"/>
      <c r="E131" s="118" t="n"/>
      <c r="F131" s="118" t="n"/>
      <c r="G131" s="118" t="n"/>
      <c r="H131" s="118" t="n"/>
      <c r="I131" s="118" t="n"/>
      <c r="J131" s="118" t="n"/>
      <c r="K131" s="118" t="n"/>
      <c r="L131" s="118" t="n"/>
      <c r="M131" s="118" t="n"/>
      <c r="N131" s="118" t="n"/>
      <c r="O131" s="118" t="n"/>
    </row>
    <row r="132">
      <c r="A132" s="138" t="inlineStr">
        <is>
          <t>INDUSTRY Importance by Quarter (paste from Workspace when it changes)</t>
        </is>
      </c>
      <c r="B132" s="118" t="n"/>
      <c r="C132" s="118" t="n"/>
      <c r="D132" s="118" t="n"/>
      <c r="E132" s="118" t="n"/>
      <c r="F132" s="118" t="n"/>
      <c r="G132" s="118" t="n"/>
      <c r="H132" s="118" t="n"/>
      <c r="I132" s="118" t="n"/>
      <c r="J132" s="118" t="n"/>
      <c r="K132" s="118" t="n"/>
      <c r="L132" s="118" t="n"/>
      <c r="M132" s="118" t="n"/>
      <c r="N132" s="118" t="n"/>
      <c r="O132" s="118" t="n"/>
    </row>
    <row r="133">
      <c r="A133" s="119" t="inlineStr">
        <is>
          <t>Quarter</t>
        </is>
      </c>
      <c r="B133" s="119" t="inlineStr">
        <is>
          <t>Salary</t>
        </is>
      </c>
      <c r="C133" s="119" t="inlineStr">
        <is>
          <t>Health</t>
        </is>
      </c>
      <c r="D133" s="119" t="inlineStr">
        <is>
          <t>Vacation</t>
        </is>
      </c>
      <c r="E133" s="119" t="inlineStr">
        <is>
          <t>Pension</t>
        </is>
      </c>
      <c r="F133" s="119" t="inlineStr">
        <is>
          <t>Total</t>
        </is>
      </c>
      <c r="G133" s="119" t="inlineStr">
        <is>
          <t>Notes</t>
        </is>
      </c>
      <c r="H133" s="118" t="n"/>
      <c r="I133" s="118" t="n"/>
      <c r="J133" s="118" t="n"/>
      <c r="K133" s="118" t="n"/>
      <c r="L133" s="118" t="n"/>
      <c r="M133" s="118" t="n"/>
      <c r="N133" s="118" t="n"/>
      <c r="O133" s="118" t="n"/>
    </row>
    <row r="134">
      <c r="A134" s="118" t="inlineStr">
        <is>
          <t>Q1</t>
        </is>
      </c>
      <c r="B134" s="133" t="n">
        <v>87</v>
      </c>
      <c r="C134" s="133" t="n">
        <v>84</v>
      </c>
      <c r="D134" s="133" t="n">
        <v>72</v>
      </c>
      <c r="E134" s="133" t="n">
        <v>70</v>
      </c>
      <c r="F134" s="118">
        <f>IF(COUNT(B134:E134)=0,"",SUM(B134:E134))</f>
        <v/>
      </c>
      <c r="G134" s="133" t="inlineStr">
        <is>
          <t>If unknown, use Q2</t>
        </is>
      </c>
      <c r="H134" s="118" t="n"/>
      <c r="I134" s="118" t="n"/>
      <c r="J134" s="118" t="n"/>
      <c r="K134" s="118" t="n"/>
      <c r="L134" s="118" t="n"/>
      <c r="M134" s="118" t="n"/>
      <c r="N134" s="118" t="n"/>
      <c r="O134" s="118" t="n"/>
    </row>
    <row r="135">
      <c r="A135" s="118" t="inlineStr">
        <is>
          <t>Q2 (current)</t>
        </is>
      </c>
      <c r="B135" s="121">
        <f>B68</f>
        <v/>
      </c>
      <c r="C135" s="121">
        <f>B69</f>
        <v/>
      </c>
      <c r="D135" s="121">
        <f>B70</f>
        <v/>
      </c>
      <c r="E135" s="121">
        <f>B71</f>
        <v/>
      </c>
      <c r="F135" s="121">
        <f>B72</f>
        <v/>
      </c>
      <c r="G135" s="118" t="inlineStr">
        <is>
          <t>Linked to Industry B68:B71</t>
        </is>
      </c>
      <c r="H135" s="118" t="n"/>
      <c r="I135" s="118" t="n"/>
      <c r="J135" s="118" t="n"/>
      <c r="K135" s="118" t="n"/>
      <c r="L135" s="118" t="n"/>
      <c r="M135" s="118" t="n"/>
      <c r="N135" s="118" t="n"/>
      <c r="O135" s="118" t="n"/>
    </row>
    <row r="136">
      <c r="A136" s="120" t="inlineStr">
        <is>
          <t>Q3</t>
        </is>
      </c>
      <c r="B136" s="133" t="n"/>
      <c r="C136" s="133" t="n"/>
      <c r="D136" s="133" t="n"/>
      <c r="E136" s="133" t="n"/>
      <c r="F136" s="120">
        <f>IF(COUNT(B136:E136)=0,"",SUM(B136:E136))</f>
        <v/>
      </c>
      <c r="G136" s="133" t="n"/>
      <c r="H136" s="118" t="n"/>
      <c r="I136" s="118" t="n"/>
      <c r="J136" s="118" t="n"/>
      <c r="K136" s="118" t="n"/>
      <c r="L136" s="118" t="n"/>
      <c r="M136" s="118" t="n"/>
      <c r="N136" s="118" t="n"/>
      <c r="O136" s="118" t="n"/>
    </row>
    <row r="137">
      <c r="A137" s="120" t="inlineStr">
        <is>
          <t>Q4</t>
        </is>
      </c>
      <c r="B137" s="133" t="n"/>
      <c r="C137" s="133" t="n"/>
      <c r="D137" s="133" t="n"/>
      <c r="E137" s="133" t="n"/>
      <c r="F137" s="120">
        <f>IF(COUNT(B137:E137)=0,"",SUM(B137:E137))</f>
        <v/>
      </c>
      <c r="G137" s="133" t="n"/>
      <c r="H137" s="118" t="n"/>
      <c r="I137" s="118" t="n"/>
      <c r="J137" s="118" t="n"/>
      <c r="K137" s="118" t="n"/>
      <c r="L137" s="118" t="n"/>
      <c r="M137" s="118" t="n"/>
      <c r="N137" s="118" t="n"/>
      <c r="O137" s="118" t="n"/>
    </row>
    <row r="138">
      <c r="A138" s="120" t="inlineStr">
        <is>
          <t>Q5</t>
        </is>
      </c>
      <c r="B138" s="133" t="n"/>
      <c r="C138" s="133" t="n"/>
      <c r="D138" s="133" t="n"/>
      <c r="E138" s="133" t="n"/>
      <c r="F138" s="120">
        <f>IF(COUNT(B138:E138)=0,"",SUM(B138:E138))</f>
        <v/>
      </c>
      <c r="G138" s="133" t="n"/>
      <c r="H138" s="118" t="n"/>
      <c r="I138" s="118" t="n"/>
      <c r="J138" s="118" t="n"/>
      <c r="K138" s="118" t="n"/>
      <c r="L138" s="118" t="n"/>
      <c r="M138" s="118" t="n"/>
      <c r="N138" s="118" t="n"/>
      <c r="O138" s="118" t="n"/>
    </row>
    <row r="139">
      <c r="A139" s="120" t="inlineStr">
        <is>
          <t>Q6</t>
        </is>
      </c>
      <c r="B139" s="133" t="n"/>
      <c r="C139" s="133" t="n"/>
      <c r="D139" s="133" t="n"/>
      <c r="E139" s="133" t="n"/>
      <c r="F139" s="120">
        <f>IF(COUNT(B139:E139)=0,"",SUM(B139:E139))</f>
        <v/>
      </c>
      <c r="G139" s="133" t="n"/>
      <c r="H139" s="118" t="n"/>
      <c r="I139" s="118" t="n"/>
      <c r="J139" s="118" t="n"/>
      <c r="K139" s="118" t="n"/>
      <c r="L139" s="118" t="n"/>
      <c r="M139" s="118" t="n"/>
      <c r="N139" s="118" t="n"/>
      <c r="O139" s="118" t="n"/>
    </row>
    <row r="140">
      <c r="A140" s="118" t="n"/>
      <c r="B140" s="118" t="n"/>
      <c r="C140" s="118" t="n"/>
      <c r="D140" s="118" t="n"/>
      <c r="E140" s="118" t="n"/>
      <c r="F140" s="118" t="n"/>
      <c r="G140" s="118" t="n"/>
      <c r="H140" s="118" t="n"/>
      <c r="I140" s="118" t="n"/>
      <c r="J140" s="118" t="n"/>
      <c r="K140" s="118" t="n"/>
      <c r="L140" s="118" t="n"/>
      <c r="M140" s="118" t="n"/>
      <c r="N140" s="118" t="n"/>
      <c r="O140" s="118" t="n"/>
    </row>
    <row r="141">
      <c r="A141" s="138" t="inlineStr">
        <is>
          <t>Package Value Index &amp; Productivity over time</t>
        </is>
      </c>
      <c r="B141" s="118" t="n"/>
      <c r="C141" s="118" t="n"/>
      <c r="D141" s="118" t="n"/>
      <c r="E141" s="118" t="n"/>
      <c r="F141" s="118" t="n"/>
      <c r="G141" s="118" t="n"/>
      <c r="H141" s="118" t="n"/>
      <c r="I141" s="118" t="n"/>
      <c r="J141" s="118" t="n"/>
      <c r="K141" s="118" t="n"/>
      <c r="L141" s="118" t="n"/>
      <c r="M141" s="118" t="n"/>
      <c r="N141" s="118" t="n"/>
      <c r="O141" s="118" t="n"/>
    </row>
    <row r="142">
      <c r="A142" s="119" t="inlineStr">
        <is>
          <t>Quarter</t>
        </is>
      </c>
      <c r="B142" s="119" t="inlineStr">
        <is>
          <t>Sales Value Index</t>
        </is>
      </c>
      <c r="C142" s="119" t="inlineStr">
        <is>
          <t>Prod Value Index</t>
        </is>
      </c>
      <c r="D142" s="119" t="inlineStr">
        <is>
          <t>Sales pkg $</t>
        </is>
      </c>
      <c r="E142" s="119" t="inlineStr">
        <is>
          <t>Prod pkg $</t>
        </is>
      </c>
      <c r="F142" s="119" t="inlineStr">
        <is>
          <t>Sales prod %</t>
        </is>
      </c>
      <c r="G142" s="119" t="inlineStr">
        <is>
          <t>Prod prod %</t>
        </is>
      </c>
      <c r="H142" s="119" t="inlineStr">
        <is>
          <t>Notes</t>
        </is>
      </c>
      <c r="I142" s="118" t="n"/>
      <c r="J142" s="118" t="n"/>
      <c r="K142" s="118" t="n"/>
      <c r="L142" s="118" t="n"/>
      <c r="M142" s="118" t="n"/>
      <c r="N142" s="118" t="n"/>
      <c r="O142" s="118" t="n"/>
    </row>
    <row r="143">
      <c r="A143" s="118" t="inlineStr">
        <is>
          <t>Q1</t>
        </is>
      </c>
      <c r="B143" s="133" t="n"/>
      <c r="C143" s="133" t="n"/>
      <c r="D143" s="133" t="n"/>
      <c r="E143" s="133" t="n"/>
      <c r="F143" s="133" t="n"/>
      <c r="G143" s="133" t="n"/>
      <c r="H143" s="118" t="inlineStr">
        <is>
          <t>Pre-hire / N/A</t>
        </is>
      </c>
      <c r="I143" s="118" t="n"/>
      <c r="J143" s="118" t="n"/>
      <c r="K143" s="118" t="n"/>
      <c r="L143" s="118" t="n"/>
      <c r="M143" s="118" t="n"/>
      <c r="N143" s="118" t="n"/>
      <c r="O143" s="118" t="n"/>
    </row>
    <row r="144">
      <c r="A144" s="118" t="inlineStr">
        <is>
          <t>Q2 (current)</t>
        </is>
      </c>
      <c r="B144" s="128">
        <f>IF(B86="","",B86)</f>
        <v/>
      </c>
      <c r="C144" s="128">
        <f>IF(B97="","",B97)</f>
        <v/>
      </c>
      <c r="D144" s="126">
        <f>IF(C42="","",C42)</f>
        <v/>
      </c>
      <c r="E144" s="126">
        <f>IF(C52="","",C52)</f>
        <v/>
      </c>
      <c r="F144" s="139">
        <f>IF(B43="","",B43)</f>
        <v/>
      </c>
      <c r="G144" s="139">
        <f>IF(B53="","",B53)</f>
        <v/>
      </c>
      <c r="H144" s="118" t="inlineStr">
        <is>
          <t>Linked to live planner</t>
        </is>
      </c>
      <c r="I144" s="118" t="n"/>
      <c r="J144" s="118" t="n"/>
      <c r="K144" s="118" t="n"/>
      <c r="L144" s="118" t="n"/>
      <c r="M144" s="118" t="n"/>
      <c r="N144" s="118" t="n"/>
      <c r="O144" s="118" t="n"/>
    </row>
    <row r="145">
      <c r="A145" s="120" t="inlineStr">
        <is>
          <t>Q3</t>
        </is>
      </c>
      <c r="B145" s="140" t="n"/>
      <c r="C145" s="140" t="n"/>
      <c r="D145" s="134" t="n"/>
      <c r="E145" s="134" t="n"/>
      <c r="F145" s="141" t="n"/>
      <c r="G145" s="141" t="n"/>
      <c r="H145" s="133" t="n"/>
      <c r="I145" s="118" t="n"/>
      <c r="J145" s="118" t="n"/>
      <c r="K145" s="118" t="n"/>
      <c r="L145" s="118" t="n"/>
      <c r="M145" s="118" t="n"/>
      <c r="N145" s="118" t="n"/>
      <c r="O145" s="118" t="n"/>
    </row>
    <row r="146">
      <c r="A146" s="120" t="inlineStr">
        <is>
          <t>Q4</t>
        </is>
      </c>
      <c r="B146" s="140" t="n"/>
      <c r="C146" s="140" t="n"/>
      <c r="D146" s="134" t="n"/>
      <c r="E146" s="134" t="n"/>
      <c r="F146" s="141" t="n"/>
      <c r="G146" s="141" t="n"/>
      <c r="H146" s="133" t="n"/>
      <c r="I146" s="118" t="n"/>
      <c r="J146" s="118" t="n"/>
      <c r="K146" s="118" t="n"/>
      <c r="L146" s="118" t="n"/>
      <c r="M146" s="118" t="n"/>
      <c r="N146" s="118" t="n"/>
      <c r="O146" s="118" t="n"/>
    </row>
    <row r="147">
      <c r="A147" s="120" t="inlineStr">
        <is>
          <t>Q5</t>
        </is>
      </c>
      <c r="B147" s="140" t="n"/>
      <c r="C147" s="140" t="n"/>
      <c r="D147" s="134" t="n"/>
      <c r="E147" s="134" t="n"/>
      <c r="F147" s="141" t="n"/>
      <c r="G147" s="141" t="n"/>
      <c r="H147" s="133" t="n"/>
      <c r="I147" s="118" t="n"/>
      <c r="J147" s="118" t="n"/>
      <c r="K147" s="118" t="n"/>
      <c r="L147" s="118" t="n"/>
      <c r="M147" s="118" t="n"/>
      <c r="N147" s="118" t="n"/>
      <c r="O147" s="118" t="n"/>
    </row>
    <row r="148">
      <c r="A148" s="120" t="inlineStr">
        <is>
          <t>Q6</t>
        </is>
      </c>
      <c r="B148" s="140" t="n"/>
      <c r="C148" s="140" t="n"/>
      <c r="D148" s="134" t="n"/>
      <c r="E148" s="134" t="n"/>
      <c r="F148" s="141" t="n"/>
      <c r="G148" s="141" t="n"/>
      <c r="H148" s="133" t="n"/>
      <c r="I148" s="118" t="n"/>
      <c r="J148" s="118" t="n"/>
      <c r="K148" s="118" t="n"/>
      <c r="L148" s="118" t="n"/>
      <c r="M148" s="118" t="n"/>
      <c r="N148" s="118" t="n"/>
      <c r="O148" s="118" t="n"/>
    </row>
    <row r="149">
      <c r="A149" s="118" t="n"/>
      <c r="B149" s="118" t="n"/>
      <c r="C149" s="118" t="n"/>
      <c r="D149" s="118" t="n"/>
      <c r="E149" s="118" t="n"/>
      <c r="F149" s="118" t="n"/>
      <c r="G149" s="118" t="n"/>
      <c r="H149" s="118" t="n"/>
      <c r="I149" s="118" t="n"/>
      <c r="J149" s="118" t="n"/>
      <c r="K149" s="118" t="n"/>
      <c r="L149" s="118" t="n"/>
      <c r="M149" s="118" t="n"/>
      <c r="N149" s="118" t="n"/>
      <c r="O149" s="118" t="n"/>
    </row>
    <row r="150">
      <c r="A150" s="118" t="inlineStr">
        <is>
          <t>Snapshot tip</t>
        </is>
      </c>
      <c r="B150" s="118" t="inlineStr">
        <is>
          <t>At quarter end: copy Q2 linked values into Q3 yellow row as constants (Paste Special Values) before changing next quarter’s packages — preserves history for charts.</t>
        </is>
      </c>
      <c r="C150" s="118" t="n"/>
      <c r="D150" s="118" t="n"/>
      <c r="E150" s="118" t="n"/>
      <c r="F150" s="118" t="n"/>
      <c r="G150" s="118" t="n"/>
      <c r="H150" s="118" t="n"/>
      <c r="I150" s="118" t="n"/>
      <c r="J150" s="118" t="n"/>
      <c r="K150" s="118" t="n"/>
      <c r="L150" s="118" t="n"/>
      <c r="M150" s="118" t="n"/>
      <c r="N150" s="118" t="n"/>
      <c r="O150" s="118" t="n"/>
    </row>
    <row r="151">
      <c r="A151" s="118" t="n"/>
      <c r="B151" s="118" t="n"/>
      <c r="C151" s="118" t="n"/>
      <c r="D151" s="118" t="n"/>
      <c r="E151" s="118" t="n"/>
      <c r="F151" s="118" t="n"/>
      <c r="G151" s="118" t="n"/>
      <c r="H151" s="118" t="n"/>
      <c r="I151" s="118" t="n"/>
      <c r="J151" s="118" t="n"/>
      <c r="K151" s="118" t="n"/>
      <c r="L151" s="118" t="n"/>
      <c r="M151" s="118" t="n"/>
      <c r="N151" s="118" t="n"/>
      <c r="O151" s="118" t="n"/>
    </row>
    <row r="152">
      <c r="A152" s="138" t="inlineStr">
        <is>
          <t>Current comparison — Industry vs Our weights</t>
        </is>
      </c>
      <c r="B152" s="118" t="n"/>
      <c r="C152" s="118" t="n"/>
      <c r="D152" s="118" t="n"/>
      <c r="E152" s="118" t="n"/>
      <c r="F152" s="118" t="n"/>
      <c r="G152" s="118" t="n"/>
      <c r="H152" s="118" t="n"/>
      <c r="I152" s="118" t="n"/>
      <c r="J152" s="118" t="n"/>
      <c r="K152" s="118" t="n"/>
      <c r="L152" s="118" t="n"/>
      <c r="M152" s="118" t="n"/>
      <c r="N152" s="118" t="n"/>
      <c r="O152" s="118" t="n"/>
    </row>
    <row r="153">
      <c r="A153" s="119" t="inlineStr">
        <is>
          <t>Component</t>
        </is>
      </c>
      <c r="B153" s="119" t="inlineStr">
        <is>
          <t>Industry</t>
        </is>
      </c>
      <c r="C153" s="119" t="inlineStr">
        <is>
          <t>Our</t>
        </is>
      </c>
      <c r="D153" s="118" t="n"/>
      <c r="E153" s="118" t="n"/>
      <c r="F153" s="118" t="n"/>
      <c r="G153" s="118" t="n"/>
      <c r="H153" s="118" t="n"/>
      <c r="I153" s="118" t="n"/>
      <c r="J153" s="118" t="n"/>
      <c r="K153" s="118" t="n"/>
      <c r="L153" s="118" t="n"/>
      <c r="M153" s="118" t="n"/>
      <c r="N153" s="118" t="n"/>
      <c r="O153" s="118" t="n"/>
    </row>
    <row r="154">
      <c r="A154" s="120">
        <f>A68</f>
        <v/>
      </c>
      <c r="B154" s="120">
        <f>B68</f>
        <v/>
      </c>
      <c r="C154" s="120">
        <f>F68</f>
        <v/>
      </c>
      <c r="D154" s="118" t="n"/>
      <c r="E154" s="118" t="n"/>
      <c r="F154" s="118" t="n"/>
      <c r="G154" s="118" t="n"/>
      <c r="H154" s="118" t="n"/>
      <c r="I154" s="118" t="n"/>
      <c r="J154" s="118" t="n"/>
      <c r="K154" s="118" t="n"/>
      <c r="L154" s="118" t="n"/>
      <c r="M154" s="118" t="n"/>
      <c r="N154" s="118" t="n"/>
      <c r="O154" s="118" t="n"/>
    </row>
    <row r="155">
      <c r="A155" s="120">
        <f>A69</f>
        <v/>
      </c>
      <c r="B155" s="120">
        <f>B69</f>
        <v/>
      </c>
      <c r="C155" s="120">
        <f>F69</f>
        <v/>
      </c>
      <c r="D155" s="118" t="n"/>
      <c r="E155" s="118" t="n"/>
      <c r="F155" s="118" t="n"/>
      <c r="G155" s="118" t="n"/>
      <c r="H155" s="118" t="n"/>
      <c r="I155" s="118" t="n"/>
      <c r="J155" s="118" t="n"/>
      <c r="K155" s="118" t="n"/>
      <c r="L155" s="118" t="n"/>
      <c r="M155" s="118" t="n"/>
      <c r="N155" s="118" t="n"/>
      <c r="O155" s="118" t="n"/>
    </row>
    <row r="156">
      <c r="A156" s="120">
        <f>A70</f>
        <v/>
      </c>
      <c r="B156" s="120">
        <f>B70</f>
        <v/>
      </c>
      <c r="C156" s="120">
        <f>F70</f>
        <v/>
      </c>
      <c r="D156" s="118" t="n"/>
      <c r="E156" s="118" t="n"/>
      <c r="F156" s="118" t="n"/>
      <c r="G156" s="118" t="n"/>
      <c r="H156" s="118" t="n"/>
      <c r="I156" s="118" t="n"/>
      <c r="J156" s="118" t="n"/>
      <c r="K156" s="118" t="n"/>
      <c r="L156" s="118" t="n"/>
      <c r="M156" s="118" t="n"/>
      <c r="N156" s="118" t="n"/>
      <c r="O156" s="118" t="n"/>
    </row>
    <row r="157">
      <c r="A157" s="120">
        <f>A71</f>
        <v/>
      </c>
      <c r="B157" s="120">
        <f>B71</f>
        <v/>
      </c>
      <c r="C157" s="120">
        <f>F71</f>
        <v/>
      </c>
      <c r="D157" s="118" t="n"/>
      <c r="E157" s="118" t="n"/>
      <c r="F157" s="118" t="n"/>
      <c r="G157" s="118" t="n"/>
      <c r="H157" s="118" t="n"/>
      <c r="I157" s="118" t="n"/>
      <c r="J157" s="118" t="n"/>
      <c r="K157" s="118" t="n"/>
      <c r="L157" s="118" t="n"/>
      <c r="M157" s="118" t="n"/>
      <c r="N157" s="118" t="n"/>
      <c r="O157" s="118" t="n"/>
    </row>
    <row r="158">
      <c r="A158" s="118" t="n"/>
      <c r="B158" s="118" t="n"/>
      <c r="C158" s="118" t="n"/>
      <c r="D158" s="118" t="n"/>
      <c r="E158" s="118" t="n"/>
      <c r="F158" s="118" t="n"/>
      <c r="G158" s="118" t="n"/>
      <c r="H158" s="118" t="n"/>
      <c r="I158" s="118" t="n"/>
      <c r="J158" s="118" t="n"/>
      <c r="K158" s="118" t="n"/>
      <c r="L158" s="118" t="n"/>
      <c r="M158" s="118" t="n"/>
      <c r="N158" s="118" t="n"/>
      <c r="O158" s="118" t="n"/>
    </row>
    <row r="159">
      <c r="A159" s="118" t="n"/>
      <c r="B159" s="118" t="n"/>
      <c r="C159" s="118" t="n"/>
      <c r="D159" s="118" t="n"/>
      <c r="E159" s="118" t="n"/>
      <c r="F159" s="118" t="n"/>
      <c r="G159" s="118" t="n"/>
      <c r="H159" s="118" t="n"/>
      <c r="I159" s="118" t="n"/>
      <c r="J159" s="118" t="n"/>
      <c r="K159" s="118" t="n"/>
      <c r="L159" s="118" t="n"/>
      <c r="M159" s="118" t="n"/>
      <c r="N159" s="118" t="n"/>
      <c r="O159" s="118" t="n"/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Balanced Scorecard — Q3 actual (WeBike vs industry)</t>
        </is>
      </c>
    </row>
    <row r="2">
      <c r="A2" t="inlineStr">
        <is>
          <t>Total Performance = product of all indicators. WeBike = LAST place (0.411 = industry minimum).</t>
        </is>
      </c>
    </row>
    <row r="3">
      <c r="A3" s="166" t="inlineStr">
        <is>
          <t>Indicator</t>
        </is>
      </c>
      <c r="B3" s="166" t="inlineStr">
        <is>
          <t>Min</t>
        </is>
      </c>
      <c r="C3" s="166" t="inlineStr">
        <is>
          <t>Max</t>
        </is>
      </c>
      <c r="D3" s="166" t="inlineStr">
        <is>
          <t>Average</t>
        </is>
      </c>
      <c r="E3" s="166" t="inlineStr">
        <is>
          <t>WeBike</t>
        </is>
      </c>
      <c r="F3" s="166" t="inlineStr">
        <is>
          <t>vs Avg</t>
        </is>
      </c>
      <c r="G3" s="166" t="inlineStr">
        <is>
          <t>Read</t>
        </is>
      </c>
    </row>
    <row r="4">
      <c r="A4" t="inlineStr">
        <is>
          <t>Total Performance</t>
        </is>
      </c>
      <c r="B4" t="n">
        <v>0.411</v>
      </c>
      <c r="C4" t="n">
        <v>21.531</v>
      </c>
      <c r="D4" t="n">
        <v>5.897</v>
      </c>
      <c r="E4" s="167" t="n">
        <v>0.411</v>
      </c>
      <c r="F4">
        <f>E4-D4</f>
        <v/>
      </c>
      <c r="G4" t="inlineStr">
        <is>
          <t>LAST — dragged by Market Perf + Asset Mgmt</t>
        </is>
      </c>
    </row>
    <row r="5">
      <c r="A5" t="inlineStr">
        <is>
          <t>Financial Performance</t>
        </is>
      </c>
      <c r="B5" t="n">
        <v>5.319</v>
      </c>
      <c r="C5" t="n">
        <v>37.687</v>
      </c>
      <c r="D5" t="n">
        <v>19.006</v>
      </c>
      <c r="E5" s="167" t="n">
        <v>5.319</v>
      </c>
      <c r="F5">
        <f>E5-D5</f>
        <v/>
      </c>
      <c r="G5" t="inlineStr">
        <is>
          <t>LAST — operating loss</t>
        </is>
      </c>
    </row>
    <row r="6">
      <c r="A6" t="inlineStr">
        <is>
          <t>Market Performance</t>
        </is>
      </c>
      <c r="B6" t="n">
        <v>0.08500000000000001</v>
      </c>
      <c r="C6" t="n">
        <v>0.345</v>
      </c>
      <c r="D6" t="n">
        <v>0.185</v>
      </c>
      <c r="E6" t="n">
        <v>0.098</v>
      </c>
      <c r="F6">
        <f>E6-D6</f>
        <v/>
      </c>
      <c r="G6" t="inlineStr">
        <is>
          <t>Near last — 33% stock-outs</t>
        </is>
      </c>
    </row>
    <row r="7">
      <c r="A7" t="inlineStr">
        <is>
          <t>Marketing Effectiveness</t>
        </is>
      </c>
      <c r="B7" t="n">
        <v>0.66</v>
      </c>
      <c r="C7" t="n">
        <v>0.765</v>
      </c>
      <c r="D7" t="n">
        <v>0.743</v>
      </c>
      <c r="E7" t="n">
        <v>0.738</v>
      </c>
      <c r="F7">
        <f>E7-D7</f>
        <v/>
      </c>
      <c r="G7" t="inlineStr">
        <is>
          <t>At par — ads working</t>
        </is>
      </c>
    </row>
    <row r="8">
      <c r="A8" t="inlineStr">
        <is>
          <t>Investment in Future</t>
        </is>
      </c>
      <c r="B8" t="n">
        <v>3.466</v>
      </c>
      <c r="C8" t="n">
        <v>7.401</v>
      </c>
      <c r="D8" t="n">
        <v>5.386</v>
      </c>
      <c r="E8" s="159" t="n">
        <v>6.795</v>
      </c>
      <c r="F8">
        <f>E8-D8</f>
        <v/>
      </c>
      <c r="G8" t="inlineStr">
        <is>
          <t>STRENGTH — 2nd best</t>
        </is>
      </c>
    </row>
    <row r="9">
      <c r="A9" t="inlineStr">
        <is>
          <t>Wealth</t>
        </is>
      </c>
      <c r="B9" t="n">
        <v>0.668</v>
      </c>
      <c r="C9" t="n">
        <v>1.017</v>
      </c>
      <c r="D9" t="n">
        <v>0.831</v>
      </c>
      <c r="E9" s="167" t="n">
        <v>0.668</v>
      </c>
      <c r="F9">
        <f>E9-D9</f>
        <v/>
      </c>
      <c r="G9" t="inlineStr">
        <is>
          <t>LAST — cumulative losses</t>
        </is>
      </c>
    </row>
    <row r="10">
      <c r="A10" t="inlineStr">
        <is>
          <t>Human Resource Mgmt</t>
        </is>
      </c>
      <c r="B10" t="n">
        <v>0.6909999999999999</v>
      </c>
      <c r="C10" t="n">
        <v>0.767</v>
      </c>
      <c r="D10" t="n">
        <v>0.724</v>
      </c>
      <c r="E10" t="n">
        <v>0.713</v>
      </c>
      <c r="F10">
        <f>E10-D10</f>
        <v/>
      </c>
      <c r="G10" t="inlineStr">
        <is>
          <t>Below avg — pay fell behind</t>
        </is>
      </c>
    </row>
    <row r="11">
      <c r="A11" t="inlineStr">
        <is>
          <t>Asset Management</t>
        </is>
      </c>
      <c r="B11" t="n">
        <v>0.353</v>
      </c>
      <c r="C11" t="n">
        <v>0.92</v>
      </c>
      <c r="D11" t="n">
        <v>0.542</v>
      </c>
      <c r="E11" s="167" t="n">
        <v>0.353</v>
      </c>
      <c r="F11">
        <f>E11-D11</f>
        <v/>
      </c>
      <c r="G11" t="inlineStr">
        <is>
          <t>LAST — $1.01M idle cash</t>
        </is>
      </c>
    </row>
    <row r="12">
      <c r="A12" t="inlineStr">
        <is>
          <t>Manufacturing Productivity</t>
        </is>
      </c>
      <c r="B12" t="n">
        <v>0.722</v>
      </c>
      <c r="C12" t="n">
        <v>0.995</v>
      </c>
      <c r="D12" t="n">
        <v>0.899</v>
      </c>
      <c r="E12" s="159" t="n">
        <v>0.9379999999999999</v>
      </c>
      <c r="F12">
        <f>E12-D12</f>
        <v/>
      </c>
      <c r="G12" t="inlineStr">
        <is>
          <t>STRENGTH — but only by under-scheduling</t>
        </is>
      </c>
    </row>
    <row r="13">
      <c r="A13" t="inlineStr">
        <is>
          <t>Financial Risk</t>
        </is>
      </c>
      <c r="B13" t="n">
        <v>1</v>
      </c>
      <c r="C13" t="n">
        <v>1</v>
      </c>
      <c r="D13" t="n">
        <v>1</v>
      </c>
      <c r="E13" t="n">
        <v>1</v>
      </c>
      <c r="F13">
        <f>E13-D13</f>
        <v/>
      </c>
      <c r="G13" t="inlineStr">
        <is>
          <t>No debt</t>
        </is>
      </c>
    </row>
    <row r="15">
      <c r="A15" t="inlineStr">
        <is>
          <t>Cumulative BSC (Q2+Q3)</t>
        </is>
      </c>
    </row>
    <row r="16">
      <c r="A16" s="165" t="inlineStr">
        <is>
          <t>Indicator</t>
        </is>
      </c>
      <c r="B16" t="inlineStr">
        <is>
          <t>Min</t>
        </is>
      </c>
      <c r="C16" t="inlineStr">
        <is>
          <t>Max</t>
        </is>
      </c>
      <c r="D16" t="inlineStr">
        <is>
          <t>Average</t>
        </is>
      </c>
      <c r="E16" t="inlineStr">
        <is>
          <t>WeBike</t>
        </is>
      </c>
    </row>
    <row r="17">
      <c r="A17" t="inlineStr">
        <is>
          <t>Cumulative Total Performance</t>
        </is>
      </c>
      <c r="B17" t="n">
        <v>0.033</v>
      </c>
      <c r="C17" t="n">
        <v>6.54</v>
      </c>
      <c r="D17" t="n">
        <v>2.466</v>
      </c>
      <c r="E17" t="n">
        <v>0.033</v>
      </c>
    </row>
    <row r="18">
      <c r="A18" t="inlineStr">
        <is>
          <t>Cumulative Financial Performance</t>
        </is>
      </c>
      <c r="B18" t="n">
        <v>1.203</v>
      </c>
      <c r="C18" t="n">
        <v>24.032</v>
      </c>
      <c r="D18" t="n">
        <v>12.327</v>
      </c>
      <c r="E18" t="n">
        <v>1.203</v>
      </c>
    </row>
    <row r="19">
      <c r="A19" t="inlineStr">
        <is>
          <t>Cumulative Market Performance</t>
        </is>
      </c>
      <c r="B19" t="n">
        <v>0.091</v>
      </c>
      <c r="C19" t="n">
        <v>0.264</v>
      </c>
      <c r="D19" t="n">
        <v>0.168</v>
      </c>
      <c r="E19" t="n">
        <v>0.091</v>
      </c>
    </row>
    <row r="20">
      <c r="A20" t="inlineStr">
        <is>
          <t>Cumulative Marketing Effectiveness</t>
        </is>
      </c>
      <c r="B20" t="n">
        <v>0.576</v>
      </c>
      <c r="C20" t="n">
        <v>0.754</v>
      </c>
      <c r="D20" t="n">
        <v>0.701</v>
      </c>
      <c r="E20" t="n">
        <v>0.576</v>
      </c>
    </row>
    <row r="21">
      <c r="A21" t="inlineStr">
        <is>
          <t>Cumulative Investment in Future</t>
        </is>
      </c>
      <c r="B21" t="n">
        <v>3.466</v>
      </c>
      <c r="C21" t="n">
        <v>7.401</v>
      </c>
      <c r="D21" t="n">
        <v>5.386</v>
      </c>
      <c r="E21" t="n">
        <v>6.795</v>
      </c>
    </row>
    <row r="22">
      <c r="A22" t="inlineStr">
        <is>
          <t>Cumulative Wealth</t>
        </is>
      </c>
      <c r="B22" t="n">
        <v>0.668</v>
      </c>
      <c r="C22" t="n">
        <v>1.017</v>
      </c>
      <c r="D22" t="n">
        <v>0.831</v>
      </c>
      <c r="E22" t="n">
        <v>0.668</v>
      </c>
    </row>
    <row r="23">
      <c r="A23" t="inlineStr">
        <is>
          <t>Cumulative HR Management</t>
        </is>
      </c>
      <c r="B23" t="n">
        <v>0.666</v>
      </c>
      <c r="C23" t="n">
        <v>0.75</v>
      </c>
      <c r="D23" t="n">
        <v>0.709</v>
      </c>
      <c r="E23" t="n">
        <v>0.733</v>
      </c>
    </row>
    <row r="24">
      <c r="A24" t="inlineStr">
        <is>
          <t>Cumulative Asset Management</t>
        </is>
      </c>
      <c r="B24" t="n">
        <v>0.28</v>
      </c>
      <c r="C24" t="n">
        <v>0.71</v>
      </c>
      <c r="D24" t="n">
        <v>0.444</v>
      </c>
      <c r="E24" t="n">
        <v>0.28</v>
      </c>
    </row>
    <row r="25">
      <c r="A25" t="inlineStr">
        <is>
          <t>Cumulative Manufacturing Productivity</t>
        </is>
      </c>
      <c r="B25" t="n">
        <v>0.5659999999999999</v>
      </c>
      <c r="C25" t="n">
        <v>0.969</v>
      </c>
      <c r="D25" t="n">
        <v>0.852</v>
      </c>
      <c r="E25" t="n">
        <v>0.5659999999999999</v>
      </c>
    </row>
    <row r="26">
      <c r="A26" t="inlineStr">
        <is>
          <t>Cumulative Financial Risk</t>
        </is>
      </c>
      <c r="B26" t="n">
        <v>1</v>
      </c>
      <c r="C26" t="n">
        <v>1</v>
      </c>
      <c r="D26" t="n">
        <v>1</v>
      </c>
      <c r="E26" t="n">
        <v>1</v>
      </c>
    </row>
    <row r="29">
      <c r="A29" s="165" t="inlineStr">
        <is>
          <t>Sensitivity — what moves Total Performance</t>
        </is>
      </c>
    </row>
    <row r="30">
      <c r="A30" t="inlineStr">
        <is>
          <t>Scenario</t>
        </is>
      </c>
      <c r="B30" t="inlineStr">
        <is>
          <t>Total Performance</t>
        </is>
      </c>
      <c r="C30" t="inlineStr">
        <is>
          <t>Note</t>
        </is>
      </c>
    </row>
    <row r="31">
      <c r="A31" t="inlineStr">
        <is>
          <t>Q3 actual</t>
        </is>
      </c>
      <c r="B31" t="n">
        <v>0.411</v>
      </c>
      <c r="C31" t="inlineStr">
        <is>
          <t>baseline</t>
        </is>
      </c>
    </row>
    <row r="32">
      <c r="A32" t="inlineStr">
        <is>
          <t>Serve 100% of demand (MP 0.098 -&gt; 0.150)</t>
        </is>
      </c>
      <c r="B32">
        <f>0.411/0.098*0.15</f>
        <v/>
      </c>
      <c r="C32" t="inlineStr">
        <is>
          <t>no stock-outs, same share</t>
        </is>
      </c>
    </row>
    <row r="33">
      <c r="A33" t="inlineStr">
        <is>
          <t>+ Asset turnover 0.353 -&gt; 0.55</t>
        </is>
      </c>
      <c r="B33">
        <f>B32/0.353*0.55</f>
        <v/>
      </c>
      <c r="C33" t="inlineStr">
        <is>
          <t>deploy idle cash into revenue</t>
        </is>
      </c>
    </row>
    <row r="34">
      <c r="A34" t="inlineStr">
        <is>
          <t>+ HR 0.713 -&gt; 0.80</t>
        </is>
      </c>
      <c r="B34">
        <f>B33/0.713*0.80</f>
        <v/>
      </c>
      <c r="C34" t="inlineStr">
        <is>
          <t>raise pay above new industry avg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Q3 Market Demand &amp; Share (all competitors)</t>
        </is>
      </c>
    </row>
    <row r="2">
      <c r="A2" t="inlineStr">
        <is>
          <t>Mountain is our strong segment (#2 of 7). Speed is crowded and we are weak there.</t>
        </is>
      </c>
    </row>
    <row r="3">
      <c r="A3" s="166" t="inlineStr">
        <is>
          <t>Company</t>
        </is>
      </c>
      <c r="B3" s="166" t="inlineStr">
        <is>
          <t>Recreation</t>
        </is>
      </c>
      <c r="C3" s="166" t="inlineStr">
        <is>
          <t>Mountain</t>
        </is>
      </c>
      <c r="D3" s="166" t="inlineStr">
        <is>
          <t>Speed</t>
        </is>
      </c>
      <c r="E3" s="166" t="inlineStr">
        <is>
          <t>Total Demand</t>
        </is>
      </c>
      <c r="F3" s="166" t="inlineStr">
        <is>
          <t>Rec %</t>
        </is>
      </c>
      <c r="G3" s="166" t="inlineStr">
        <is>
          <t>Mtn %</t>
        </is>
      </c>
      <c r="H3" s="166" t="inlineStr">
        <is>
          <t>Speed %</t>
        </is>
      </c>
      <c r="I3" s="166" t="inlineStr">
        <is>
          <t>Total %</t>
        </is>
      </c>
    </row>
    <row r="4">
      <c r="A4" t="inlineStr">
        <is>
          <t>Bike Bros</t>
        </is>
      </c>
      <c r="B4" t="n">
        <v>138</v>
      </c>
      <c r="C4" t="n">
        <v>172</v>
      </c>
      <c r="D4" t="n">
        <v>180</v>
      </c>
      <c r="E4" t="n">
        <v>490</v>
      </c>
      <c r="F4" t="n">
        <v>0.067</v>
      </c>
      <c r="G4" t="n">
        <v>0.1061</v>
      </c>
      <c r="H4" t="n">
        <v>0.0625</v>
      </c>
      <c r="I4" t="n">
        <v>0.0747</v>
      </c>
    </row>
    <row r="5">
      <c r="A5" t="inlineStr">
        <is>
          <t>LiteCycle</t>
        </is>
      </c>
      <c r="B5" t="n">
        <v>96</v>
      </c>
      <c r="C5" t="n">
        <v>340</v>
      </c>
      <c r="D5" t="n">
        <v>548</v>
      </c>
      <c r="E5" t="n">
        <v>984</v>
      </c>
      <c r="F5" t="n">
        <v>0.0466</v>
      </c>
      <c r="G5" t="n">
        <v>0.2097</v>
      </c>
      <c r="H5" t="n">
        <v>0.1904</v>
      </c>
      <c r="I5" t="n">
        <v>0.15</v>
      </c>
    </row>
    <row r="6">
      <c r="A6" s="168" t="inlineStr">
        <is>
          <t>WeBike</t>
        </is>
      </c>
      <c r="B6" s="168" t="n">
        <v>54</v>
      </c>
      <c r="C6" s="168" t="n">
        <v>358</v>
      </c>
      <c r="D6" s="168" t="n">
        <v>215</v>
      </c>
      <c r="E6" s="168" t="n">
        <v>627</v>
      </c>
      <c r="F6" s="168" t="n">
        <v>0.0262</v>
      </c>
      <c r="G6" s="168" t="n">
        <v>0.2209</v>
      </c>
      <c r="H6" s="168" t="n">
        <v>0.0747</v>
      </c>
      <c r="I6" s="168" t="n">
        <v>0.0956</v>
      </c>
    </row>
    <row r="7">
      <c r="A7" t="inlineStr">
        <is>
          <t>BB LLC</t>
        </is>
      </c>
      <c r="B7" t="n">
        <v>99</v>
      </c>
      <c r="C7" t="n">
        <v>751</v>
      </c>
      <c r="D7" t="n">
        <v>657</v>
      </c>
      <c r="E7" t="n">
        <v>1507</v>
      </c>
      <c r="F7" t="n">
        <v>0.0481</v>
      </c>
      <c r="G7" t="n">
        <v>0.4633</v>
      </c>
      <c r="H7" t="n">
        <v>0.2283</v>
      </c>
      <c r="I7" t="n">
        <v>0.2298</v>
      </c>
    </row>
    <row r="8">
      <c r="A8" t="inlineStr">
        <is>
          <t>Spoke'd Up</t>
        </is>
      </c>
      <c r="B8" t="n">
        <v>492</v>
      </c>
      <c r="C8" t="n">
        <v>0</v>
      </c>
      <c r="D8" t="n">
        <v>362</v>
      </c>
      <c r="E8" t="n">
        <v>854</v>
      </c>
      <c r="F8" t="n">
        <v>0.2388</v>
      </c>
      <c r="G8" t="n">
        <v>0</v>
      </c>
      <c r="H8" t="n">
        <v>0.1258</v>
      </c>
      <c r="I8" t="n">
        <v>0.1302</v>
      </c>
    </row>
    <row r="9">
      <c r="A9" t="inlineStr">
        <is>
          <t>SpaceBikes</t>
        </is>
      </c>
      <c r="B9" t="n">
        <v>710</v>
      </c>
      <c r="C9" t="n">
        <v>0</v>
      </c>
      <c r="D9" t="n">
        <v>588</v>
      </c>
      <c r="E9" t="n">
        <v>1298</v>
      </c>
      <c r="F9" t="n">
        <v>0.3447</v>
      </c>
      <c r="G9" t="n">
        <v>0</v>
      </c>
      <c r="H9" t="n">
        <v>0.2043</v>
      </c>
      <c r="I9" t="n">
        <v>0.1979</v>
      </c>
    </row>
    <row r="10">
      <c r="A10" t="inlineStr">
        <is>
          <t>MILC Bikes</t>
        </is>
      </c>
      <c r="B10" t="n">
        <v>471</v>
      </c>
      <c r="C10" t="n">
        <v>0</v>
      </c>
      <c r="D10" t="n">
        <v>328</v>
      </c>
      <c r="E10" t="n">
        <v>799</v>
      </c>
      <c r="F10" t="n">
        <v>0.2286</v>
      </c>
      <c r="G10" t="n">
        <v>0</v>
      </c>
      <c r="H10" t="n">
        <v>0.114</v>
      </c>
      <c r="I10" t="n">
        <v>0.1218</v>
      </c>
    </row>
    <row r="11">
      <c r="A11" t="inlineStr">
        <is>
          <t>TOTAL</t>
        </is>
      </c>
      <c r="B11" t="n">
        <v>2060</v>
      </c>
      <c r="C11" t="n">
        <v>1621</v>
      </c>
      <c r="D11" t="n">
        <v>2878</v>
      </c>
      <c r="E11" t="n">
        <v>6559</v>
      </c>
    </row>
    <row r="14">
      <c r="A14" s="165" t="inlineStr">
        <is>
          <t>Segment read</t>
        </is>
      </c>
      <c r="B14" t="inlineStr">
        <is>
          <t>Detail</t>
        </is>
      </c>
    </row>
    <row r="15">
      <c r="A15" t="inlineStr">
        <is>
          <t>Mountain</t>
        </is>
      </c>
      <c r="B15" t="inlineStr">
        <is>
          <t>Only 4 of 7 firms compete. We are #2 at 22.1% behind BB LLC 46.3%. Smallest segment (1,621) but least crowded.</t>
        </is>
      </c>
    </row>
    <row r="16">
      <c r="A16" t="inlineStr">
        <is>
          <t>Speed</t>
        </is>
      </c>
      <c r="B16" t="inlineStr">
        <is>
          <t>Largest segment (2,878) and all 7 firms compete. We are 6th at 7.5%. Swift Bike is not winning.</t>
        </is>
      </c>
    </row>
    <row r="17">
      <c r="A17" t="inlineStr">
        <is>
          <t>Recreation</t>
        </is>
      </c>
      <c r="B17" t="inlineStr">
        <is>
          <t>Not targeted. 3 firms own ~81% of it.</t>
        </is>
      </c>
    </row>
    <row r="18">
      <c r="A18" t="inlineStr">
        <is>
          <t>BB LLC</t>
        </is>
      </c>
      <c r="B18" t="inlineStr">
        <is>
          <t>Industry leader: 23% total share, dominates Mountain AND #1 Speed. Main rival in our primary.</t>
        </is>
      </c>
    </row>
    <row r="21">
      <c r="A21" s="165" t="inlineStr">
        <is>
          <t>Demand after ill will &amp; stock-outs (WeBike)</t>
        </is>
      </c>
    </row>
    <row r="22">
      <c r="A22" t="inlineStr">
        <is>
          <t>Brand</t>
        </is>
      </c>
      <c r="B22" t="inlineStr">
        <is>
          <t>Generated Demand</t>
        </is>
      </c>
      <c r="C22" t="inlineStr">
        <is>
          <t>Net Demand</t>
        </is>
      </c>
      <c r="D22" t="inlineStr">
        <is>
          <t>Lost to Stock-out</t>
        </is>
      </c>
      <c r="E22" t="inlineStr">
        <is>
          <t>Units Sold</t>
        </is>
      </c>
    </row>
    <row r="23">
      <c r="A23" t="inlineStr">
        <is>
          <t>Hike Bike</t>
        </is>
      </c>
      <c r="B23" t="n">
        <v>412</v>
      </c>
      <c r="C23" t="n">
        <v>412</v>
      </c>
      <c r="D23" t="n">
        <v>134</v>
      </c>
      <c r="E23" t="n">
        <v>278</v>
      </c>
    </row>
    <row r="24">
      <c r="A24" t="inlineStr">
        <is>
          <t>Swift Bike</t>
        </is>
      </c>
      <c r="B24" t="n">
        <v>215</v>
      </c>
      <c r="C24" t="n">
        <v>215</v>
      </c>
      <c r="D24" t="n">
        <v>70</v>
      </c>
      <c r="E24" t="n">
        <v>145</v>
      </c>
    </row>
    <row r="25">
      <c r="A25" t="inlineStr">
        <is>
          <t>Total</t>
        </is>
      </c>
      <c r="B25" t="n">
        <v>627</v>
      </c>
      <c r="C25" t="n">
        <v>627</v>
      </c>
      <c r="D25" t="n">
        <v>204</v>
      </c>
      <c r="E25" t="n">
        <v>423</v>
      </c>
    </row>
    <row r="26">
      <c r="A26" t="inlineStr">
        <is>
          <t>Percent of demand served</t>
        </is>
      </c>
      <c r="B26">
        <f>E25/C25</f>
        <v/>
      </c>
      <c r="E26" t="inlineStr">
        <is>
          <t>67%</t>
        </is>
      </c>
    </row>
    <row r="27">
      <c r="A27" t="inlineStr">
        <is>
          <t>Q4 ill-will penalty (half of lost %)</t>
        </is>
      </c>
      <c r="B27">
        <f>D25/C25/2</f>
        <v/>
      </c>
      <c r="C27" t="inlineStr">
        <is>
          <t>Q4 generated demand cut by this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Income Statement / Cash Flow / Balance Sheet — Q1-Q3 actual</t>
        </is>
      </c>
    </row>
    <row r="3">
      <c r="A3" s="166" t="inlineStr">
        <is>
          <t>Income Statement</t>
        </is>
      </c>
      <c r="B3" s="166" t="inlineStr">
        <is>
          <t>Q1</t>
        </is>
      </c>
      <c r="C3" s="166" t="inlineStr">
        <is>
          <t>Q2</t>
        </is>
      </c>
      <c r="D3" s="166" t="inlineStr">
        <is>
          <t>Q3</t>
        </is>
      </c>
    </row>
    <row r="4">
      <c r="A4" t="inlineStr">
        <is>
          <t>Revenues</t>
        </is>
      </c>
      <c r="B4" t="n">
        <v>0</v>
      </c>
      <c r="C4" t="n">
        <v>266175</v>
      </c>
      <c r="D4" t="n">
        <v>589720</v>
      </c>
    </row>
    <row r="5">
      <c r="A5" t="inlineStr">
        <is>
          <t>- Cost of Goods Sold</t>
        </is>
      </c>
      <c r="B5" t="n">
        <v>0</v>
      </c>
      <c r="C5" t="n">
        <v>100928</v>
      </c>
      <c r="D5" t="n">
        <v>272340</v>
      </c>
    </row>
    <row r="6">
      <c r="A6">
        <f> Gross Profit</f>
        <v/>
      </c>
      <c r="B6" t="n">
        <v>0</v>
      </c>
      <c r="C6" t="n">
        <v>165247</v>
      </c>
      <c r="D6" t="n">
        <v>317380</v>
      </c>
    </row>
    <row r="7">
      <c r="A7" t="inlineStr">
        <is>
          <t>Research and Development</t>
        </is>
      </c>
      <c r="B7" t="n">
        <v>30000</v>
      </c>
      <c r="C7" t="n">
        <v>0</v>
      </c>
      <c r="D7" t="n">
        <v>30000</v>
      </c>
    </row>
    <row r="8">
      <c r="A8" t="inlineStr">
        <is>
          <t>+ Advertising</t>
        </is>
      </c>
      <c r="B8" t="n">
        <v>0</v>
      </c>
      <c r="C8" t="n">
        <v>81780</v>
      </c>
      <c r="D8" t="n">
        <v>119165</v>
      </c>
    </row>
    <row r="9">
      <c r="A9" t="inlineStr">
        <is>
          <t>+ Internet Marketing</t>
        </is>
      </c>
      <c r="B9" t="n">
        <v>0</v>
      </c>
      <c r="C9" t="n">
        <v>1000</v>
      </c>
      <c r="D9" t="n">
        <v>2000</v>
      </c>
    </row>
    <row r="10">
      <c r="A10" t="inlineStr">
        <is>
          <t>+ Sales Force Expense</t>
        </is>
      </c>
      <c r="B10" t="n">
        <v>0</v>
      </c>
      <c r="C10" t="n">
        <v>70010</v>
      </c>
      <c r="D10" t="n">
        <v>93815</v>
      </c>
    </row>
    <row r="11">
      <c r="A11" t="inlineStr">
        <is>
          <t>+ Store and Web Center Expense</t>
        </is>
      </c>
      <c r="B11" t="n">
        <v>286000</v>
      </c>
      <c r="C11" t="n">
        <v>194000</v>
      </c>
      <c r="D11" t="n">
        <v>121000</v>
      </c>
    </row>
    <row r="12">
      <c r="A12" t="inlineStr">
        <is>
          <t>+ Web Sales Productivity</t>
        </is>
      </c>
      <c r="B12" t="n">
        <v>0</v>
      </c>
      <c r="C12" t="n">
        <v>18000</v>
      </c>
      <c r="D12" t="n">
        <v>6000</v>
      </c>
    </row>
    <row r="13">
      <c r="A13" t="inlineStr">
        <is>
          <t>+ Marketing Research</t>
        </is>
      </c>
      <c r="B13" t="n">
        <v>0</v>
      </c>
      <c r="C13" t="n">
        <v>20000</v>
      </c>
      <c r="D13" t="n">
        <v>20000</v>
      </c>
    </row>
    <row r="14">
      <c r="A14" t="inlineStr">
        <is>
          <t>+ Shipping</t>
        </is>
      </c>
      <c r="B14" t="n">
        <v>0</v>
      </c>
      <c r="C14" t="n">
        <v>3537</v>
      </c>
      <c r="D14" t="n">
        <v>6830</v>
      </c>
    </row>
    <row r="15">
      <c r="A15" t="inlineStr">
        <is>
          <t>+ Excess Capacity Cost</t>
        </is>
      </c>
      <c r="B15" t="n">
        <v>0</v>
      </c>
      <c r="C15" t="n">
        <v>148652</v>
      </c>
      <c r="D15" t="n">
        <v>0</v>
      </c>
    </row>
    <row r="16">
      <c r="A16" t="inlineStr">
        <is>
          <t>+ Depreciation</t>
        </is>
      </c>
      <c r="B16" t="n">
        <v>0</v>
      </c>
      <c r="C16" t="n">
        <v>30000</v>
      </c>
      <c r="D16" t="n">
        <v>30000</v>
      </c>
    </row>
    <row r="17">
      <c r="A17">
        <f> Total Expenses</f>
        <v/>
      </c>
      <c r="B17" t="n">
        <v>316000</v>
      </c>
      <c r="C17" t="n">
        <v>566978</v>
      </c>
      <c r="D17" t="n">
        <v>428810</v>
      </c>
    </row>
    <row r="18">
      <c r="A18" t="inlineStr">
        <is>
          <t>Operating Profit</t>
        </is>
      </c>
      <c r="B18" t="n">
        <v>-316000</v>
      </c>
      <c r="C18" t="n">
        <v>-401731</v>
      </c>
      <c r="D18" t="n">
        <v>-111431</v>
      </c>
    </row>
    <row r="19">
      <c r="A19">
        <f> Net Income</f>
        <v/>
      </c>
      <c r="B19" t="n">
        <v>-316000</v>
      </c>
      <c r="C19" t="n">
        <v>-401731</v>
      </c>
      <c r="D19" t="n">
        <v>-111431</v>
      </c>
    </row>
    <row r="20">
      <c r="A20" t="inlineStr">
        <is>
          <t>Earnings per Share</t>
        </is>
      </c>
      <c r="B20" t="n">
        <v>-21</v>
      </c>
      <c r="C20" t="n">
        <v>-20</v>
      </c>
      <c r="D20" t="n">
        <v>-4</v>
      </c>
    </row>
    <row r="24">
      <c r="A24" s="165" t="inlineStr">
        <is>
          <t>Cash Flow</t>
        </is>
      </c>
      <c r="B24" t="inlineStr">
        <is>
          <t>Q1</t>
        </is>
      </c>
      <c r="C24" t="inlineStr">
        <is>
          <t>Q2</t>
        </is>
      </c>
      <c r="D24" t="inlineStr">
        <is>
          <t>Q3</t>
        </is>
      </c>
    </row>
    <row r="25">
      <c r="A25" t="inlineStr">
        <is>
          <t>Beginning Cash</t>
        </is>
      </c>
      <c r="B25" t="n">
        <v>0</v>
      </c>
      <c r="C25" t="n">
        <v>464000</v>
      </c>
      <c r="D25" t="n">
        <v>592269</v>
      </c>
    </row>
    <row r="26">
      <c r="A26" t="inlineStr">
        <is>
          <t>Net Operating Cash Flow</t>
        </is>
      </c>
      <c r="B26" t="n">
        <v>-316000</v>
      </c>
      <c r="C26" t="n">
        <v>-371731</v>
      </c>
      <c r="D26" t="n">
        <v>-81431</v>
      </c>
    </row>
    <row r="27">
      <c r="A27" t="inlineStr">
        <is>
          <t>Investing (fixed capacity)</t>
        </is>
      </c>
      <c r="B27" t="n">
        <v>720000</v>
      </c>
      <c r="C27" t="n">
        <v>0</v>
      </c>
      <c r="D27" t="n">
        <v>0</v>
      </c>
    </row>
    <row r="28">
      <c r="A28" t="inlineStr">
        <is>
          <t>Financing (stock issued)</t>
        </is>
      </c>
      <c r="B28" t="n">
        <v>1500000</v>
      </c>
      <c r="C28" t="n">
        <v>500000</v>
      </c>
      <c r="D28" t="n">
        <v>500000</v>
      </c>
    </row>
    <row r="29">
      <c r="A29" t="inlineStr">
        <is>
          <t>Ending Cash</t>
        </is>
      </c>
      <c r="B29" t="n">
        <v>464000</v>
      </c>
      <c r="C29" t="n">
        <v>592269</v>
      </c>
      <c r="D29" t="n">
        <v>1010838</v>
      </c>
    </row>
    <row r="32">
      <c r="A32" s="165" t="inlineStr">
        <is>
          <t>Balance Sheet</t>
        </is>
      </c>
      <c r="B32" t="inlineStr">
        <is>
          <t>Q1</t>
        </is>
      </c>
      <c r="C32" t="inlineStr">
        <is>
          <t>Q2</t>
        </is>
      </c>
      <c r="D32" t="inlineStr">
        <is>
          <t>Q3</t>
        </is>
      </c>
    </row>
    <row r="33">
      <c r="A33" t="inlineStr">
        <is>
          <t>Cash</t>
        </is>
      </c>
      <c r="B33" t="n">
        <v>464000</v>
      </c>
      <c r="C33" t="n">
        <v>592269</v>
      </c>
      <c r="D33" t="n">
        <v>1010838</v>
      </c>
    </row>
    <row r="34">
      <c r="A34" t="inlineStr">
        <is>
          <t>3-Month CD</t>
        </is>
      </c>
      <c r="B34" t="n">
        <v>0</v>
      </c>
      <c r="C34" t="n">
        <v>0</v>
      </c>
      <c r="D34" t="n">
        <v>0</v>
      </c>
    </row>
    <row r="35">
      <c r="A35" t="inlineStr">
        <is>
          <t>Net Fixed Assets</t>
        </is>
      </c>
      <c r="B35" t="n">
        <v>720000</v>
      </c>
      <c r="C35" t="n">
        <v>690000</v>
      </c>
      <c r="D35" t="n">
        <v>660000</v>
      </c>
    </row>
    <row r="36">
      <c r="A36">
        <f> Total Assets</f>
        <v/>
      </c>
      <c r="B36" t="n">
        <v>1184000</v>
      </c>
      <c r="C36" t="n">
        <v>1282269</v>
      </c>
      <c r="D36" t="n">
        <v>1670838</v>
      </c>
    </row>
    <row r="37">
      <c r="A37" t="inlineStr">
        <is>
          <t>Common Stock</t>
        </is>
      </c>
      <c r="B37" t="n">
        <v>1500000</v>
      </c>
      <c r="C37" t="n">
        <v>2000000</v>
      </c>
      <c r="D37" t="n">
        <v>2500000</v>
      </c>
    </row>
    <row r="38">
      <c r="A38" t="inlineStr">
        <is>
          <t>Retained Earnings</t>
        </is>
      </c>
      <c r="B38" t="n">
        <v>-316000</v>
      </c>
      <c r="C38" t="n">
        <v>-717731</v>
      </c>
      <c r="D38" t="n">
        <v>-829162</v>
      </c>
    </row>
    <row r="39">
      <c r="A39" t="inlineStr">
        <is>
          <t>Shares issued</t>
        </is>
      </c>
      <c r="B39" t="n">
        <v>15000</v>
      </c>
      <c r="C39" t="n">
        <v>20000</v>
      </c>
      <c r="D39" t="n">
        <v>25000</v>
      </c>
    </row>
    <row r="42">
      <c r="A42" s="165" t="inlineStr">
        <is>
          <t>Industry ratios (Q3)</t>
        </is>
      </c>
      <c r="B42" t="inlineStr">
        <is>
          <t>Lowest</t>
        </is>
      </c>
      <c r="C42" t="inlineStr">
        <is>
          <t>Highest</t>
        </is>
      </c>
      <c r="D42" t="inlineStr">
        <is>
          <t>Average</t>
        </is>
      </c>
      <c r="E42" t="inlineStr">
        <is>
          <t>WeBike</t>
        </is>
      </c>
    </row>
    <row r="43">
      <c r="A43" t="inlineStr">
        <is>
          <t>Fixed Assets Turnover</t>
        </is>
      </c>
      <c r="B43" t="n">
        <v>0.63</v>
      </c>
      <c r="C43" t="n">
        <v>2.14</v>
      </c>
      <c r="D43" t="n">
        <v>1.22</v>
      </c>
      <c r="E43" t="n">
        <v>0.89</v>
      </c>
    </row>
    <row r="44">
      <c r="A44" t="inlineStr">
        <is>
          <t>Total Assets Turnover</t>
        </is>
      </c>
      <c r="B44" t="n">
        <v>0.35</v>
      </c>
      <c r="C44" t="n">
        <v>0.92</v>
      </c>
      <c r="D44" t="n">
        <v>0.54</v>
      </c>
      <c r="E44" t="n">
        <v>0.35</v>
      </c>
    </row>
    <row r="45">
      <c r="A45" t="inlineStr">
        <is>
          <t>Gross Profit Margin</t>
        </is>
      </c>
      <c r="B45" t="n">
        <v>0.5382</v>
      </c>
      <c r="C45" t="n">
        <v>0.6546999999999999</v>
      </c>
      <c r="D45" t="n">
        <v>0.5824</v>
      </c>
      <c r="E45" t="n">
        <v>0.5382</v>
      </c>
    </row>
    <row r="46">
      <c r="A46" t="inlineStr">
        <is>
          <t>Net Profit Margin</t>
        </is>
      </c>
      <c r="B46" t="n">
        <v>-0.41</v>
      </c>
      <c r="C46" t="n">
        <v>0.2823</v>
      </c>
      <c r="D46" t="n">
        <v>0.008999999999999999</v>
      </c>
      <c r="E46" t="n">
        <v>-0.189</v>
      </c>
    </row>
    <row r="47">
      <c r="A47" t="inlineStr">
        <is>
          <t>Return on Assets</t>
        </is>
      </c>
      <c r="B47" t="n">
        <v>-0.1493</v>
      </c>
      <c r="C47" t="n">
        <v>0.2132</v>
      </c>
      <c r="D47" t="n">
        <v>0.0368</v>
      </c>
      <c r="E47" t="n">
        <v>-0.0667</v>
      </c>
    </row>
    <row r="48">
      <c r="A48" t="inlineStr">
        <is>
          <t>Revenues</t>
        </is>
      </c>
      <c r="B48" t="n">
        <v>589720</v>
      </c>
      <c r="C48" t="n">
        <v>2198310</v>
      </c>
      <c r="D48" t="n">
        <v>1170036</v>
      </c>
      <c r="E48" t="n">
        <v>589720</v>
      </c>
    </row>
    <row r="49">
      <c r="A49" t="inlineStr">
        <is>
          <t>Gross Profit</t>
        </is>
      </c>
      <c r="B49" t="n">
        <v>317380</v>
      </c>
      <c r="C49" t="n">
        <v>1204529</v>
      </c>
      <c r="D49" t="n">
        <v>683601</v>
      </c>
      <c r="E49" t="n">
        <v>317380</v>
      </c>
    </row>
    <row r="50">
      <c r="A50" t="inlineStr">
        <is>
          <t>Net Income</t>
        </is>
      </c>
      <c r="B50" t="n">
        <v>-297348</v>
      </c>
      <c r="C50" t="n">
        <v>510317</v>
      </c>
      <c r="D50" t="n">
        <v>103771</v>
      </c>
      <c r="E50" t="n">
        <v>-111431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Q3 realized unit economics + cost of the stock-out</t>
        </is>
      </c>
    </row>
    <row r="2">
      <c r="A2" t="inlineStr">
        <is>
          <t>Actual prices/costs from the Sales report. Contribution per unit is strong; we simply did not build enough.</t>
        </is>
      </c>
    </row>
    <row r="3">
      <c r="A3" s="166" t="inlineStr">
        <is>
          <t>Brand</t>
        </is>
      </c>
      <c r="B3" s="166" t="inlineStr">
        <is>
          <t>Units Sold</t>
        </is>
      </c>
      <c r="C3" s="166" t="inlineStr">
        <is>
          <t>Revenue</t>
        </is>
      </c>
      <c r="D3" s="166" t="inlineStr">
        <is>
          <t>COGS</t>
        </is>
      </c>
      <c r="E3" s="166" t="inlineStr">
        <is>
          <t>Price/unit</t>
        </is>
      </c>
      <c r="F3" s="166" t="inlineStr">
        <is>
          <t>Cost/unit</t>
        </is>
      </c>
      <c r="G3" s="166" t="inlineStr">
        <is>
          <t>Contribution/unit</t>
        </is>
      </c>
      <c r="H3" s="166" t="inlineStr">
        <is>
          <t>Lost units</t>
        </is>
      </c>
      <c r="I3" s="166" t="inlineStr">
        <is>
          <t>Lost contribution</t>
        </is>
      </c>
    </row>
    <row r="4">
      <c r="A4" t="inlineStr">
        <is>
          <t>Hike Bike</t>
        </is>
      </c>
      <c r="B4" t="n">
        <v>278</v>
      </c>
      <c r="C4" t="n">
        <v>379470</v>
      </c>
      <c r="D4" t="n">
        <v>171741</v>
      </c>
      <c r="E4">
        <f>C4/B4</f>
        <v/>
      </c>
      <c r="F4">
        <f>D4/B4</f>
        <v/>
      </c>
      <c r="G4">
        <f>E4-F4</f>
        <v/>
      </c>
      <c r="H4" t="n">
        <v>134</v>
      </c>
      <c r="I4">
        <f>G4*H4</f>
        <v/>
      </c>
    </row>
    <row r="5">
      <c r="A5" t="inlineStr">
        <is>
          <t>Swift Bike</t>
        </is>
      </c>
      <c r="B5" t="n">
        <v>145</v>
      </c>
      <c r="C5" t="n">
        <v>210250</v>
      </c>
      <c r="D5" t="n">
        <v>100599</v>
      </c>
      <c r="E5">
        <f>C5/B5</f>
        <v/>
      </c>
      <c r="F5">
        <f>D5/B5</f>
        <v/>
      </c>
      <c r="G5">
        <f>E5-F5</f>
        <v/>
      </c>
      <c r="H5" t="n">
        <v>70</v>
      </c>
      <c r="I5">
        <f>G5*H5</f>
        <v/>
      </c>
    </row>
    <row r="6">
      <c r="A6" t="inlineStr">
        <is>
          <t>Total</t>
        </is>
      </c>
      <c r="B6">
        <f>SUM(B4:B5)</f>
        <v/>
      </c>
      <c r="C6">
        <f>SUM(C4:C5)</f>
        <v/>
      </c>
      <c r="D6">
        <f>SUM(D4:D5)</f>
        <v/>
      </c>
      <c r="H6">
        <f>SUM(H4:H5)</f>
        <v/>
      </c>
      <c r="I6">
        <f>SUM(I4:I5)</f>
        <v/>
      </c>
    </row>
    <row r="9">
      <c r="A9" s="165" t="inlineStr">
        <is>
          <t>Counterfactual — if every unit of demand had been built</t>
        </is>
      </c>
    </row>
    <row r="10">
      <c r="A10" t="inlineStr">
        <is>
          <t>Q3 operating profit (actual)</t>
        </is>
      </c>
      <c r="B10" t="n">
        <v>-111431</v>
      </c>
    </row>
    <row r="11">
      <c r="A11" t="inlineStr">
        <is>
          <t>+ Gross margin lost to stock-outs</t>
        </is>
      </c>
      <c r="B11">
        <f>I6</f>
        <v/>
      </c>
    </row>
    <row r="12">
      <c r="A12">
        <f> Operating profit if fully served</f>
        <v/>
      </c>
      <c r="B12" s="159">
        <f>B10+B11</f>
        <v/>
      </c>
    </row>
    <row r="13">
      <c r="A13" t="inlineStr">
        <is>
          <t>Note</t>
        </is>
      </c>
      <c r="B13" t="inlineStr">
        <is>
          <t>Ignores extra shipping/labor; higher volume would also LOWER unit cost (cost curve).</t>
        </is>
      </c>
    </row>
    <row r="16">
      <c r="A16" s="165" t="inlineStr">
        <is>
          <t>Capacity back-solve — what actually happened</t>
        </is>
      </c>
    </row>
    <row r="17">
      <c r="A17" t="inlineStr">
        <is>
          <t>Units produced</t>
        </is>
      </c>
      <c r="B17" t="n">
        <v>423</v>
      </c>
    </row>
    <row r="18">
      <c r="A18" t="inlineStr">
        <is>
          <t>Overtime as % of operating capacity used</t>
        </is>
      </c>
      <c r="B18" t="n">
        <v>0.13</v>
      </c>
    </row>
    <row r="19">
      <c r="A19" t="inlineStr">
        <is>
          <t>Implied normal-hours units</t>
        </is>
      </c>
      <c r="B19">
        <f>B17/(1+B18)</f>
        <v/>
      </c>
    </row>
    <row r="20">
      <c r="A20" t="inlineStr">
        <is>
          <t>Implied units/day (65 days)</t>
        </is>
      </c>
      <c r="B20">
        <f>B19/65</f>
        <v/>
      </c>
    </row>
    <row r="21">
      <c r="A21" t="inlineStr">
        <is>
          <t>Production worker productivity (actual)</t>
        </is>
      </c>
      <c r="B21" t="n">
        <v>0.72</v>
      </c>
    </row>
    <row r="22">
      <c r="A22" t="inlineStr">
        <is>
          <t>Implied SCHEDULED operating capacity</t>
        </is>
      </c>
      <c r="B22" s="167">
        <f>B20/B21</f>
        <v/>
      </c>
    </row>
    <row r="23">
      <c r="A23" t="inlineStr">
        <is>
          <t>Fixed capacity available</t>
        </is>
      </c>
      <c r="B23" t="n">
        <v>24</v>
      </c>
    </row>
    <row r="24">
      <c r="A24" t="inlineStr">
        <is>
          <t>Unused fixed capacity per day</t>
        </is>
      </c>
      <c r="B24" s="167">
        <f>B23-B22</f>
        <v/>
      </c>
    </row>
    <row r="25">
      <c r="A25" t="inlineStr">
        <is>
          <t>Read</t>
        </is>
      </c>
      <c r="B25" t="inlineStr">
        <is>
          <t>We owned 24/day and only scheduled ~8/day. The stock-out was a scheduling error, not a printer shortage.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Q4 planning — operating capacity sizing (yellow = decision)</t>
        </is>
      </c>
    </row>
    <row r="2">
      <c r="A2" t="inlineStr">
        <is>
          <t>Rule: OC/day = forecast demand / 65 * (1 + (1 - productivity)). Never schedule below forecast again.</t>
        </is>
      </c>
    </row>
    <row r="3">
      <c r="A3" s="166" t="inlineStr">
        <is>
          <t>Input</t>
        </is>
      </c>
      <c r="B3" s="166" t="inlineStr">
        <is>
          <t>Value</t>
        </is>
      </c>
      <c r="C3" s="166" t="inlineStr">
        <is>
          <t>Note</t>
        </is>
      </c>
    </row>
    <row r="4">
      <c r="A4" t="inlineStr">
        <is>
          <t>Q3 generated demand</t>
        </is>
      </c>
      <c r="B4" t="n">
        <v>627</v>
      </c>
      <c r="C4" t="inlineStr">
        <is>
          <t>actual</t>
        </is>
      </c>
    </row>
    <row r="5">
      <c r="A5" t="inlineStr">
        <is>
          <t>Ill-will penalty % (half of 32.5% lost)</t>
        </is>
      </c>
      <c r="B5" t="n">
        <v>0.163</v>
      </c>
      <c r="C5" t="inlineStr">
        <is>
          <t>applies to Q4 generated demand</t>
        </is>
      </c>
    </row>
    <row r="6">
      <c r="A6" t="inlineStr">
        <is>
          <t>Assumed demand growth before ill will</t>
        </is>
      </c>
      <c r="B6" s="168" t="n">
        <v>1.25</v>
      </c>
      <c r="C6" t="inlineStr">
        <is>
          <t>YELLOW — more people, Rio live, ads maturing</t>
        </is>
      </c>
    </row>
    <row r="7">
      <c r="A7" t="inlineStr">
        <is>
          <t>Q4 forecast demand (after ill will)</t>
        </is>
      </c>
      <c r="B7">
        <f>B4*B6*(1-B5)</f>
        <v/>
      </c>
      <c r="C7" t="inlineStr">
        <is>
          <t>feed to Demand_Forecast</t>
        </is>
      </c>
    </row>
    <row r="8">
      <c r="A8" t="inlineStr">
        <is>
          <t>Assumed production worker productivity</t>
        </is>
      </c>
      <c r="B8" s="168" t="n">
        <v>0.72</v>
      </c>
      <c r="C8" t="inlineStr">
        <is>
          <t>YELLOW — raise with better pay</t>
        </is>
      </c>
    </row>
    <row r="9">
      <c r="A9" t="inlineStr">
        <is>
          <t>Productivity pad</t>
        </is>
      </c>
      <c r="B9">
        <f>1+(1-B8)</f>
        <v/>
      </c>
    </row>
    <row r="10">
      <c r="A10" t="inlineStr">
        <is>
          <t>Required OC per day</t>
        </is>
      </c>
      <c r="B10">
        <f>B7/65*B9</f>
        <v/>
      </c>
      <c r="C10" t="inlineStr">
        <is>
          <t>schedule AT LEAST this</t>
        </is>
      </c>
    </row>
    <row r="11">
      <c r="A11" t="inlineStr">
        <is>
          <t>Required OC per quarter</t>
        </is>
      </c>
      <c r="B11">
        <f>B10*65</f>
        <v/>
      </c>
    </row>
    <row r="12">
      <c r="A12" t="inlineStr">
        <is>
          <t>Fixed capacity per day</t>
        </is>
      </c>
      <c r="B12" t="n">
        <v>24</v>
      </c>
      <c r="C12" t="inlineStr">
        <is>
          <t>3 printers</t>
        </is>
      </c>
    </row>
    <row r="13">
      <c r="A13" t="inlineStr">
        <is>
          <t>Headroom (fixed - required)</t>
        </is>
      </c>
      <c r="B13">
        <f>B12-B10</f>
        <v/>
      </c>
      <c r="C13" t="inlineStr">
        <is>
          <t>if negative, order printers THIS quarter</t>
        </is>
      </c>
    </row>
    <row r="14">
      <c r="A14" t="inlineStr">
        <is>
          <t>Suggested scheduled OC (safety on top)</t>
        </is>
      </c>
      <c r="B14">
        <f>ROUNDUP(B10*1.1,0)</f>
        <v/>
      </c>
      <c r="C14" t="inlineStr">
        <is>
          <t>~10% cushion vs excess-capacity cost</t>
        </is>
      </c>
    </row>
    <row r="16">
      <c r="B16" s="168" t="n"/>
    </row>
    <row r="18">
      <c r="A18" s="165" t="inlineStr">
        <is>
          <t>Other Q4 levers</t>
        </is>
      </c>
      <c r="B18" t="inlineStr">
        <is>
          <t>Q3 value</t>
        </is>
      </c>
      <c r="C18" t="inlineStr">
        <is>
          <t>Direction</t>
        </is>
      </c>
      <c r="D18" t="inlineStr">
        <is>
          <t>Why</t>
        </is>
      </c>
    </row>
    <row r="19">
      <c r="A19" t="inlineStr">
        <is>
          <t>Sales force productivity</t>
        </is>
      </c>
      <c r="B19" t="n">
        <v>0.7</v>
      </c>
      <c r="C19" t="inlineStr">
        <is>
          <t>RAISE PAY</t>
        </is>
      </c>
      <c r="D19" t="inlineStr">
        <is>
          <t>Fell from 85% projected — competitors out-paid us; Q4 shows industry averages</t>
        </is>
      </c>
    </row>
    <row r="20">
      <c r="A20" t="inlineStr">
        <is>
          <t>Production worker productivity</t>
        </is>
      </c>
      <c r="B20" t="n">
        <v>0.72</v>
      </c>
      <c r="C20" t="inlineStr">
        <is>
          <t>RAISE PAY</t>
        </is>
      </c>
      <c r="D20" t="inlineStr">
        <is>
          <t>Same; also feeds capacity pad</t>
        </is>
      </c>
    </row>
    <row r="21">
      <c r="A21" t="inlineStr">
        <is>
          <t>Common stock issued</t>
        </is>
      </c>
      <c r="B21" t="n">
        <v>500000</v>
      </c>
      <c r="C21" t="inlineStr">
        <is>
          <t>STOP if cash idle</t>
        </is>
      </c>
      <c r="D21" t="inlineStr">
        <is>
          <t>More shares lowers Financial Performance (per-share) and Asset Turnover</t>
        </is>
      </c>
    </row>
    <row r="22">
      <c r="A22" t="inlineStr">
        <is>
          <t>Cash on hand</t>
        </is>
      </c>
      <c r="B22" t="n">
        <v>1010838</v>
      </c>
      <c r="C22" t="inlineStr">
        <is>
          <t>DEPLOY</t>
        </is>
      </c>
      <c r="D22" t="inlineStr">
        <is>
          <t>Idle cash is the #1 cause of Asset Mgmt 0.353 (last place)</t>
        </is>
      </c>
    </row>
    <row r="23">
      <c r="A23" t="inlineStr">
        <is>
          <t>City #3</t>
        </is>
      </c>
      <c r="C23" t="inlineStr">
        <is>
          <t>OPEN ONE</t>
        </is>
      </c>
      <c r="D23" t="inlineStr">
        <is>
          <t>Revenue growth is the cure for Asset Turnover and unit cost</t>
        </is>
      </c>
    </row>
    <row r="24">
      <c r="A24" t="inlineStr">
        <is>
          <t>Speed share</t>
        </is>
      </c>
      <c r="B24" t="n">
        <v>0.0747</v>
      </c>
      <c r="C24" t="inlineStr">
        <is>
          <t>FIX OR REFOCUS</t>
        </is>
      </c>
      <c r="D24" t="inlineStr">
        <is>
          <t>Speed ad judgment 70 vs Mountain 80; segment is crowded by all 7 firms</t>
        </is>
      </c>
    </row>
    <row r="25">
      <c r="A25" t="inlineStr">
        <is>
          <t>Gross margin</t>
        </is>
      </c>
      <c r="B25" t="n">
        <v>0.5382</v>
      </c>
      <c r="C25" t="inlineStr">
        <is>
          <t>RISES WITH VOLUME</t>
        </is>
      </c>
      <c r="D25" t="inlineStr">
        <is>
          <t>Lowest in industry because volume is lowest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2026-08-20T11:55:30Z</dcterms:created>
  <dcterms:modified xmlns:dcterms="http://purl.org/dc/terms/" xmlns:xsi="http://www.w3.org/2001/XMLSchema-instance" xsi:type="dcterms:W3CDTF">2026-09-08T12:16:04Z</dcterms:modified>
  <cp:lastModifiedBy>Conger, Kyle E.</cp:lastModifiedBy>
</cp:coreProperties>
</file>